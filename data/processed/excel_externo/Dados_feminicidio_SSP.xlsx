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pivotCacheDefinition+xml" PartName="/xl/pivotCache/pivotCacheDefinition1.xml"/>
  <Override ContentType="application/vnd.openxmlformats-officedocument.spreadsheetml.pivotCacheDefinition+xml" PartName="/xl/pivotCache/pivotCacheDefinition2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pivotTable+xml" PartName="/xl/pivotTables/pivotTable1.xml"/>
  <Override ContentType="application/vnd.openxmlformats-officedocument.spreadsheetml.pivotTable+xml" PartName="/xl/pivotTables/pivotTable2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2011" sheetId="1" r:id="rId5"/>
    <sheet state="visible" name="2012" sheetId="2" r:id="rId6"/>
    <sheet state="visible" name="2013" sheetId="3" r:id="rId7"/>
    <sheet state="visible" name="2014" sheetId="4" r:id="rId8"/>
    <sheet state="visible" name="2015" sheetId="5" r:id="rId9"/>
    <sheet state="visible" name="2016" sheetId="6" r:id="rId10"/>
    <sheet state="visible" name="2017" sheetId="7" r:id="rId11"/>
    <sheet state="visible" name="2018" sheetId="8" r:id="rId12"/>
    <sheet state="visible" name="2019" sheetId="9" r:id="rId13"/>
    <sheet state="visible" name="2020" sheetId="10" r:id="rId14"/>
    <sheet state="visible" name="2021" sheetId="11" r:id="rId15"/>
    <sheet state="visible" name="2022" sheetId="12" r:id="rId16"/>
    <sheet state="visible" name="2023" sheetId="13" r:id="rId17"/>
    <sheet state="visible" name="2024" sheetId="14" r:id="rId18"/>
    <sheet state="visible" name="2025" sheetId="15" r:id="rId19"/>
    <sheet state="visible" name="2026" sheetId="16" r:id="rId20"/>
    <sheet state="visible" name="Dados_Consolidados" sheetId="17" r:id="rId21"/>
    <sheet state="visible" name="Tabela_Dinamica" sheetId="18" r:id="rId22"/>
    <sheet state="visible" name="Resumo_Regioes" sheetId="19" r:id="rId23"/>
  </sheets>
  <definedNames/>
  <calcPr/>
  <pivotCaches>
    <pivotCache cacheId="0" r:id="rId24"/>
    <pivotCache cacheId="1" r:id="rId25"/>
  </pivotCaches>
</workbook>
</file>

<file path=xl/sharedStrings.xml><?xml version="1.0" encoding="utf-8"?>
<sst xmlns="http://schemas.openxmlformats.org/spreadsheetml/2006/main" count="5147" uniqueCount="39">
  <si>
    <t>Ano</t>
  </si>
  <si>
    <t>Mês</t>
  </si>
  <si>
    <t>Tipo de Ocorrência</t>
  </si>
  <si>
    <t>Capital</t>
  </si>
  <si>
    <t>Demacro</t>
  </si>
  <si>
    <t>Interior</t>
  </si>
  <si>
    <t>Total</t>
  </si>
  <si>
    <t>HOMICÍDIO DOLOSO (exclui FEMINICÍDIO)</t>
  </si>
  <si>
    <t>HOMICÍDIO CULPOSO</t>
  </si>
  <si>
    <t>TENTATIVA DE HOMICÍDIO</t>
  </si>
  <si>
    <t>LESÃO CORPORAL DOLOSA</t>
  </si>
  <si>
    <t>Janeiro</t>
  </si>
  <si>
    <t>MAUS TRATOS</t>
  </si>
  <si>
    <t>Abril</t>
  </si>
  <si>
    <t>AMEAÇA</t>
  </si>
  <si>
    <t>CALÚNIA - DIFAMAÇÃO - INJÚRIA</t>
  </si>
  <si>
    <t>CONSTRANGIMENTO ILEGAL</t>
  </si>
  <si>
    <t>INVASÃO DE DOMICÍLIO</t>
  </si>
  <si>
    <t>Setembro</t>
  </si>
  <si>
    <t>DANO</t>
  </si>
  <si>
    <t>ESTUPRO CONSUMADO</t>
  </si>
  <si>
    <t>ESTUPRO TENTADO</t>
  </si>
  <si>
    <t>ESTUPRO DE VULNERÁVEL CONSUMADO</t>
  </si>
  <si>
    <t>OUTROS C/C/ DIGNIDADE SEXUAL</t>
  </si>
  <si>
    <t>Fevereiro</t>
  </si>
  <si>
    <t>Outubro</t>
  </si>
  <si>
    <t>Março</t>
  </si>
  <si>
    <t>Novembro</t>
  </si>
  <si>
    <t>Junho</t>
  </si>
  <si>
    <t>Dezembro</t>
  </si>
  <si>
    <t>Maio</t>
  </si>
  <si>
    <t>Julho</t>
  </si>
  <si>
    <t>Agosto</t>
  </si>
  <si>
    <t>FEMINICÍDIO</t>
  </si>
  <si>
    <t>Soma de Total</t>
  </si>
  <si>
    <t>Total geral</t>
  </si>
  <si>
    <t>Média de Capital</t>
  </si>
  <si>
    <t>Média de Demacro</t>
  </si>
  <si>
    <t>Média de Interior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</si>
</sst>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5">
    <font>
      <sz val="10.0"/>
      <color rgb="FF000000"/>
      <name val="Arial"/>
      <scheme val="minor"/>
    </font>
    <font>
      <b/>
      <color theme="1"/>
      <name val="&quot;Google Sans Text&quot;"/>
    </font>
    <font>
      <color theme="1"/>
      <name val="&quot;Google Sans Text&quot;"/>
    </font>
    <font>
      <color theme="1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C4C7C5"/>
      </left>
      <right style="thin">
        <color rgb="FFC4C7C5"/>
      </right>
      <top style="thin">
        <color rgb="FFC4C7C5"/>
      </top>
      <bottom style="thin">
        <color rgb="FFC4C7C5"/>
      </bottom>
    </border>
  </borders>
  <cellStyleXfs count="1">
    <xf borderId="0" fillId="0" fontId="0" numFmtId="0" applyAlignment="1" applyFont="1"/>
  </cellStyleXfs>
  <cellXfs count="7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1" fillId="0" fontId="2" numFmtId="0" xfId="0" applyAlignment="1" applyBorder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right" vertical="bottom"/>
    </xf>
    <xf borderId="0" fillId="0" fontId="4" numFmtId="0" xfId="0" applyAlignment="1" applyFont="1">
      <alignment vertical="bottom"/>
    </xf>
    <xf borderId="0" fillId="0" fontId="3" numFmtId="0" xfId="0" applyFont="1"/>
  </cellXfs>
  <cellStyles count="1">
    <cellStyle xfId="0" name="Normal" builtinId="0"/>
  </cellStyles>
  <dxfs count="6">
    <dxf>
      <font/>
      <fill>
        <patternFill patternType="none"/>
      </fill>
      <border/>
    </dxf>
    <dxf>
      <font>
        <color rgb="FF000000"/>
      </font>
      <fill>
        <patternFill patternType="solid">
          <fgColor rgb="FFFFFFFF"/>
          <bgColor rgb="FFFFFFFF"/>
        </patternFill>
      </fill>
      <border/>
    </dxf>
    <dxf>
      <font>
        <color rgb="FF000000"/>
      </font>
      <fill>
        <patternFill patternType="solid">
          <fgColor rgb="FFF3F3F3"/>
          <bgColor rgb="FFF3F3F3"/>
        </patternFill>
      </fill>
      <border>
        <right style="thin">
          <color rgb="FFFFFFFF"/>
        </right>
      </border>
    </dxf>
    <dxf>
      <font>
        <color rgb="FFFFFFFF"/>
      </font>
      <fill>
        <patternFill patternType="solid">
          <fgColor rgb="FF666666"/>
          <bgColor rgb="FF666666"/>
        </patternFill>
      </fill>
      <border>
        <bottom style="thin">
          <color rgb="FFFFFFFF"/>
        </bottom>
      </border>
    </dxf>
    <dxf>
      <font>
        <color rgb="FF000000"/>
      </font>
      <fill>
        <patternFill patternType="solid">
          <fgColor rgb="FFD9D9D9"/>
          <bgColor rgb="FFD9D9D9"/>
        </patternFill>
      </fill>
      <border>
        <top style="thin">
          <color rgb="FFFFFFFF"/>
        </top>
      </border>
    </dxf>
    <dxf>
      <font>
        <b/>
        <color rgb="FF000000"/>
      </font>
      <fill>
        <patternFill patternType="solid">
          <fgColor rgb="FFD9D9D9"/>
          <bgColor rgb="FFD9D9D9"/>
        </patternFill>
      </fill>
      <border>
        <top style="double">
          <color rgb="FF000000"/>
        </top>
      </border>
    </dxf>
  </dxfs>
  <tableStyles count="1">
    <tableStyle count="12" table="0" name="Google Sheets Pivot Table Style">
      <tableStyleElement dxfId="1" type="wholeTable"/>
      <tableStyleElement dxfId="2" type="firstRowSubheading"/>
      <tableStyleElement dxfId="2" type="secondRowSubheading"/>
      <tableStyleElement dxfId="2" type="thirdRowSubheading"/>
      <tableStyleElement dxfId="3" type="firstColumnSubheading"/>
      <tableStyleElement dxfId="3" type="secondColumnSubheading"/>
      <tableStyleElement dxfId="3" type="thirdColumnSubheading"/>
      <tableStyleElement dxfId="3" type="headerRow"/>
      <tableStyleElement dxfId="4" type="firstSubtotalRow"/>
      <tableStyleElement dxfId="4" type="secondSubtotalRow"/>
      <tableStyleElement dxfId="4" type="thirdSubtotalRow"/>
      <tableStyleElement dxfId="5" type="totalRow"/>
    </tableStyle>
  </tableStyles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6.xml"/><Relationship Id="rId22" Type="http://schemas.openxmlformats.org/officeDocument/2006/relationships/worksheet" Target="worksheets/sheet18.xml"/><Relationship Id="rId21" Type="http://schemas.openxmlformats.org/officeDocument/2006/relationships/worksheet" Target="worksheets/sheet17.xml"/><Relationship Id="rId24" Type="http://schemas.openxmlformats.org/officeDocument/2006/relationships/pivotCacheDefinition" Target="pivotCache/pivotCacheDefinition1.xml"/><Relationship Id="rId23" Type="http://schemas.openxmlformats.org/officeDocument/2006/relationships/worksheet" Target="worksheets/sheet1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25" Type="http://schemas.openxmlformats.org/officeDocument/2006/relationships/pivotCacheDefinition" Target="pivotCache/pivotCacheDefinition2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Relationship Id="rId13" Type="http://schemas.openxmlformats.org/officeDocument/2006/relationships/worksheet" Target="worksheets/sheet9.xml"/><Relationship Id="rId12" Type="http://schemas.openxmlformats.org/officeDocument/2006/relationships/worksheet" Target="worksheets/sheet8.xml"/><Relationship Id="rId15" Type="http://schemas.openxmlformats.org/officeDocument/2006/relationships/worksheet" Target="worksheets/sheet11.xml"/><Relationship Id="rId14" Type="http://schemas.openxmlformats.org/officeDocument/2006/relationships/worksheet" Target="worksheets/sheet10.xml"/><Relationship Id="rId17" Type="http://schemas.openxmlformats.org/officeDocument/2006/relationships/worksheet" Target="worksheets/sheet13.xml"/><Relationship Id="rId16" Type="http://schemas.openxmlformats.org/officeDocument/2006/relationships/worksheet" Target="worksheets/sheet12.xml"/><Relationship Id="rId19" Type="http://schemas.openxmlformats.org/officeDocument/2006/relationships/worksheet" Target="worksheets/sheet15.xml"/><Relationship Id="rId18" Type="http://schemas.openxmlformats.org/officeDocument/2006/relationships/worksheet" Target="worksheets/sheet14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_rels/pivotCacheDefinition2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5174" sheet="Dados_Consolidados"/>
  </cacheSource>
  <cacheFields>
    <cacheField name="Ano" numFmtId="0">
      <sharedItems containsString="0" containsBlank="1" containsNumber="1" containsInteger="1"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  <m/>
      </sharedItems>
    </cacheField>
    <cacheField name="Mês" numFmtId="0">
      <sharedItems containsBlank="1">
        <s v="Setembro"/>
        <s v="Outubro"/>
        <s v="Novembro"/>
        <s v="Dezembro"/>
        <s v="Janeiro"/>
        <s v="Fevereiro"/>
        <s v="Março"/>
        <s v="Abril"/>
        <s v="Maio"/>
        <s v="Junho"/>
        <s v="Julho"/>
        <s v="Agosto"/>
        <s v="11"/>
        <s v="12"/>
        <s v="1"/>
        <s v="2"/>
        <s v="3"/>
        <s v="4"/>
        <s v="5"/>
        <s v="6"/>
        <s v="7"/>
        <s v="8"/>
        <s v="9"/>
        <m/>
      </sharedItems>
    </cacheField>
    <cacheField name="Tipo de Ocorrência" numFmtId="0">
      <sharedItems containsBlank="1">
        <s v="HOMICÍDIO DOLOSO (exclui FEMINICÍDIO)"/>
        <s v="HOMICÍDIO CULPOSO"/>
        <s v="TENTATIVA DE HOMICÍDIO"/>
        <s v="LESÃO CORPORAL DOLOSA"/>
        <s v="MAUS TRATOS"/>
        <s v="CALÚNIA - DIFAMAÇÃO - INJÚRIA"/>
        <s v="CONSTRANGIMENTO ILEGAL"/>
        <s v="AMEAÇA"/>
        <s v="INVASÃO DE DOMICÍLIO"/>
        <s v="DANO"/>
        <s v="ESTUPRO CONSUMADO"/>
        <s v="ESTUPRO TENTADO"/>
        <s v="ESTUPRO DE VULNERÁVEL CONSUMADO"/>
        <s v="OUTROS C/C/ DIGNIDADE SEXUAL"/>
        <s v="FEMINICÍDIO"/>
        <m/>
      </sharedItems>
    </cacheField>
    <cacheField name="Capital" numFmtId="0">
      <sharedItems containsString="0" containsBlank="1" containsNumber="1">
        <n v="0.0"/>
        <n v="5.0"/>
        <n v="1198.0"/>
        <n v="8.0"/>
        <n v="210.0"/>
        <n v="1087.0"/>
        <n v="1.0"/>
        <n v="10.0"/>
        <n v="19.0"/>
        <n v="2.0"/>
        <n v="3.0"/>
        <n v="1244.0"/>
        <n v="11.0"/>
        <n v="254.0"/>
        <n v="1093.0"/>
        <n v="13.0"/>
        <n v="4.0"/>
        <n v="1236.0"/>
        <n v="262.0"/>
        <n v="1077.0"/>
        <n v="7.0"/>
        <n v="17.0"/>
        <n v="1412.0"/>
        <n v="279.0"/>
        <n v="1108.0"/>
        <n v="12.0"/>
        <n v="1342.0"/>
        <n v="260.0"/>
        <n v="1083.0"/>
        <n v="16.0"/>
        <n v="14.0"/>
        <n v="1269.0"/>
        <n v="243.0"/>
        <n v="1146.0"/>
        <n v="6.0"/>
        <n v="1441.0"/>
        <n v="277.0"/>
        <n v="1243.0"/>
        <n v="1358.0"/>
        <n v="9.0"/>
        <n v="258.0"/>
        <n v="1147.0"/>
        <n v="1184.0"/>
        <n v="278.0"/>
        <n v="1162.0"/>
        <n v="15.0"/>
        <n v="24.0"/>
        <n v="1136.0"/>
        <n v="224.0"/>
        <n v="1007.0"/>
        <n v="218.0"/>
        <n v="1064.0"/>
        <n v="1178.0"/>
        <n v="259.0"/>
        <n v="1100.0"/>
        <n v="237.0"/>
        <n v="1111.0"/>
        <n v="1294.0"/>
        <n v="285.0"/>
        <n v="1118.0"/>
        <n v="940.0"/>
        <n v="198.0"/>
        <n v="911.0"/>
        <n v="997.0"/>
        <n v="176.0"/>
        <n v="935.0"/>
        <n v="973.0"/>
        <n v="163.0"/>
        <n v="903.0"/>
        <n v="823.0"/>
        <n v="174.0"/>
        <n v="813.0"/>
        <n v="929.0"/>
        <n v="185.0"/>
        <n v="884.0"/>
        <n v="811.0"/>
        <n v="179.0"/>
        <n v="752.0"/>
        <n v="175.0"/>
        <n v="711.0"/>
        <n v="790.0"/>
        <n v="196.0"/>
        <n v="702.0"/>
        <n v="693.0"/>
        <n v="802.0"/>
        <n v="189.0"/>
        <n v="744.0"/>
        <n v="891.0"/>
        <n v="1027.0"/>
        <n v="240.0"/>
        <n v="761.0"/>
        <n v="963.0"/>
        <n v="161.0"/>
        <n v="29.0"/>
        <n v="894.0"/>
        <n v="202.0"/>
        <n v="1043.0"/>
        <n v="966.0"/>
        <n v="187.0"/>
        <n v="1095.0"/>
        <n v="954.0"/>
        <n v="1121.0"/>
        <n v="789.0"/>
        <n v="886.0"/>
        <n v="194.0"/>
        <n v="1065.0"/>
        <n v="990.0"/>
        <n v="216.0"/>
        <n v="1141.0"/>
        <n v="1.018"/>
        <n v="1.015"/>
        <n v="934.0"/>
        <n v="209.0"/>
        <n v="964.0"/>
        <n v="193.0"/>
        <n v="1.011"/>
        <n v="228.0"/>
        <n v="1.073"/>
        <n v="932.0"/>
        <n v="199.0"/>
        <n v="965.0"/>
        <n v="1.032"/>
        <n v="214.0"/>
        <n v="1.142"/>
        <n v="1142.0"/>
        <n v="239.0"/>
        <n v="1134.0"/>
        <n v="974.0"/>
        <n v="895.0"/>
        <n v="1024.0"/>
        <n v="1018.0"/>
        <n v="184.0"/>
        <n v="896.0"/>
        <n v="967.0"/>
        <n v="206.0"/>
        <n v="915.0"/>
        <n v="842.0"/>
        <n v="172.0"/>
        <n v="913.0"/>
        <n v="191.0"/>
        <n v="182.0"/>
        <n v="865.0"/>
        <n v="1114.0"/>
        <n v="211.0"/>
        <n v="1084.0"/>
        <n v="1086.0"/>
        <n v="864.0"/>
        <n v="948.0"/>
        <n v="872.0"/>
        <n v="912.0"/>
        <n v="178.0"/>
        <n v="1014.0"/>
        <n v="1124.0"/>
        <n v="212.0"/>
        <m/>
      </sharedItems>
    </cacheField>
    <cacheField name="Demacro" numFmtId="0">
      <sharedItems containsString="0" containsBlank="1" containsNumber="1" containsInteger="1">
        <n v="2.0"/>
        <n v="0.0"/>
        <n v="1040.0"/>
        <n v="5.0"/>
        <n v="202.0"/>
        <n v="4.0"/>
        <n v="977.0"/>
        <n v="1.0"/>
        <n v="10.0"/>
        <n v="13.0"/>
        <n v="8.0"/>
        <n v="7.0"/>
        <n v="1098.0"/>
        <n v="173.0"/>
        <n v="997.0"/>
        <n v="19.0"/>
        <n v="12.0"/>
        <n v="9.0"/>
        <n v="1092.0"/>
        <n v="145.0"/>
        <n v="865.0"/>
        <n v="3.0"/>
        <n v="1245.0"/>
        <n v="197.0"/>
        <n v="970.0"/>
        <n v="17.0"/>
        <n v="1162.0"/>
        <n v="179.0"/>
        <n v="985.0"/>
        <n v="14.0"/>
        <n v="6.0"/>
        <n v="1184.0"/>
        <n v="196.0"/>
        <n v="1056.0"/>
        <n v="24.0"/>
        <n v="1259.0"/>
        <n v="200.0"/>
        <n v="15.0"/>
        <n v="1139.0"/>
        <n v="185.0"/>
        <n v="1059.0"/>
        <n v="181.0"/>
        <n v="1079.0"/>
        <n v="16.0"/>
        <n v="973.0"/>
        <n v="160.0"/>
        <n v="936.0"/>
        <n v="993.0"/>
        <n v="156.0"/>
        <n v="896.0"/>
        <n v="1039.0"/>
        <n v="1121.0"/>
        <n v="159.0"/>
        <n v="1047.0"/>
        <n v="1146.0"/>
        <n v="1032.0"/>
        <n v="770.0"/>
        <n v="199.0"/>
        <n v="916.0"/>
        <n v="43.0"/>
        <n v="11.0"/>
        <n v="921.0"/>
        <n v="239.0"/>
        <n v="995.0"/>
        <n v="240.0"/>
        <n v="1025.0"/>
        <n v="741.0"/>
        <n v="820.0"/>
        <n v="837.0"/>
        <n v="216.0"/>
        <n v="933.0"/>
        <n v="711.0"/>
        <n v="228.0"/>
        <n v="800.0"/>
        <n v="682.0"/>
        <n v="790.0"/>
        <n v="694.0"/>
        <n v="192.0"/>
        <n v="761.0"/>
        <n v="643.0"/>
        <n v="183.0"/>
        <n v="714.0"/>
        <n v="702.0"/>
        <n v="201.0"/>
        <n v="780.0"/>
        <n v="794.0"/>
        <n v="863.0"/>
        <n v="793.0"/>
        <n v="210.0"/>
        <n v="848.0"/>
        <n v="831.0"/>
        <n v="166.0"/>
        <n v="775.0"/>
        <n v="802.0"/>
        <n v="162.0"/>
        <n v="874.0"/>
        <n v="908.0"/>
        <n v="932.0"/>
        <n v="984.0"/>
        <n v="718.0"/>
        <n v="829.0"/>
        <n v="170.0"/>
        <n v="854.0"/>
        <n v="900.0"/>
        <n v="992.0"/>
        <n v="886.0"/>
        <n v="813.0"/>
        <n v="834.0"/>
        <n v="832.0"/>
        <n v="178.0"/>
        <n v="846.0"/>
        <n v="885.0"/>
        <n v="211.0"/>
        <n v="927.0"/>
        <n v="836.0"/>
        <n v="165.0"/>
        <n v="849.0"/>
        <n v="947.0"/>
        <n v="967.0"/>
        <n v="1022.0"/>
        <n v="824.0"/>
        <n v="174.0"/>
        <n v="811.0"/>
        <n v="892.0"/>
        <n v="198.0"/>
        <n v="913.0"/>
        <n v="804.0"/>
        <n v="184.0"/>
        <n v="151.0"/>
        <n v="743.0"/>
        <n v="805.0"/>
        <n v="168.0"/>
        <n v="812.0"/>
        <n v="821.0"/>
        <n v="788.0"/>
        <n v="942.0"/>
        <n v="798.0"/>
        <n v="154.0"/>
        <n v="792.0"/>
        <n v="784.0"/>
        <n v="771.0"/>
        <n v="864.0"/>
        <n v="852.0"/>
        <n v="918.0"/>
        <m/>
      </sharedItems>
    </cacheField>
    <cacheField name="Interior" numFmtId="0">
      <sharedItems containsString="0" containsBlank="1" containsNumber="1">
        <n v="4.0"/>
        <n v="0.0"/>
        <n v="11.0"/>
        <n v="3606.0"/>
        <n v="43.0"/>
        <n v="846.0"/>
        <n v="6.0"/>
        <n v="3705.0"/>
        <n v="19.0"/>
        <n v="85.0"/>
        <n v="16.0"/>
        <n v="2.0"/>
        <n v="20.0"/>
        <n v="3.0"/>
        <n v="5.0"/>
        <n v="1.0"/>
        <n v="22.0"/>
        <n v="3734.0"/>
        <n v="806.0"/>
        <n v="3443.0"/>
        <n v="76.0"/>
        <n v="23.0"/>
        <n v="14.0"/>
        <n v="3656.0"/>
        <n v="49.0"/>
        <n v="918.0"/>
        <n v="9.0"/>
        <n v="3591.0"/>
        <n v="24.0"/>
        <n v="59.0"/>
        <n v="13.0"/>
        <n v="15.0"/>
        <n v="6420.0"/>
        <n v="28.0"/>
        <n v="1277.0"/>
        <n v="30.0"/>
        <n v="5502.0"/>
        <n v="98.0"/>
        <n v="45.0"/>
        <n v="8.0"/>
        <n v="4001.0"/>
        <n v="48.0"/>
        <n v="973.0"/>
        <n v="3986.0"/>
        <n v="29.0"/>
        <n v="75.0"/>
        <n v="33.0"/>
        <n v="25.0"/>
        <n v="7.0"/>
        <n v="17.0"/>
        <n v="3894.0"/>
        <n v="1044.0"/>
        <n v="12.0"/>
        <n v="3918.0"/>
        <n v="99.0"/>
        <n v="21.0"/>
        <n v="4252.0"/>
        <n v="44.0"/>
        <n v="1121.0"/>
        <n v="4172.0"/>
        <n v="26.0"/>
        <n v="86.0"/>
        <n v="4004.0"/>
        <n v="56.0"/>
        <n v="969.0"/>
        <n v="3939.0"/>
        <n v="79.0"/>
        <n v="3631.0"/>
        <n v="1017.0"/>
        <n v="78.0"/>
        <n v="10.0"/>
        <n v="3433.0"/>
        <n v="927.0"/>
        <n v="3636.0"/>
        <n v="70.0"/>
        <n v="18.0"/>
        <n v="3217.0"/>
        <n v="947.0"/>
        <n v="3583.0"/>
        <n v="27.0"/>
        <n v="3280.0"/>
        <n v="50.0"/>
        <n v="940.0"/>
        <n v="3474.0"/>
        <n v="3747.0"/>
        <n v="42.0"/>
        <n v="3704.0"/>
        <n v="3634.0"/>
        <n v="39.0"/>
        <n v="963.0"/>
        <n v="82.0"/>
        <n v="3155.0"/>
        <n v="708.0"/>
        <n v="3432.0"/>
        <n v="3735.0"/>
        <n v="793.0"/>
        <n v="3479.0"/>
        <n v="67.0"/>
        <n v="809.0"/>
        <n v="80.0"/>
        <n v="3037.0"/>
        <n v="664.0"/>
        <n v="2911.0"/>
        <n v="63.0"/>
        <n v="3524.0"/>
        <n v="771.0"/>
        <n v="3449.0"/>
        <n v="74.0"/>
        <n v="796.0"/>
        <n v="53.0"/>
        <n v="2811.0"/>
        <n v="794.0"/>
        <n v="2642.0"/>
        <n v="686.0"/>
        <n v="2636.0"/>
        <n v="60.0"/>
        <n v="2519.0"/>
        <n v="632.0"/>
        <n v="2503.0"/>
        <n v="51.0"/>
        <n v="2714.0"/>
        <n v="741.0"/>
        <n v="2702.0"/>
        <n v="55.0"/>
        <n v="3152.0"/>
        <n v="751.0"/>
        <n v="3099.0"/>
        <n v="54.0"/>
        <n v="2967.0"/>
        <n v="627.0"/>
        <n v="3444.0"/>
        <n v="36.0"/>
        <n v="3266.0"/>
        <n v="739.0"/>
        <n v="3287.0"/>
        <n v="3107.0"/>
        <n v="61.0"/>
        <n v="3225.0"/>
        <n v="3588.0"/>
        <n v="750.0"/>
        <n v="3811.0"/>
        <n v="812.0"/>
        <n v="83.0"/>
        <n v="3855.0"/>
        <n v="2734.0"/>
        <n v="639.0"/>
        <n v="2886.0"/>
        <n v="3279.0"/>
        <n v="786.0"/>
        <n v="71.0"/>
        <n v="3364.0"/>
        <n v="3615.0"/>
        <n v="66.0"/>
        <n v="3806.0"/>
        <n v="3.401"/>
        <n v="797.0"/>
        <n v="3.184"/>
        <n v="3.267"/>
        <n v="863.0"/>
        <n v="32.0"/>
        <n v="3.293"/>
        <n v="3.219"/>
        <n v="65.0"/>
        <n v="3.158"/>
        <n v="3.539"/>
        <n v="894.0"/>
        <n v="77.0"/>
        <n v="3.536"/>
        <n v="3.316"/>
        <n v="752.0"/>
        <n v="3.33"/>
        <n v="3.516"/>
        <n v="795.0"/>
        <n v="69.0"/>
        <n v="3.758"/>
        <n v="3706.0"/>
        <n v="823.0"/>
        <n v="3137.0"/>
        <n v="722.0"/>
        <n v="3350.0"/>
        <n v="3291.0"/>
        <n v="832.0"/>
        <n v="3418.0"/>
        <n v="72.0"/>
        <n v="3105.0"/>
        <n v="711.0"/>
        <n v="3118.0"/>
        <n v="58.0"/>
        <n v="3159.0"/>
        <n v="3216.0"/>
        <n v="64.0"/>
        <n v="2831.0"/>
        <n v="649.0"/>
        <n v="2894.0"/>
        <n v="2914.0"/>
        <n v="702.0"/>
        <n v="3012.0"/>
        <n v="2998.0"/>
        <n v="3112.0"/>
        <n v="688.0"/>
        <n v="2964.0"/>
        <n v="3658.0"/>
        <n v="3447.0"/>
        <n v="3687.0"/>
        <n v="2843.0"/>
        <n v="682.0"/>
        <n v="2932.0"/>
        <n v="52.0"/>
        <n v="694.0"/>
        <n v="2984.0"/>
        <n v="2814.0"/>
        <n v="654.0"/>
        <n v="2884.0"/>
        <n v="724.0"/>
        <n v="3214.0"/>
        <n v="62.0"/>
        <n v="3416.0"/>
        <n v="792.0"/>
        <n v="3584.0"/>
        <n v="68.0"/>
        <m/>
      </sharedItems>
    </cacheField>
    <cacheField name="Total" numFmtId="0">
      <sharedItems containsString="0" containsBlank="1" containsNumber="1">
        <n v="6.0"/>
        <n v="0.0"/>
        <n v="16.0"/>
        <n v="5844.0"/>
        <n v="56.0"/>
        <n v="1258.0"/>
        <n v="10.0"/>
        <n v="5769.0"/>
        <n v="21.0"/>
        <n v="105.0"/>
        <n v="48.0"/>
        <n v="4.0"/>
        <n v="30.0"/>
        <n v="8.0"/>
        <n v="2.0"/>
        <n v="34.0"/>
        <n v="6076.0"/>
        <n v="64.0"/>
        <n v="1233.0"/>
        <n v="23.0"/>
        <n v="5533.0"/>
        <n v="28.0"/>
        <n v="108.0"/>
        <n v="43.0"/>
        <n v="39.0"/>
        <n v="7.0"/>
        <n v="5984.0"/>
        <n v="68.0"/>
        <n v="1325.0"/>
        <n v="14.0"/>
        <n v="78.0"/>
        <n v="25.0"/>
        <n v="18.0"/>
        <n v="9077.0"/>
        <n v="1753.0"/>
        <n v="35.0"/>
        <n v="7580.0"/>
        <n v="26.0"/>
        <n v="125.0"/>
        <n v="66.0"/>
        <n v="33.0"/>
        <n v="9.0"/>
        <n v="11.0"/>
        <n v="15.0"/>
        <n v="6505.0"/>
        <n v="61.0"/>
        <n v="1412.0"/>
        <n v="22.0"/>
        <n v="6054.0"/>
        <n v="37.0"/>
        <n v="104.0"/>
        <n v="5.0"/>
        <n v="1.0"/>
        <n v="6347.0"/>
        <n v="60.0"/>
        <n v="1483.0"/>
        <n v="6120.0"/>
        <n v="38.0"/>
        <n v="134.0"/>
        <n v="40.0"/>
        <n v="29.0"/>
        <n v="6952.0"/>
        <n v="1598.0"/>
        <n v="24.0"/>
        <n v="6507.0"/>
        <n v="31.0"/>
        <n v="109.0"/>
        <n v="52.0"/>
        <n v="42.0"/>
        <n v="13.0"/>
        <n v="19.0"/>
        <n v="6501.0"/>
        <n v="70.0"/>
        <n v="6145.0"/>
        <n v="41.0"/>
        <n v="5954.0"/>
        <n v="69.0"/>
        <n v="1476.0"/>
        <n v="27.0"/>
        <n v="6227.0"/>
        <n v="3.0"/>
        <n v="12.0"/>
        <n v="5542.0"/>
        <n v="59.0"/>
        <n v="1311.0"/>
        <n v="5579.0"/>
        <n v="94.0"/>
        <n v="5356.0"/>
        <n v="63.0"/>
        <n v="1321.0"/>
        <n v="5543.0"/>
        <n v="50.0"/>
        <n v="5497.0"/>
        <n v="1378.0"/>
        <n v="5567.0"/>
        <n v="107.0"/>
        <n v="45.0"/>
        <n v="6111.0"/>
        <n v="55.0"/>
        <n v="1323.0"/>
        <n v="5862.0"/>
        <n v="99.0"/>
        <n v="57.0"/>
        <n v="6074.0"/>
        <n v="1433.0"/>
        <n v="5593.0"/>
        <n v="4865.0"/>
        <n v="1105.0"/>
        <n v="5259.0"/>
        <n v="54.0"/>
        <n v="95.0"/>
        <n v="36.0"/>
        <n v="5653.0"/>
        <n v="1208.0"/>
        <n v="5409.0"/>
        <n v="89.0"/>
        <n v="5525.0"/>
        <n v="1212.0"/>
        <n v="5632.0"/>
        <n v="17.0"/>
        <n v="113.0"/>
        <n v="4601.0"/>
        <n v="1038.0"/>
        <n v="4544.0"/>
        <n v="84.0"/>
        <n v="5290.0"/>
        <n v="1172.0"/>
        <n v="5266.0"/>
        <n v="98.0"/>
        <n v="4433.0"/>
        <n v="1203.0"/>
        <n v="4463.0"/>
        <n v="75.0"/>
        <n v="4304.0"/>
        <n v="1209.0"/>
        <n v="4312.0"/>
        <n v="77.0"/>
        <n v="4126.0"/>
        <n v="1074.0"/>
        <n v="4099.0"/>
        <n v="3873.0"/>
        <n v="1000.0"/>
        <n v="3910.0"/>
        <n v="4218.0"/>
        <n v="1131.0"/>
        <n v="4226.0"/>
        <n v="76.0"/>
        <n v="4837.0"/>
        <n v="20.0"/>
        <n v="1124.0"/>
        <n v="4773.0"/>
        <n v="4787.0"/>
        <n v="44.0"/>
        <n v="1077.0"/>
        <n v="5053.0"/>
        <n v="5060.0"/>
        <n v="1066.0"/>
        <n v="4764.0"/>
        <n v="46.0"/>
        <n v="81.0"/>
        <n v="4803.0"/>
        <n v="83.0"/>
        <n v="5099.0"/>
        <n v="5428.0"/>
        <n v="1096.0"/>
        <n v="67.0"/>
        <n v="5738.0"/>
        <n v="5697.0"/>
        <n v="1179.0"/>
        <n v="53.0"/>
        <n v="5960.0"/>
        <n v="4237.0"/>
        <n v="971.0"/>
        <n v="71.0"/>
        <n v="4495.0"/>
        <n v="4994.0"/>
        <n v="1150.0"/>
        <n v="5283.0"/>
        <n v="5505.0"/>
        <n v="1235.0"/>
        <n v="47.0"/>
        <n v="32.0"/>
        <n v="5939.0"/>
        <n v="5.305"/>
        <n v="1.175"/>
        <n v="92.0"/>
        <n v="5.047"/>
        <n v="5.014"/>
        <n v="1.255"/>
        <n v="103.0"/>
        <n v="5.091"/>
        <n v="5.041"/>
        <n v="1.177"/>
        <n v="4.97"/>
        <n v="5.435"/>
        <n v="1.333"/>
        <n v="106.0"/>
        <n v="5.536"/>
        <n v="5.084"/>
        <n v="1.116"/>
        <n v="87.0"/>
        <n v="5.144"/>
        <n v="5.495"/>
        <n v="1.187"/>
        <n v="5.897"/>
        <n v="5815.0"/>
        <n v="6142.0"/>
        <n v="4935.0"/>
        <n v="1081.0"/>
        <n v="5056.0"/>
        <n v="5207.0"/>
        <n v="1244.0"/>
        <n v="5349.0"/>
        <n v="4851.0"/>
        <n v="1057.0"/>
        <n v="4818.0"/>
        <n v="4958.0"/>
        <n v="1184.0"/>
        <n v="4965.0"/>
        <n v="4414.0"/>
        <n v="972.0"/>
        <n v="4448.0"/>
        <n v="4632.0"/>
        <n v="1061.0"/>
        <n v="4708.0"/>
        <n v="4777.0"/>
        <n v="1060.0"/>
        <n v="4811.0"/>
        <n v="4767.0"/>
        <n v="1029.0"/>
        <n v="4617.0"/>
        <n v="72.0"/>
        <n v="5448.0"/>
        <n v="1189.0"/>
        <n v="5684.0"/>
        <n v="97.0"/>
        <n v="5506.0"/>
        <n v="5715.0"/>
        <n v="4573.0"/>
        <n v="1018.0"/>
        <n v="4588.0"/>
        <n v="4674.0"/>
        <n v="1040.0"/>
        <n v="4660.0"/>
        <n v="4510.0"/>
        <n v="983.0"/>
        <n v="4497.0"/>
        <n v="4996.0"/>
        <n v="1090.0"/>
        <n v="5014.0"/>
        <n v="5458.0"/>
        <n v="1185.0"/>
        <n v="5610.0"/>
        <m/>
      </sharedItems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G2587" sheet="Dados_Consolidados"/>
  </cacheSource>
  <cacheFields>
    <cacheField name="Ano" numFmtId="0">
      <sharedItems containsSemiMixedTypes="0" containsString="0" containsNumber="1" containsInteger="1">
        <n v="2011.0"/>
        <n v="2012.0"/>
        <n v="2013.0"/>
        <n v="2014.0"/>
        <n v="2015.0"/>
        <n v="2016.0"/>
        <n v="2017.0"/>
        <n v="2018.0"/>
        <n v="2019.0"/>
        <n v="2020.0"/>
        <n v="2021.0"/>
        <n v="2022.0"/>
        <n v="2023.0"/>
        <n v="2024.0"/>
        <n v="2025.0"/>
        <n v="2026.0"/>
      </sharedItems>
    </cacheField>
    <cacheField name="Mês" numFmtId="0">
      <sharedItems>
        <s v="Setembro"/>
        <s v="Outubro"/>
        <s v="Novembro"/>
        <s v="Dezembro"/>
        <s v="Janeiro"/>
        <s v="Fevereiro"/>
        <s v="Março"/>
        <s v="Abril"/>
        <s v="Maio"/>
        <s v="Junho"/>
        <s v="Julho"/>
        <s v="Agosto"/>
        <s v="11"/>
        <s v="12"/>
        <s v="1"/>
        <s v="2"/>
        <s v="3"/>
        <s v="4"/>
        <s v="5"/>
        <s v="6"/>
        <s v="7"/>
        <s v="8"/>
        <s v="9"/>
      </sharedItems>
    </cacheField>
    <cacheField name="Tipo de Ocorrência" numFmtId="0">
      <sharedItems>
        <s v="HOMICÍDIO DOLOSO (exclui FEMINICÍDIO)"/>
        <s v="HOMICÍDIO CULPOSO"/>
        <s v="TENTATIVA DE HOMICÍDIO"/>
        <s v="LESÃO CORPORAL DOLOSA"/>
        <s v="MAUS TRATOS"/>
        <s v="CALÚNIA - DIFAMAÇÃO - INJÚRIA"/>
        <s v="CONSTRANGIMENTO ILEGAL"/>
        <s v="AMEAÇA"/>
        <s v="INVASÃO DE DOMICÍLIO"/>
        <s v="DANO"/>
        <s v="ESTUPRO CONSUMADO"/>
        <s v="ESTUPRO TENTADO"/>
        <s v="ESTUPRO DE VULNERÁVEL CONSUMADO"/>
        <s v="OUTROS C/C/ DIGNIDADE SEXUAL"/>
        <s v="FEMINICÍDIO"/>
      </sharedItems>
    </cacheField>
    <cacheField name="Capital" numFmtId="0">
      <sharedItems containsSemiMixedTypes="0" containsString="0" containsNumber="1">
        <n v="0.0"/>
        <n v="5.0"/>
        <n v="1198.0"/>
        <n v="8.0"/>
        <n v="210.0"/>
        <n v="1087.0"/>
        <n v="1.0"/>
        <n v="10.0"/>
        <n v="19.0"/>
        <n v="2.0"/>
        <n v="3.0"/>
        <n v="1244.0"/>
        <n v="11.0"/>
        <n v="254.0"/>
        <n v="1093.0"/>
        <n v="13.0"/>
        <n v="4.0"/>
        <n v="1236.0"/>
        <n v="262.0"/>
        <n v="1077.0"/>
        <n v="7.0"/>
        <n v="17.0"/>
        <n v="1412.0"/>
        <n v="279.0"/>
        <n v="1108.0"/>
        <n v="12.0"/>
        <n v="1342.0"/>
        <n v="260.0"/>
        <n v="1083.0"/>
        <n v="16.0"/>
        <n v="14.0"/>
        <n v="1269.0"/>
        <n v="243.0"/>
        <n v="1146.0"/>
        <n v="6.0"/>
        <n v="1441.0"/>
        <n v="277.0"/>
        <n v="1243.0"/>
        <n v="1358.0"/>
        <n v="9.0"/>
        <n v="258.0"/>
        <n v="1147.0"/>
        <n v="1184.0"/>
        <n v="278.0"/>
        <n v="1162.0"/>
        <n v="15.0"/>
        <n v="24.0"/>
        <n v="1136.0"/>
        <n v="224.0"/>
        <n v="1007.0"/>
        <n v="218.0"/>
        <n v="1064.0"/>
        <n v="1178.0"/>
        <n v="259.0"/>
        <n v="1100.0"/>
        <n v="237.0"/>
        <n v="1111.0"/>
        <n v="1294.0"/>
        <n v="285.0"/>
        <n v="1118.0"/>
        <n v="940.0"/>
        <n v="198.0"/>
        <n v="911.0"/>
        <n v="997.0"/>
        <n v="176.0"/>
        <n v="935.0"/>
        <n v="973.0"/>
        <n v="163.0"/>
        <n v="903.0"/>
        <n v="823.0"/>
        <n v="174.0"/>
        <n v="813.0"/>
        <n v="929.0"/>
        <n v="185.0"/>
        <n v="884.0"/>
        <n v="811.0"/>
        <n v="179.0"/>
        <n v="752.0"/>
        <n v="175.0"/>
        <n v="711.0"/>
        <n v="790.0"/>
        <n v="196.0"/>
        <n v="702.0"/>
        <n v="693.0"/>
        <n v="802.0"/>
        <n v="189.0"/>
        <n v="744.0"/>
        <n v="891.0"/>
        <n v="1027.0"/>
        <n v="240.0"/>
        <n v="761.0"/>
        <n v="963.0"/>
        <n v="161.0"/>
        <n v="29.0"/>
        <n v="894.0"/>
        <n v="202.0"/>
        <n v="1043.0"/>
        <n v="966.0"/>
        <n v="187.0"/>
        <n v="1095.0"/>
        <n v="954.0"/>
        <n v="1121.0"/>
        <n v="789.0"/>
        <n v="886.0"/>
        <n v="194.0"/>
        <n v="1065.0"/>
        <n v="990.0"/>
        <n v="216.0"/>
        <n v="1141.0"/>
        <n v="1.018"/>
        <n v="1.015"/>
        <n v="934.0"/>
        <n v="209.0"/>
        <n v="964.0"/>
        <n v="193.0"/>
        <n v="1.011"/>
        <n v="228.0"/>
        <n v="1.073"/>
        <n v="932.0"/>
        <n v="199.0"/>
        <n v="965.0"/>
        <n v="1.032"/>
        <n v="214.0"/>
        <n v="1.142"/>
        <n v="1142.0"/>
        <n v="239.0"/>
        <n v="1134.0"/>
        <n v="974.0"/>
        <n v="895.0"/>
        <n v="1024.0"/>
        <n v="1018.0"/>
        <n v="184.0"/>
        <n v="896.0"/>
        <n v="967.0"/>
        <n v="206.0"/>
        <n v="915.0"/>
        <n v="842.0"/>
        <n v="172.0"/>
        <n v="913.0"/>
        <n v="191.0"/>
        <n v="182.0"/>
        <n v="865.0"/>
        <n v="1114.0"/>
        <n v="211.0"/>
        <n v="1084.0"/>
        <n v="1086.0"/>
        <n v="864.0"/>
        <n v="948.0"/>
        <n v="872.0"/>
        <n v="912.0"/>
        <n v="178.0"/>
        <n v="1014.0"/>
        <n v="1124.0"/>
        <n v="212.0"/>
      </sharedItems>
    </cacheField>
    <cacheField name="Demacro" numFmtId="0">
      <sharedItems containsSemiMixedTypes="0" containsString="0" containsNumber="1" containsInteger="1">
        <n v="2.0"/>
        <n v="0.0"/>
        <n v="1040.0"/>
        <n v="5.0"/>
        <n v="202.0"/>
        <n v="4.0"/>
        <n v="977.0"/>
        <n v="1.0"/>
        <n v="10.0"/>
        <n v="13.0"/>
        <n v="8.0"/>
        <n v="7.0"/>
        <n v="1098.0"/>
        <n v="173.0"/>
        <n v="997.0"/>
        <n v="19.0"/>
        <n v="12.0"/>
        <n v="9.0"/>
        <n v="1092.0"/>
        <n v="145.0"/>
        <n v="865.0"/>
        <n v="3.0"/>
        <n v="1245.0"/>
        <n v="197.0"/>
        <n v="970.0"/>
        <n v="17.0"/>
        <n v="1162.0"/>
        <n v="179.0"/>
        <n v="985.0"/>
        <n v="14.0"/>
        <n v="6.0"/>
        <n v="1184.0"/>
        <n v="196.0"/>
        <n v="1056.0"/>
        <n v="24.0"/>
        <n v="1259.0"/>
        <n v="200.0"/>
        <n v="15.0"/>
        <n v="1139.0"/>
        <n v="185.0"/>
        <n v="1059.0"/>
        <n v="181.0"/>
        <n v="1079.0"/>
        <n v="16.0"/>
        <n v="973.0"/>
        <n v="160.0"/>
        <n v="936.0"/>
        <n v="993.0"/>
        <n v="156.0"/>
        <n v="896.0"/>
        <n v="1039.0"/>
        <n v="1121.0"/>
        <n v="159.0"/>
        <n v="1047.0"/>
        <n v="1146.0"/>
        <n v="1032.0"/>
        <n v="770.0"/>
        <n v="199.0"/>
        <n v="916.0"/>
        <n v="43.0"/>
        <n v="11.0"/>
        <n v="921.0"/>
        <n v="239.0"/>
        <n v="995.0"/>
        <n v="240.0"/>
        <n v="1025.0"/>
        <n v="741.0"/>
        <n v="820.0"/>
        <n v="837.0"/>
        <n v="216.0"/>
        <n v="933.0"/>
        <n v="711.0"/>
        <n v="228.0"/>
        <n v="800.0"/>
        <n v="682.0"/>
        <n v="790.0"/>
        <n v="694.0"/>
        <n v="192.0"/>
        <n v="761.0"/>
        <n v="643.0"/>
        <n v="183.0"/>
        <n v="714.0"/>
        <n v="702.0"/>
        <n v="201.0"/>
        <n v="780.0"/>
        <n v="794.0"/>
        <n v="863.0"/>
        <n v="793.0"/>
        <n v="210.0"/>
        <n v="848.0"/>
        <n v="831.0"/>
        <n v="166.0"/>
        <n v="775.0"/>
        <n v="802.0"/>
        <n v="162.0"/>
        <n v="874.0"/>
        <n v="908.0"/>
        <n v="932.0"/>
        <n v="984.0"/>
        <n v="718.0"/>
        <n v="829.0"/>
        <n v="170.0"/>
        <n v="854.0"/>
        <n v="900.0"/>
        <n v="992.0"/>
        <n v="886.0"/>
        <n v="813.0"/>
        <n v="834.0"/>
        <n v="832.0"/>
        <n v="178.0"/>
        <n v="846.0"/>
        <n v="885.0"/>
        <n v="211.0"/>
        <n v="927.0"/>
        <n v="836.0"/>
        <n v="165.0"/>
        <n v="849.0"/>
        <n v="947.0"/>
        <n v="967.0"/>
        <n v="1022.0"/>
        <n v="824.0"/>
        <n v="174.0"/>
        <n v="811.0"/>
        <n v="892.0"/>
        <n v="198.0"/>
        <n v="913.0"/>
        <n v="804.0"/>
        <n v="184.0"/>
        <n v="151.0"/>
        <n v="743.0"/>
        <n v="805.0"/>
        <n v="168.0"/>
        <n v="812.0"/>
        <n v="821.0"/>
        <n v="788.0"/>
        <n v="942.0"/>
        <n v="798.0"/>
        <n v="154.0"/>
        <n v="792.0"/>
        <n v="784.0"/>
        <n v="771.0"/>
        <n v="864.0"/>
        <n v="852.0"/>
        <n v="918.0"/>
      </sharedItems>
    </cacheField>
    <cacheField name="Interior" numFmtId="0">
      <sharedItems containsSemiMixedTypes="0" containsString="0" containsNumber="1">
        <n v="4.0"/>
        <n v="0.0"/>
        <n v="11.0"/>
        <n v="3606.0"/>
        <n v="43.0"/>
        <n v="846.0"/>
        <n v="6.0"/>
        <n v="3705.0"/>
        <n v="19.0"/>
        <n v="85.0"/>
        <n v="16.0"/>
        <n v="2.0"/>
        <n v="20.0"/>
        <n v="3.0"/>
        <n v="5.0"/>
        <n v="1.0"/>
        <n v="22.0"/>
        <n v="3734.0"/>
        <n v="806.0"/>
        <n v="3443.0"/>
        <n v="76.0"/>
        <n v="23.0"/>
        <n v="14.0"/>
        <n v="3656.0"/>
        <n v="49.0"/>
        <n v="918.0"/>
        <n v="9.0"/>
        <n v="3591.0"/>
        <n v="24.0"/>
        <n v="59.0"/>
        <n v="13.0"/>
        <n v="15.0"/>
        <n v="6420.0"/>
        <n v="28.0"/>
        <n v="1277.0"/>
        <n v="30.0"/>
        <n v="5502.0"/>
        <n v="98.0"/>
        <n v="45.0"/>
        <n v="8.0"/>
        <n v="4001.0"/>
        <n v="48.0"/>
        <n v="973.0"/>
        <n v="3986.0"/>
        <n v="29.0"/>
        <n v="75.0"/>
        <n v="33.0"/>
        <n v="25.0"/>
        <n v="7.0"/>
        <n v="17.0"/>
        <n v="3894.0"/>
        <n v="1044.0"/>
        <n v="12.0"/>
        <n v="3918.0"/>
        <n v="99.0"/>
        <n v="21.0"/>
        <n v="4252.0"/>
        <n v="44.0"/>
        <n v="1121.0"/>
        <n v="4172.0"/>
        <n v="26.0"/>
        <n v="86.0"/>
        <n v="4004.0"/>
        <n v="56.0"/>
        <n v="969.0"/>
        <n v="3939.0"/>
        <n v="79.0"/>
        <n v="3631.0"/>
        <n v="1017.0"/>
        <n v="78.0"/>
        <n v="10.0"/>
        <n v="3433.0"/>
        <n v="927.0"/>
        <n v="3636.0"/>
        <n v="70.0"/>
        <n v="18.0"/>
        <n v="3217.0"/>
        <n v="947.0"/>
        <n v="3583.0"/>
        <n v="27.0"/>
        <n v="3280.0"/>
        <n v="50.0"/>
        <n v="940.0"/>
        <n v="3474.0"/>
        <n v="3747.0"/>
        <n v="42.0"/>
        <n v="3704.0"/>
        <n v="3634.0"/>
        <n v="39.0"/>
        <n v="963.0"/>
        <n v="82.0"/>
        <n v="3155.0"/>
        <n v="708.0"/>
        <n v="3432.0"/>
        <n v="3735.0"/>
        <n v="793.0"/>
        <n v="3479.0"/>
        <n v="67.0"/>
        <n v="809.0"/>
        <n v="80.0"/>
        <n v="3037.0"/>
        <n v="664.0"/>
        <n v="2911.0"/>
        <n v="63.0"/>
        <n v="3524.0"/>
        <n v="771.0"/>
        <n v="3449.0"/>
        <n v="74.0"/>
        <n v="796.0"/>
        <n v="53.0"/>
        <n v="2811.0"/>
        <n v="794.0"/>
        <n v="2642.0"/>
        <n v="686.0"/>
        <n v="2636.0"/>
        <n v="60.0"/>
        <n v="2519.0"/>
        <n v="632.0"/>
        <n v="2503.0"/>
        <n v="51.0"/>
        <n v="2714.0"/>
        <n v="741.0"/>
        <n v="2702.0"/>
        <n v="55.0"/>
        <n v="3152.0"/>
        <n v="751.0"/>
        <n v="3099.0"/>
        <n v="54.0"/>
        <n v="2967.0"/>
        <n v="627.0"/>
        <n v="3444.0"/>
        <n v="36.0"/>
        <n v="3266.0"/>
        <n v="739.0"/>
        <n v="3287.0"/>
        <n v="3107.0"/>
        <n v="61.0"/>
        <n v="3225.0"/>
        <n v="3588.0"/>
        <n v="750.0"/>
        <n v="3811.0"/>
        <n v="812.0"/>
        <n v="83.0"/>
        <n v="3855.0"/>
        <n v="2734.0"/>
        <n v="639.0"/>
        <n v="2886.0"/>
        <n v="3279.0"/>
        <n v="786.0"/>
        <n v="71.0"/>
        <n v="3364.0"/>
        <n v="3615.0"/>
        <n v="66.0"/>
        <n v="3806.0"/>
        <n v="3.401"/>
        <n v="797.0"/>
        <n v="3.184"/>
        <n v="3.267"/>
        <n v="863.0"/>
        <n v="32.0"/>
        <n v="3.293"/>
        <n v="3.219"/>
        <n v="65.0"/>
        <n v="3.158"/>
        <n v="3.539"/>
        <n v="894.0"/>
        <n v="77.0"/>
        <n v="3.536"/>
        <n v="3.316"/>
        <n v="752.0"/>
        <n v="3.33"/>
        <n v="3.516"/>
        <n v="795.0"/>
        <n v="69.0"/>
        <n v="3.758"/>
        <n v="3706.0"/>
        <n v="823.0"/>
        <n v="3137.0"/>
        <n v="722.0"/>
        <n v="3350.0"/>
        <n v="3291.0"/>
        <n v="832.0"/>
        <n v="3418.0"/>
        <n v="72.0"/>
        <n v="3105.0"/>
        <n v="711.0"/>
        <n v="3118.0"/>
        <n v="58.0"/>
        <n v="3159.0"/>
        <n v="3216.0"/>
        <n v="64.0"/>
        <n v="2831.0"/>
        <n v="649.0"/>
        <n v="2894.0"/>
        <n v="2914.0"/>
        <n v="702.0"/>
        <n v="3012.0"/>
        <n v="2998.0"/>
        <n v="3112.0"/>
        <n v="688.0"/>
        <n v="2964.0"/>
        <n v="3658.0"/>
        <n v="3447.0"/>
        <n v="3687.0"/>
        <n v="2843.0"/>
        <n v="682.0"/>
        <n v="2932.0"/>
        <n v="52.0"/>
        <n v="694.0"/>
        <n v="2984.0"/>
        <n v="2814.0"/>
        <n v="654.0"/>
        <n v="2884.0"/>
        <n v="724.0"/>
        <n v="3214.0"/>
        <n v="62.0"/>
        <n v="3416.0"/>
        <n v="792.0"/>
        <n v="3584.0"/>
        <n v="68.0"/>
      </sharedItems>
    </cacheField>
    <cacheField name="Total" numFmtId="0">
      <sharedItems containsSemiMixedTypes="0" containsString="0" containsNumber="1">
        <n v="6.0"/>
        <n v="0.0"/>
        <n v="16.0"/>
        <n v="5844.0"/>
        <n v="56.0"/>
        <n v="1258.0"/>
        <n v="10.0"/>
        <n v="5769.0"/>
        <n v="21.0"/>
        <n v="105.0"/>
        <n v="48.0"/>
        <n v="4.0"/>
        <n v="30.0"/>
        <n v="8.0"/>
        <n v="2.0"/>
        <n v="34.0"/>
        <n v="6076.0"/>
        <n v="64.0"/>
        <n v="1233.0"/>
        <n v="23.0"/>
        <n v="5533.0"/>
        <n v="28.0"/>
        <n v="108.0"/>
        <n v="43.0"/>
        <n v="39.0"/>
        <n v="7.0"/>
        <n v="5984.0"/>
        <n v="68.0"/>
        <n v="1325.0"/>
        <n v="14.0"/>
        <n v="78.0"/>
        <n v="25.0"/>
        <n v="18.0"/>
        <n v="9077.0"/>
        <n v="1753.0"/>
        <n v="35.0"/>
        <n v="7580.0"/>
        <n v="26.0"/>
        <n v="125.0"/>
        <n v="66.0"/>
        <n v="33.0"/>
        <n v="9.0"/>
        <n v="11.0"/>
        <n v="15.0"/>
        <n v="6505.0"/>
        <n v="61.0"/>
        <n v="1412.0"/>
        <n v="22.0"/>
        <n v="6054.0"/>
        <n v="37.0"/>
        <n v="104.0"/>
        <n v="5.0"/>
        <n v="1.0"/>
        <n v="6347.0"/>
        <n v="60.0"/>
        <n v="1483.0"/>
        <n v="6120.0"/>
        <n v="38.0"/>
        <n v="134.0"/>
        <n v="40.0"/>
        <n v="29.0"/>
        <n v="6952.0"/>
        <n v="1598.0"/>
        <n v="24.0"/>
        <n v="6507.0"/>
        <n v="31.0"/>
        <n v="109.0"/>
        <n v="52.0"/>
        <n v="42.0"/>
        <n v="13.0"/>
        <n v="19.0"/>
        <n v="6501.0"/>
        <n v="70.0"/>
        <n v="6145.0"/>
        <n v="41.0"/>
        <n v="5954.0"/>
        <n v="69.0"/>
        <n v="1476.0"/>
        <n v="27.0"/>
        <n v="6227.0"/>
        <n v="3.0"/>
        <n v="12.0"/>
        <n v="5542.0"/>
        <n v="59.0"/>
        <n v="1311.0"/>
        <n v="5579.0"/>
        <n v="94.0"/>
        <n v="5356.0"/>
        <n v="63.0"/>
        <n v="1321.0"/>
        <n v="5543.0"/>
        <n v="50.0"/>
        <n v="5497.0"/>
        <n v="1378.0"/>
        <n v="5567.0"/>
        <n v="107.0"/>
        <n v="45.0"/>
        <n v="6111.0"/>
        <n v="55.0"/>
        <n v="1323.0"/>
        <n v="5862.0"/>
        <n v="99.0"/>
        <n v="57.0"/>
        <n v="6074.0"/>
        <n v="1433.0"/>
        <n v="5593.0"/>
        <n v="4865.0"/>
        <n v="1105.0"/>
        <n v="5259.0"/>
        <n v="54.0"/>
        <n v="95.0"/>
        <n v="36.0"/>
        <n v="5653.0"/>
        <n v="1208.0"/>
        <n v="5409.0"/>
        <n v="89.0"/>
        <n v="5525.0"/>
        <n v="1212.0"/>
        <n v="5632.0"/>
        <n v="17.0"/>
        <n v="113.0"/>
        <n v="4601.0"/>
        <n v="1038.0"/>
        <n v="4544.0"/>
        <n v="84.0"/>
        <n v="5290.0"/>
        <n v="1172.0"/>
        <n v="5266.0"/>
        <n v="98.0"/>
        <n v="4433.0"/>
        <n v="1203.0"/>
        <n v="4463.0"/>
        <n v="75.0"/>
        <n v="4304.0"/>
        <n v="1209.0"/>
        <n v="4312.0"/>
        <n v="77.0"/>
        <n v="4126.0"/>
        <n v="1074.0"/>
        <n v="4099.0"/>
        <n v="3873.0"/>
        <n v="1000.0"/>
        <n v="3910.0"/>
        <n v="4218.0"/>
        <n v="1131.0"/>
        <n v="4226.0"/>
        <n v="76.0"/>
        <n v="4837.0"/>
        <n v="20.0"/>
        <n v="1124.0"/>
        <n v="4773.0"/>
        <n v="4787.0"/>
        <n v="44.0"/>
        <n v="1077.0"/>
        <n v="5053.0"/>
        <n v="5060.0"/>
        <n v="1066.0"/>
        <n v="4764.0"/>
        <n v="46.0"/>
        <n v="81.0"/>
        <n v="4803.0"/>
        <n v="83.0"/>
        <n v="5099.0"/>
        <n v="5428.0"/>
        <n v="1096.0"/>
        <n v="67.0"/>
        <n v="5738.0"/>
        <n v="5697.0"/>
        <n v="1179.0"/>
        <n v="53.0"/>
        <n v="5960.0"/>
        <n v="4237.0"/>
        <n v="971.0"/>
        <n v="71.0"/>
        <n v="4495.0"/>
        <n v="4994.0"/>
        <n v="1150.0"/>
        <n v="5283.0"/>
        <n v="5505.0"/>
        <n v="1235.0"/>
        <n v="47.0"/>
        <n v="32.0"/>
        <n v="5939.0"/>
        <n v="5.305"/>
        <n v="1.175"/>
        <n v="92.0"/>
        <n v="5.047"/>
        <n v="5.014"/>
        <n v="1.255"/>
        <n v="103.0"/>
        <n v="5.091"/>
        <n v="5.041"/>
        <n v="1.177"/>
        <n v="4.97"/>
        <n v="5.435"/>
        <n v="1.333"/>
        <n v="106.0"/>
        <n v="5.536"/>
        <n v="5.084"/>
        <n v="1.116"/>
        <n v="87.0"/>
        <n v="5.144"/>
        <n v="5.495"/>
        <n v="1.187"/>
        <n v="5.897"/>
        <n v="5815.0"/>
        <n v="6142.0"/>
        <n v="4935.0"/>
        <n v="1081.0"/>
        <n v="5056.0"/>
        <n v="5207.0"/>
        <n v="1244.0"/>
        <n v="5349.0"/>
        <n v="4851.0"/>
        <n v="1057.0"/>
        <n v="4818.0"/>
        <n v="4958.0"/>
        <n v="1184.0"/>
        <n v="4965.0"/>
        <n v="4414.0"/>
        <n v="972.0"/>
        <n v="4448.0"/>
        <n v="4632.0"/>
        <n v="1061.0"/>
        <n v="4708.0"/>
        <n v="4777.0"/>
        <n v="1060.0"/>
        <n v="4811.0"/>
        <n v="4767.0"/>
        <n v="1029.0"/>
        <n v="4617.0"/>
        <n v="72.0"/>
        <n v="5448.0"/>
        <n v="1189.0"/>
        <n v="5684.0"/>
        <n v="97.0"/>
        <n v="5506.0"/>
        <n v="5715.0"/>
        <n v="4573.0"/>
        <n v="1018.0"/>
        <n v="4588.0"/>
        <n v="4674.0"/>
        <n v="1040.0"/>
        <n v="4660.0"/>
        <n v="4510.0"/>
        <n v="983.0"/>
        <n v="4497.0"/>
        <n v="4996.0"/>
        <n v="1090.0"/>
        <n v="5014.0"/>
        <n v="5458.0"/>
        <n v="1185.0"/>
        <n v="5610.0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name="Tabela_Dinamica" cacheId="0" dataCaption="" compact="0" compactData="0">
  <location ref="A1:B18" firstHeaderRow="0" firstDataRow="1" firstDataCol="0"/>
  <pivotFields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name="Tipo de Ocorrência" axis="axisRow" compact="0" outline="0" multipleItemSelectionAllowed="1" showAll="0" sortType="ascending">
      <items>
        <item x="15"/>
        <item x="7"/>
        <item x="5"/>
        <item x="6"/>
        <item x="9"/>
        <item x="10"/>
        <item x="12"/>
        <item x="11"/>
        <item x="14"/>
        <item x="1"/>
        <item x="0"/>
        <item x="8"/>
        <item x="3"/>
        <item x="4"/>
        <item x="13"/>
        <item x="2"/>
        <item t="default"/>
      </items>
    </pivotField>
    <pivotField name="Capi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t="default"/>
      </items>
    </pivotField>
    <pivotField name="Demacr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t="default"/>
      </items>
    </pivotField>
    <pivotField name="Interior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t="default"/>
      </items>
    </pivotField>
    <pivotField name="To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t="default"/>
      </items>
    </pivotField>
  </pivotFields>
  <rowFields>
    <field x="2"/>
  </rowFields>
  <dataFields>
    <dataField name="Soma de Total" fld="6" baseField="0"/>
  </dataFields>
  <pivotTableStyleInfo name="Google Sheets Pivot Table Style" showRowHeaders="1" showColHeaders="1" showLastColumn="1"/>
</pivotTableDefinition>
</file>

<file path=xl/pivotTables/pivotTable2.xml><?xml version="1.0" encoding="utf-8"?>
<pivotTableDefinition xmlns="http://schemas.openxmlformats.org/spreadsheetml/2006/main" name="Resumo_Regioes" cacheId="1" dataCaption="" compact="0" compactData="0">
  <location ref="A1:D17" firstHeaderRow="0" firstDataRow="2" firstDataCol="0"/>
  <pivotFields>
    <pivotField name="An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Mês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t="default"/>
      </items>
    </pivotField>
    <pivotField name="Tipo de Ocorrência" axis="axisRow" compact="0" outline="0" multipleItemSelectionAllowed="1" showAll="0" sortType="ascending">
      <items>
        <item x="7"/>
        <item x="5"/>
        <item x="6"/>
        <item x="9"/>
        <item x="10"/>
        <item x="12"/>
        <item x="11"/>
        <item x="14"/>
        <item x="1"/>
        <item x="0"/>
        <item x="8"/>
        <item x="3"/>
        <item x="4"/>
        <item x="13"/>
        <item x="2"/>
        <item t="default"/>
      </items>
    </pivotField>
    <pivotField name="Capital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t="default"/>
      </items>
    </pivotField>
    <pivotField name="Demacr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t="default"/>
      </items>
    </pivotField>
    <pivotField name="Interior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t="default"/>
      </items>
    </pivotField>
    <pivotField name="Total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t="default"/>
      </items>
    </pivotField>
  </pivotFields>
  <rowFields>
    <field x="2"/>
  </rowFields>
  <colFields>
    <field x="-2"/>
  </colFields>
  <dataFields>
    <dataField name="Média de Capital" fld="3" subtotal="average" baseField="0"/>
    <dataField name="Média de Demacro" fld="4" subtotal="average" baseField="0"/>
    <dataField name="Média de Interior" fld="5" subtotal="average" baseField="0"/>
  </dataFields>
  <pivotTableStyleInfo name="Google Sheets Pivot Table Style" showRowHeaders="1" showColHeaders="1" showLastColumn="1"/>
</pivotTableDefinition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2.xml"/><Relationship Id="rId2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4.75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2011.0</v>
      </c>
      <c r="B2" s="2" t="s">
        <v>18</v>
      </c>
      <c r="C2" s="2" t="s">
        <v>7</v>
      </c>
      <c r="D2" s="2">
        <v>0.0</v>
      </c>
      <c r="E2" s="2">
        <v>2.0</v>
      </c>
      <c r="F2" s="2">
        <v>4.0</v>
      </c>
      <c r="G2" s="2">
        <v>6.0</v>
      </c>
    </row>
    <row r="3">
      <c r="A3" s="2">
        <v>2011.0</v>
      </c>
      <c r="B3" s="2" t="s">
        <v>18</v>
      </c>
      <c r="C3" s="2" t="s">
        <v>8</v>
      </c>
      <c r="D3" s="2">
        <v>0.0</v>
      </c>
      <c r="E3" s="2">
        <v>0.0</v>
      </c>
      <c r="F3" s="2">
        <v>0.0</v>
      </c>
      <c r="G3" s="2">
        <v>0.0</v>
      </c>
    </row>
    <row r="4">
      <c r="A4" s="2">
        <v>2011.0</v>
      </c>
      <c r="B4" s="2" t="s">
        <v>18</v>
      </c>
      <c r="C4" s="2" t="s">
        <v>9</v>
      </c>
      <c r="D4" s="2">
        <v>5.0</v>
      </c>
      <c r="E4" s="2">
        <v>0.0</v>
      </c>
      <c r="F4" s="2">
        <v>11.0</v>
      </c>
      <c r="G4" s="2">
        <v>16.0</v>
      </c>
    </row>
    <row r="5">
      <c r="A5" s="2">
        <v>2011.0</v>
      </c>
      <c r="B5" s="2" t="s">
        <v>18</v>
      </c>
      <c r="C5" s="2" t="s">
        <v>10</v>
      </c>
      <c r="D5" s="2">
        <v>1198.0</v>
      </c>
      <c r="E5" s="2">
        <v>1040.0</v>
      </c>
      <c r="F5" s="2">
        <v>3606.0</v>
      </c>
      <c r="G5" s="2">
        <v>5844.0</v>
      </c>
    </row>
    <row r="6">
      <c r="A6" s="2">
        <v>2011.0</v>
      </c>
      <c r="B6" s="2" t="s">
        <v>18</v>
      </c>
      <c r="C6" s="2" t="s">
        <v>12</v>
      </c>
      <c r="D6" s="2">
        <v>8.0</v>
      </c>
      <c r="E6" s="2">
        <v>5.0</v>
      </c>
      <c r="F6" s="2">
        <v>43.0</v>
      </c>
      <c r="G6" s="2">
        <v>56.0</v>
      </c>
    </row>
    <row r="7">
      <c r="A7" s="2">
        <v>2011.0</v>
      </c>
      <c r="B7" s="2" t="s">
        <v>18</v>
      </c>
      <c r="C7" s="2" t="s">
        <v>15</v>
      </c>
      <c r="D7" s="2">
        <v>210.0</v>
      </c>
      <c r="E7" s="2">
        <v>202.0</v>
      </c>
      <c r="F7" s="2">
        <v>846.0</v>
      </c>
      <c r="G7" s="2">
        <v>1258.0</v>
      </c>
    </row>
    <row r="8">
      <c r="A8" s="2">
        <v>2011.0</v>
      </c>
      <c r="B8" s="2" t="s">
        <v>18</v>
      </c>
      <c r="C8" s="2" t="s">
        <v>16</v>
      </c>
      <c r="D8" s="2">
        <v>0.0</v>
      </c>
      <c r="E8" s="2">
        <v>4.0</v>
      </c>
      <c r="F8" s="2">
        <v>6.0</v>
      </c>
      <c r="G8" s="2">
        <v>10.0</v>
      </c>
    </row>
    <row r="9">
      <c r="A9" s="2">
        <v>2011.0</v>
      </c>
      <c r="B9" s="2" t="s">
        <v>18</v>
      </c>
      <c r="C9" s="2" t="s">
        <v>14</v>
      </c>
      <c r="D9" s="2">
        <v>1087.0</v>
      </c>
      <c r="E9" s="2">
        <v>977.0</v>
      </c>
      <c r="F9" s="2">
        <v>3705.0</v>
      </c>
      <c r="G9" s="2">
        <v>5769.0</v>
      </c>
    </row>
    <row r="10">
      <c r="A10" s="2">
        <v>2011.0</v>
      </c>
      <c r="B10" s="2" t="s">
        <v>18</v>
      </c>
      <c r="C10" s="2" t="s">
        <v>17</v>
      </c>
      <c r="D10" s="2">
        <v>1.0</v>
      </c>
      <c r="E10" s="2">
        <v>1.0</v>
      </c>
      <c r="F10" s="2">
        <v>19.0</v>
      </c>
      <c r="G10" s="2">
        <v>21.0</v>
      </c>
    </row>
    <row r="11">
      <c r="A11" s="2">
        <v>2011.0</v>
      </c>
      <c r="B11" s="2" t="s">
        <v>18</v>
      </c>
      <c r="C11" s="2" t="s">
        <v>19</v>
      </c>
      <c r="D11" s="2">
        <v>10.0</v>
      </c>
      <c r="E11" s="2">
        <v>10.0</v>
      </c>
      <c r="F11" s="2">
        <v>85.0</v>
      </c>
      <c r="G11" s="2">
        <v>105.0</v>
      </c>
    </row>
    <row r="12">
      <c r="A12" s="2">
        <v>2011.0</v>
      </c>
      <c r="B12" s="2" t="s">
        <v>18</v>
      </c>
      <c r="C12" s="2" t="s">
        <v>20</v>
      </c>
      <c r="D12" s="2">
        <v>19.0</v>
      </c>
      <c r="E12" s="2">
        <v>13.0</v>
      </c>
      <c r="F12" s="2">
        <v>16.0</v>
      </c>
      <c r="G12" s="2">
        <v>48.0</v>
      </c>
    </row>
    <row r="13">
      <c r="A13" s="2">
        <v>2011.0</v>
      </c>
      <c r="B13" s="2" t="s">
        <v>18</v>
      </c>
      <c r="C13" s="2" t="s">
        <v>21</v>
      </c>
      <c r="D13" s="2">
        <v>1.0</v>
      </c>
      <c r="E13" s="2">
        <v>1.0</v>
      </c>
      <c r="F13" s="2">
        <v>2.0</v>
      </c>
      <c r="G13" s="2">
        <v>4.0</v>
      </c>
    </row>
    <row r="14">
      <c r="A14" s="2">
        <v>2011.0</v>
      </c>
      <c r="B14" s="2" t="s">
        <v>18</v>
      </c>
      <c r="C14" s="2" t="s">
        <v>22</v>
      </c>
      <c r="D14" s="2">
        <v>2.0</v>
      </c>
      <c r="E14" s="2">
        <v>8.0</v>
      </c>
      <c r="F14" s="2">
        <v>20.0</v>
      </c>
      <c r="G14" s="2">
        <v>30.0</v>
      </c>
    </row>
    <row r="15">
      <c r="A15" s="2">
        <v>2011.0</v>
      </c>
      <c r="B15" s="2" t="s">
        <v>18</v>
      </c>
      <c r="C15" s="2" t="s">
        <v>23</v>
      </c>
      <c r="D15" s="2">
        <v>3.0</v>
      </c>
      <c r="E15" s="2">
        <v>0.0</v>
      </c>
      <c r="F15" s="2">
        <v>3.0</v>
      </c>
      <c r="G15" s="2">
        <v>6.0</v>
      </c>
    </row>
    <row r="16">
      <c r="A16" s="2">
        <v>2011.0</v>
      </c>
      <c r="B16" s="2" t="s">
        <v>25</v>
      </c>
      <c r="C16" s="2" t="s">
        <v>7</v>
      </c>
      <c r="D16" s="2">
        <v>2.0</v>
      </c>
      <c r="E16" s="2">
        <v>1.0</v>
      </c>
      <c r="F16" s="2">
        <v>5.0</v>
      </c>
      <c r="G16" s="2">
        <v>8.0</v>
      </c>
    </row>
    <row r="17">
      <c r="A17" s="2">
        <v>2011.0</v>
      </c>
      <c r="B17" s="2" t="s">
        <v>25</v>
      </c>
      <c r="C17" s="2" t="s">
        <v>8</v>
      </c>
      <c r="D17" s="2">
        <v>0.0</v>
      </c>
      <c r="E17" s="2">
        <v>1.0</v>
      </c>
      <c r="F17" s="2">
        <v>1.0</v>
      </c>
      <c r="G17" s="2">
        <v>2.0</v>
      </c>
    </row>
    <row r="18">
      <c r="A18" s="2">
        <v>2011.0</v>
      </c>
      <c r="B18" s="2" t="s">
        <v>25</v>
      </c>
      <c r="C18" s="2" t="s">
        <v>9</v>
      </c>
      <c r="D18" s="2">
        <v>5.0</v>
      </c>
      <c r="E18" s="2">
        <v>7.0</v>
      </c>
      <c r="F18" s="2">
        <v>22.0</v>
      </c>
      <c r="G18" s="2">
        <v>34.0</v>
      </c>
    </row>
    <row r="19">
      <c r="A19" s="2">
        <v>2011.0</v>
      </c>
      <c r="B19" s="2" t="s">
        <v>25</v>
      </c>
      <c r="C19" s="2" t="s">
        <v>10</v>
      </c>
      <c r="D19" s="2">
        <v>1244.0</v>
      </c>
      <c r="E19" s="2">
        <v>1098.0</v>
      </c>
      <c r="F19" s="2">
        <v>3734.0</v>
      </c>
      <c r="G19" s="2">
        <v>6076.0</v>
      </c>
    </row>
    <row r="20">
      <c r="A20" s="2">
        <v>2011.0</v>
      </c>
      <c r="B20" s="2" t="s">
        <v>25</v>
      </c>
      <c r="C20" s="2" t="s">
        <v>12</v>
      </c>
      <c r="D20" s="2">
        <v>11.0</v>
      </c>
      <c r="E20" s="2">
        <v>10.0</v>
      </c>
      <c r="F20" s="2">
        <v>43.0</v>
      </c>
      <c r="G20" s="2">
        <v>64.0</v>
      </c>
    </row>
    <row r="21">
      <c r="A21" s="2">
        <v>2011.0</v>
      </c>
      <c r="B21" s="2" t="s">
        <v>25</v>
      </c>
      <c r="C21" s="2" t="s">
        <v>15</v>
      </c>
      <c r="D21" s="2">
        <v>254.0</v>
      </c>
      <c r="E21" s="2">
        <v>173.0</v>
      </c>
      <c r="F21" s="2">
        <v>806.0</v>
      </c>
      <c r="G21" s="2">
        <v>1233.0</v>
      </c>
    </row>
    <row r="22">
      <c r="A22" s="2">
        <v>2011.0</v>
      </c>
      <c r="B22" s="2" t="s">
        <v>25</v>
      </c>
      <c r="C22" s="2" t="s">
        <v>16</v>
      </c>
      <c r="D22" s="2">
        <v>0.0</v>
      </c>
      <c r="E22" s="2">
        <v>1.0</v>
      </c>
      <c r="F22" s="2">
        <v>22.0</v>
      </c>
      <c r="G22" s="2">
        <v>23.0</v>
      </c>
    </row>
    <row r="23">
      <c r="A23" s="2">
        <v>2011.0</v>
      </c>
      <c r="B23" s="2" t="s">
        <v>25</v>
      </c>
      <c r="C23" s="2" t="s">
        <v>14</v>
      </c>
      <c r="D23" s="2">
        <v>1093.0</v>
      </c>
      <c r="E23" s="2">
        <v>997.0</v>
      </c>
      <c r="F23" s="2">
        <v>3443.0</v>
      </c>
      <c r="G23" s="2">
        <v>5533.0</v>
      </c>
    </row>
    <row r="24">
      <c r="A24" s="2">
        <v>2011.0</v>
      </c>
      <c r="B24" s="2" t="s">
        <v>25</v>
      </c>
      <c r="C24" s="2" t="s">
        <v>17</v>
      </c>
      <c r="D24" s="2">
        <v>1.0</v>
      </c>
      <c r="E24" s="2">
        <v>5.0</v>
      </c>
      <c r="F24" s="2">
        <v>22.0</v>
      </c>
      <c r="G24" s="2">
        <v>28.0</v>
      </c>
    </row>
    <row r="25">
      <c r="A25" s="2">
        <v>2011.0</v>
      </c>
      <c r="B25" s="2" t="s">
        <v>25</v>
      </c>
      <c r="C25" s="2" t="s">
        <v>19</v>
      </c>
      <c r="D25" s="2">
        <v>13.0</v>
      </c>
      <c r="E25" s="2">
        <v>19.0</v>
      </c>
      <c r="F25" s="2">
        <v>76.0</v>
      </c>
      <c r="G25" s="2">
        <v>108.0</v>
      </c>
    </row>
    <row r="26">
      <c r="A26" s="2">
        <v>2011.0</v>
      </c>
      <c r="B26" s="2" t="s">
        <v>25</v>
      </c>
      <c r="C26" s="2" t="s">
        <v>20</v>
      </c>
      <c r="D26" s="2">
        <v>8.0</v>
      </c>
      <c r="E26" s="2">
        <v>12.0</v>
      </c>
      <c r="F26" s="2">
        <v>23.0</v>
      </c>
      <c r="G26" s="2">
        <v>43.0</v>
      </c>
    </row>
    <row r="27">
      <c r="A27" s="2">
        <v>2011.0</v>
      </c>
      <c r="B27" s="2" t="s">
        <v>25</v>
      </c>
      <c r="C27" s="2" t="s">
        <v>21</v>
      </c>
      <c r="D27" s="2">
        <v>1.0</v>
      </c>
      <c r="E27" s="2">
        <v>1.0</v>
      </c>
      <c r="F27" s="2">
        <v>2.0</v>
      </c>
      <c r="G27" s="2">
        <v>4.0</v>
      </c>
    </row>
    <row r="28">
      <c r="A28" s="2">
        <v>2011.0</v>
      </c>
      <c r="B28" s="2" t="s">
        <v>25</v>
      </c>
      <c r="C28" s="2" t="s">
        <v>22</v>
      </c>
      <c r="D28" s="2">
        <v>8.0</v>
      </c>
      <c r="E28" s="2">
        <v>9.0</v>
      </c>
      <c r="F28" s="2">
        <v>22.0</v>
      </c>
      <c r="G28" s="2">
        <v>39.0</v>
      </c>
    </row>
    <row r="29">
      <c r="A29" s="2">
        <v>2011.0</v>
      </c>
      <c r="B29" s="2" t="s">
        <v>25</v>
      </c>
      <c r="C29" s="2" t="s">
        <v>23</v>
      </c>
      <c r="D29" s="2">
        <v>1.0</v>
      </c>
      <c r="E29" s="2">
        <v>0.0</v>
      </c>
      <c r="F29" s="2">
        <v>6.0</v>
      </c>
      <c r="G29" s="2">
        <v>7.0</v>
      </c>
    </row>
    <row r="30">
      <c r="A30" s="2">
        <v>2011.0</v>
      </c>
      <c r="B30" s="2" t="s">
        <v>27</v>
      </c>
      <c r="C30" s="2" t="s">
        <v>7</v>
      </c>
      <c r="D30" s="2">
        <v>2.0</v>
      </c>
      <c r="E30" s="2">
        <v>0.0</v>
      </c>
      <c r="F30" s="2">
        <v>6.0</v>
      </c>
      <c r="G30" s="2">
        <v>8.0</v>
      </c>
    </row>
    <row r="31">
      <c r="A31" s="2">
        <v>2011.0</v>
      </c>
      <c r="B31" s="2" t="s">
        <v>27</v>
      </c>
      <c r="C31" s="2" t="s">
        <v>8</v>
      </c>
      <c r="D31" s="2">
        <v>0.0</v>
      </c>
      <c r="E31" s="2">
        <v>0.0</v>
      </c>
      <c r="F31" s="2">
        <v>0.0</v>
      </c>
      <c r="G31" s="2">
        <v>0.0</v>
      </c>
    </row>
    <row r="32">
      <c r="A32" s="2">
        <v>2011.0</v>
      </c>
      <c r="B32" s="2" t="s">
        <v>27</v>
      </c>
      <c r="C32" s="2" t="s">
        <v>9</v>
      </c>
      <c r="D32" s="2">
        <v>4.0</v>
      </c>
      <c r="E32" s="2">
        <v>5.0</v>
      </c>
      <c r="F32" s="2">
        <v>14.0</v>
      </c>
      <c r="G32" s="2">
        <v>23.0</v>
      </c>
    </row>
    <row r="33">
      <c r="A33" s="2">
        <v>2011.0</v>
      </c>
      <c r="B33" s="2" t="s">
        <v>27</v>
      </c>
      <c r="C33" s="2" t="s">
        <v>10</v>
      </c>
      <c r="D33" s="2">
        <v>1236.0</v>
      </c>
      <c r="E33" s="2">
        <v>1092.0</v>
      </c>
      <c r="F33" s="2">
        <v>3656.0</v>
      </c>
      <c r="G33" s="2">
        <v>5984.0</v>
      </c>
    </row>
    <row r="34">
      <c r="A34" s="2">
        <v>2011.0</v>
      </c>
      <c r="B34" s="2" t="s">
        <v>27</v>
      </c>
      <c r="C34" s="2" t="s">
        <v>12</v>
      </c>
      <c r="D34" s="2">
        <v>11.0</v>
      </c>
      <c r="E34" s="2">
        <v>8.0</v>
      </c>
      <c r="F34" s="2">
        <v>49.0</v>
      </c>
      <c r="G34" s="2">
        <v>68.0</v>
      </c>
    </row>
    <row r="35">
      <c r="A35" s="2">
        <v>2011.0</v>
      </c>
      <c r="B35" s="2" t="s">
        <v>27</v>
      </c>
      <c r="C35" s="2" t="s">
        <v>15</v>
      </c>
      <c r="D35" s="2">
        <v>262.0</v>
      </c>
      <c r="E35" s="2">
        <v>145.0</v>
      </c>
      <c r="F35" s="2">
        <v>918.0</v>
      </c>
      <c r="G35" s="2">
        <v>1325.0</v>
      </c>
    </row>
    <row r="36">
      <c r="A36" s="2">
        <v>2011.0</v>
      </c>
      <c r="B36" s="2" t="s">
        <v>27</v>
      </c>
      <c r="C36" s="2" t="s">
        <v>16</v>
      </c>
      <c r="D36" s="2">
        <v>5.0</v>
      </c>
      <c r="E36" s="2">
        <v>0.0</v>
      </c>
      <c r="F36" s="2">
        <v>9.0</v>
      </c>
      <c r="G36" s="2">
        <v>14.0</v>
      </c>
    </row>
    <row r="37">
      <c r="A37" s="2">
        <v>2011.0</v>
      </c>
      <c r="B37" s="2" t="s">
        <v>27</v>
      </c>
      <c r="C37" s="2" t="s">
        <v>14</v>
      </c>
      <c r="D37" s="2">
        <v>1077.0</v>
      </c>
      <c r="E37" s="2">
        <v>865.0</v>
      </c>
      <c r="F37" s="2">
        <v>3591.0</v>
      </c>
      <c r="G37" s="2">
        <v>5533.0</v>
      </c>
    </row>
    <row r="38">
      <c r="A38" s="2">
        <v>2011.0</v>
      </c>
      <c r="B38" s="2" t="s">
        <v>27</v>
      </c>
      <c r="C38" s="2" t="s">
        <v>17</v>
      </c>
      <c r="D38" s="2">
        <v>0.0</v>
      </c>
      <c r="E38" s="2">
        <v>4.0</v>
      </c>
      <c r="F38" s="2">
        <v>24.0</v>
      </c>
      <c r="G38" s="2">
        <v>28.0</v>
      </c>
    </row>
    <row r="39">
      <c r="A39" s="2">
        <v>2011.0</v>
      </c>
      <c r="B39" s="2" t="s">
        <v>27</v>
      </c>
      <c r="C39" s="2" t="s">
        <v>19</v>
      </c>
      <c r="D39" s="2">
        <v>7.0</v>
      </c>
      <c r="E39" s="2">
        <v>12.0</v>
      </c>
      <c r="F39" s="2">
        <v>59.0</v>
      </c>
      <c r="G39" s="2">
        <v>78.0</v>
      </c>
    </row>
    <row r="40">
      <c r="A40" s="2">
        <v>2011.0</v>
      </c>
      <c r="B40" s="2" t="s">
        <v>27</v>
      </c>
      <c r="C40" s="2" t="s">
        <v>20</v>
      </c>
      <c r="D40" s="2">
        <v>17.0</v>
      </c>
      <c r="E40" s="2">
        <v>8.0</v>
      </c>
      <c r="F40" s="2">
        <v>14.0</v>
      </c>
      <c r="G40" s="2">
        <v>39.0</v>
      </c>
    </row>
    <row r="41">
      <c r="A41" s="2">
        <v>2011.0</v>
      </c>
      <c r="B41" s="2" t="s">
        <v>27</v>
      </c>
      <c r="C41" s="2" t="s">
        <v>21</v>
      </c>
      <c r="D41" s="2">
        <v>0.0</v>
      </c>
      <c r="E41" s="2">
        <v>0.0</v>
      </c>
      <c r="F41" s="2">
        <v>0.0</v>
      </c>
      <c r="G41" s="2">
        <v>0.0</v>
      </c>
    </row>
    <row r="42">
      <c r="A42" s="2">
        <v>2011.0</v>
      </c>
      <c r="B42" s="2" t="s">
        <v>27</v>
      </c>
      <c r="C42" s="2" t="s">
        <v>22</v>
      </c>
      <c r="D42" s="2">
        <v>2.0</v>
      </c>
      <c r="E42" s="2">
        <v>3.0</v>
      </c>
      <c r="F42" s="2">
        <v>20.0</v>
      </c>
      <c r="G42" s="2">
        <v>25.0</v>
      </c>
    </row>
    <row r="43">
      <c r="A43" s="2">
        <v>2011.0</v>
      </c>
      <c r="B43" s="2" t="s">
        <v>27</v>
      </c>
      <c r="C43" s="2" t="s">
        <v>23</v>
      </c>
      <c r="D43" s="2">
        <v>3.0</v>
      </c>
      <c r="E43" s="2">
        <v>0.0</v>
      </c>
      <c r="F43" s="2">
        <v>4.0</v>
      </c>
      <c r="G43" s="2">
        <v>7.0</v>
      </c>
    </row>
    <row r="44">
      <c r="A44" s="2">
        <v>2011.0</v>
      </c>
      <c r="B44" s="2" t="s">
        <v>29</v>
      </c>
      <c r="C44" s="2" t="s">
        <v>7</v>
      </c>
      <c r="D44" s="2">
        <v>2.0</v>
      </c>
      <c r="E44" s="2">
        <v>3.0</v>
      </c>
      <c r="F44" s="2">
        <v>13.0</v>
      </c>
      <c r="G44" s="2">
        <v>18.0</v>
      </c>
    </row>
    <row r="45">
      <c r="A45" s="2">
        <v>2011.0</v>
      </c>
      <c r="B45" s="2" t="s">
        <v>29</v>
      </c>
      <c r="C45" s="2" t="s">
        <v>8</v>
      </c>
      <c r="D45" s="2">
        <v>0.0</v>
      </c>
      <c r="E45" s="2">
        <v>0.0</v>
      </c>
      <c r="F45" s="2">
        <v>0.0</v>
      </c>
      <c r="G45" s="2">
        <v>0.0</v>
      </c>
    </row>
    <row r="46">
      <c r="A46" s="2">
        <v>2011.0</v>
      </c>
      <c r="B46" s="2" t="s">
        <v>29</v>
      </c>
      <c r="C46" s="2" t="s">
        <v>9</v>
      </c>
      <c r="D46" s="2">
        <v>0.0</v>
      </c>
      <c r="E46" s="2">
        <v>1.0</v>
      </c>
      <c r="F46" s="2">
        <v>15.0</v>
      </c>
      <c r="G46" s="2">
        <v>16.0</v>
      </c>
    </row>
    <row r="47">
      <c r="A47" s="2">
        <v>2011.0</v>
      </c>
      <c r="B47" s="2" t="s">
        <v>29</v>
      </c>
      <c r="C47" s="2" t="s">
        <v>10</v>
      </c>
      <c r="D47" s="2">
        <v>1412.0</v>
      </c>
      <c r="E47" s="2">
        <v>1245.0</v>
      </c>
      <c r="F47" s="2">
        <v>6420.0</v>
      </c>
      <c r="G47" s="2">
        <v>9077.0</v>
      </c>
    </row>
    <row r="48">
      <c r="A48" s="2">
        <v>2011.0</v>
      </c>
      <c r="B48" s="2" t="s">
        <v>29</v>
      </c>
      <c r="C48" s="2" t="s">
        <v>12</v>
      </c>
      <c r="D48" s="2">
        <v>7.0</v>
      </c>
      <c r="E48" s="2">
        <v>8.0</v>
      </c>
      <c r="F48" s="2">
        <v>28.0</v>
      </c>
      <c r="G48" s="2">
        <v>43.0</v>
      </c>
    </row>
    <row r="49">
      <c r="A49" s="2">
        <v>2011.0</v>
      </c>
      <c r="B49" s="2" t="s">
        <v>29</v>
      </c>
      <c r="C49" s="2" t="s">
        <v>15</v>
      </c>
      <c r="D49" s="2">
        <v>279.0</v>
      </c>
      <c r="E49" s="2">
        <v>197.0</v>
      </c>
      <c r="F49" s="2">
        <v>1277.0</v>
      </c>
      <c r="G49" s="2">
        <v>1753.0</v>
      </c>
    </row>
    <row r="50">
      <c r="A50" s="2">
        <v>2011.0</v>
      </c>
      <c r="B50" s="2" t="s">
        <v>29</v>
      </c>
      <c r="C50" s="2" t="s">
        <v>16</v>
      </c>
      <c r="D50" s="2">
        <v>1.0</v>
      </c>
      <c r="E50" s="2">
        <v>4.0</v>
      </c>
      <c r="F50" s="2">
        <v>30.0</v>
      </c>
      <c r="G50" s="2">
        <v>35.0</v>
      </c>
    </row>
    <row r="51">
      <c r="A51" s="2">
        <v>2011.0</v>
      </c>
      <c r="B51" s="2" t="s">
        <v>29</v>
      </c>
      <c r="C51" s="2" t="s">
        <v>14</v>
      </c>
      <c r="D51" s="2">
        <v>1108.0</v>
      </c>
      <c r="E51" s="2">
        <v>970.0</v>
      </c>
      <c r="F51" s="2">
        <v>5502.0</v>
      </c>
      <c r="G51" s="2">
        <v>7580.0</v>
      </c>
    </row>
    <row r="52">
      <c r="A52" s="2">
        <v>2011.0</v>
      </c>
      <c r="B52" s="2" t="s">
        <v>29</v>
      </c>
      <c r="C52" s="2" t="s">
        <v>17</v>
      </c>
      <c r="D52" s="2">
        <v>3.0</v>
      </c>
      <c r="E52" s="2">
        <v>3.0</v>
      </c>
      <c r="F52" s="2">
        <v>20.0</v>
      </c>
      <c r="G52" s="2">
        <v>26.0</v>
      </c>
    </row>
    <row r="53">
      <c r="A53" s="2">
        <v>2011.0</v>
      </c>
      <c r="B53" s="2" t="s">
        <v>29</v>
      </c>
      <c r="C53" s="2" t="s">
        <v>19</v>
      </c>
      <c r="D53" s="2">
        <v>10.0</v>
      </c>
      <c r="E53" s="2">
        <v>17.0</v>
      </c>
      <c r="F53" s="2">
        <v>98.0</v>
      </c>
      <c r="G53" s="2">
        <v>125.0</v>
      </c>
    </row>
    <row r="54">
      <c r="A54" s="2">
        <v>2011.0</v>
      </c>
      <c r="B54" s="2" t="s">
        <v>29</v>
      </c>
      <c r="C54" s="2" t="s">
        <v>20</v>
      </c>
      <c r="D54" s="2">
        <v>12.0</v>
      </c>
      <c r="E54" s="2">
        <v>9.0</v>
      </c>
      <c r="F54" s="2">
        <v>45.0</v>
      </c>
      <c r="G54" s="2">
        <v>66.0</v>
      </c>
    </row>
    <row r="55">
      <c r="A55" s="2">
        <v>2011.0</v>
      </c>
      <c r="B55" s="2" t="s">
        <v>29</v>
      </c>
      <c r="C55" s="2" t="s">
        <v>21</v>
      </c>
      <c r="D55" s="2">
        <v>1.0</v>
      </c>
      <c r="E55" s="2">
        <v>0.0</v>
      </c>
      <c r="F55" s="2">
        <v>1.0</v>
      </c>
      <c r="G55" s="2">
        <v>2.0</v>
      </c>
    </row>
    <row r="56">
      <c r="A56" s="2">
        <v>2011.0</v>
      </c>
      <c r="B56" s="2" t="s">
        <v>29</v>
      </c>
      <c r="C56" s="2" t="s">
        <v>22</v>
      </c>
      <c r="D56" s="2">
        <v>2.0</v>
      </c>
      <c r="E56" s="2">
        <v>7.0</v>
      </c>
      <c r="F56" s="2">
        <v>24.0</v>
      </c>
      <c r="G56" s="2">
        <v>33.0</v>
      </c>
    </row>
    <row r="57">
      <c r="A57" s="2">
        <v>2011.0</v>
      </c>
      <c r="B57" s="2" t="s">
        <v>29</v>
      </c>
      <c r="C57" s="2" t="s">
        <v>23</v>
      </c>
      <c r="D57" s="2">
        <v>4.0</v>
      </c>
      <c r="E57" s="2">
        <v>0.0</v>
      </c>
      <c r="F57" s="2">
        <v>5.0</v>
      </c>
      <c r="G57" s="2">
        <v>9.0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0"/>
  </cols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2012.0</v>
      </c>
      <c r="B2" s="2" t="s">
        <v>11</v>
      </c>
      <c r="C2" s="2" t="s">
        <v>7</v>
      </c>
      <c r="D2" s="2">
        <v>1.0</v>
      </c>
      <c r="E2" s="2">
        <v>2.0</v>
      </c>
      <c r="F2" s="2">
        <v>8.0</v>
      </c>
      <c r="G2" s="2">
        <v>11.0</v>
      </c>
    </row>
    <row r="3">
      <c r="A3" s="2">
        <v>2012.0</v>
      </c>
      <c r="B3" s="2" t="s">
        <v>11</v>
      </c>
      <c r="C3" s="2" t="s">
        <v>8</v>
      </c>
      <c r="D3" s="2">
        <v>0.0</v>
      </c>
      <c r="E3" s="2">
        <v>0.0</v>
      </c>
      <c r="F3" s="2">
        <v>0.0</v>
      </c>
      <c r="G3" s="2">
        <v>0.0</v>
      </c>
    </row>
    <row r="4">
      <c r="A4" s="2">
        <v>2012.0</v>
      </c>
      <c r="B4" s="2" t="s">
        <v>11</v>
      </c>
      <c r="C4" s="2" t="s">
        <v>9</v>
      </c>
      <c r="D4" s="2">
        <v>1.0</v>
      </c>
      <c r="E4" s="2">
        <v>3.0</v>
      </c>
      <c r="F4" s="2">
        <v>11.0</v>
      </c>
      <c r="G4" s="2">
        <v>15.0</v>
      </c>
    </row>
    <row r="5">
      <c r="A5" s="2">
        <v>2012.0</v>
      </c>
      <c r="B5" s="2" t="s">
        <v>11</v>
      </c>
      <c r="C5" s="2" t="s">
        <v>10</v>
      </c>
      <c r="D5" s="2">
        <v>1342.0</v>
      </c>
      <c r="E5" s="2">
        <v>1162.0</v>
      </c>
      <c r="F5" s="2">
        <v>4001.0</v>
      </c>
      <c r="G5" s="2">
        <v>6505.0</v>
      </c>
    </row>
    <row r="6">
      <c r="A6" s="2">
        <v>2012.0</v>
      </c>
      <c r="B6" s="2" t="s">
        <v>11</v>
      </c>
      <c r="C6" s="2" t="s">
        <v>12</v>
      </c>
      <c r="D6" s="2">
        <v>5.0</v>
      </c>
      <c r="E6" s="2">
        <v>8.0</v>
      </c>
      <c r="F6" s="2">
        <v>48.0</v>
      </c>
      <c r="G6" s="2">
        <v>61.0</v>
      </c>
    </row>
    <row r="7">
      <c r="A7" s="2">
        <v>2012.0</v>
      </c>
      <c r="B7" s="2" t="s">
        <v>11</v>
      </c>
      <c r="C7" s="2" t="s">
        <v>15</v>
      </c>
      <c r="D7" s="2">
        <v>260.0</v>
      </c>
      <c r="E7" s="2">
        <v>179.0</v>
      </c>
      <c r="F7" s="2">
        <v>973.0</v>
      </c>
      <c r="G7" s="2">
        <v>1412.0</v>
      </c>
    </row>
    <row r="8">
      <c r="A8" s="2">
        <v>2012.0</v>
      </c>
      <c r="B8" s="2" t="s">
        <v>11</v>
      </c>
      <c r="C8" s="2" t="s">
        <v>16</v>
      </c>
      <c r="D8" s="2">
        <v>2.0</v>
      </c>
      <c r="E8" s="2">
        <v>5.0</v>
      </c>
      <c r="F8" s="2">
        <v>15.0</v>
      </c>
      <c r="G8" s="2">
        <v>22.0</v>
      </c>
    </row>
    <row r="9">
      <c r="A9" s="2">
        <v>2012.0</v>
      </c>
      <c r="B9" s="2" t="s">
        <v>11</v>
      </c>
      <c r="C9" s="2" t="s">
        <v>14</v>
      </c>
      <c r="D9" s="2">
        <v>1083.0</v>
      </c>
      <c r="E9" s="2">
        <v>985.0</v>
      </c>
      <c r="F9" s="2">
        <v>3986.0</v>
      </c>
      <c r="G9" s="2">
        <v>6054.0</v>
      </c>
    </row>
    <row r="10">
      <c r="A10" s="2">
        <v>2012.0</v>
      </c>
      <c r="B10" s="2" t="s">
        <v>11</v>
      </c>
      <c r="C10" s="2" t="s">
        <v>17</v>
      </c>
      <c r="D10" s="2">
        <v>3.0</v>
      </c>
      <c r="E10" s="2">
        <v>5.0</v>
      </c>
      <c r="F10" s="2">
        <v>29.0</v>
      </c>
      <c r="G10" s="2">
        <v>37.0</v>
      </c>
    </row>
    <row r="11">
      <c r="A11" s="2">
        <v>2012.0</v>
      </c>
      <c r="B11" s="2" t="s">
        <v>11</v>
      </c>
      <c r="C11" s="2" t="s">
        <v>19</v>
      </c>
      <c r="D11" s="2">
        <v>16.0</v>
      </c>
      <c r="E11" s="2">
        <v>13.0</v>
      </c>
      <c r="F11" s="2">
        <v>75.0</v>
      </c>
      <c r="G11" s="2">
        <v>104.0</v>
      </c>
    </row>
    <row r="12">
      <c r="A12" s="2">
        <v>2012.0</v>
      </c>
      <c r="B12" s="2" t="s">
        <v>11</v>
      </c>
      <c r="C12" s="2" t="s">
        <v>20</v>
      </c>
      <c r="D12" s="2">
        <v>14.0</v>
      </c>
      <c r="E12" s="2">
        <v>14.0</v>
      </c>
      <c r="F12" s="2">
        <v>33.0</v>
      </c>
      <c r="G12" s="2">
        <v>61.0</v>
      </c>
    </row>
    <row r="13">
      <c r="A13" s="2">
        <v>2012.0</v>
      </c>
      <c r="B13" s="2" t="s">
        <v>11</v>
      </c>
      <c r="C13" s="2" t="s">
        <v>21</v>
      </c>
      <c r="D13" s="2">
        <v>1.0</v>
      </c>
      <c r="E13" s="2">
        <v>0.0</v>
      </c>
      <c r="F13" s="2">
        <v>4.0</v>
      </c>
      <c r="G13" s="2">
        <v>5.0</v>
      </c>
    </row>
    <row r="14">
      <c r="A14" s="2">
        <v>2012.0</v>
      </c>
      <c r="B14" s="2" t="s">
        <v>11</v>
      </c>
      <c r="C14" s="2" t="s">
        <v>22</v>
      </c>
      <c r="D14" s="2">
        <v>3.0</v>
      </c>
      <c r="E14" s="2">
        <v>7.0</v>
      </c>
      <c r="F14" s="2">
        <v>25.0</v>
      </c>
      <c r="G14" s="2">
        <v>35.0</v>
      </c>
    </row>
    <row r="15">
      <c r="A15" s="2">
        <v>2012.0</v>
      </c>
      <c r="B15" s="2" t="s">
        <v>11</v>
      </c>
      <c r="C15" s="2" t="s">
        <v>23</v>
      </c>
      <c r="D15" s="2">
        <v>5.0</v>
      </c>
      <c r="E15" s="2">
        <v>0.0</v>
      </c>
      <c r="F15" s="2">
        <v>5.0</v>
      </c>
      <c r="G15" s="2">
        <v>10.0</v>
      </c>
    </row>
    <row r="16">
      <c r="A16" s="2">
        <v>2012.0</v>
      </c>
      <c r="B16" s="2" t="s">
        <v>24</v>
      </c>
      <c r="C16" s="2" t="s">
        <v>7</v>
      </c>
      <c r="D16" s="2">
        <v>0.0</v>
      </c>
      <c r="E16" s="2">
        <v>3.0</v>
      </c>
      <c r="F16" s="2">
        <v>7.0</v>
      </c>
      <c r="G16" s="2">
        <v>10.0</v>
      </c>
    </row>
    <row r="17">
      <c r="A17" s="2">
        <v>2012.0</v>
      </c>
      <c r="B17" s="2" t="s">
        <v>24</v>
      </c>
      <c r="C17" s="2" t="s">
        <v>8</v>
      </c>
      <c r="D17" s="2">
        <v>0.0</v>
      </c>
      <c r="E17" s="2">
        <v>0.0</v>
      </c>
      <c r="F17" s="2">
        <v>1.0</v>
      </c>
      <c r="G17" s="2">
        <v>1.0</v>
      </c>
    </row>
    <row r="18">
      <c r="A18" s="2">
        <v>2012.0</v>
      </c>
      <c r="B18" s="2" t="s">
        <v>24</v>
      </c>
      <c r="C18" s="2" t="s">
        <v>9</v>
      </c>
      <c r="D18" s="2">
        <v>5.0</v>
      </c>
      <c r="E18" s="2">
        <v>6.0</v>
      </c>
      <c r="F18" s="2">
        <v>17.0</v>
      </c>
      <c r="G18" s="2">
        <v>28.0</v>
      </c>
    </row>
    <row r="19">
      <c r="A19" s="2">
        <v>2012.0</v>
      </c>
      <c r="B19" s="2" t="s">
        <v>24</v>
      </c>
      <c r="C19" s="2" t="s">
        <v>10</v>
      </c>
      <c r="D19" s="2">
        <v>1269.0</v>
      </c>
      <c r="E19" s="2">
        <v>1184.0</v>
      </c>
      <c r="F19" s="2">
        <v>3894.0</v>
      </c>
      <c r="G19" s="2">
        <v>6347.0</v>
      </c>
    </row>
    <row r="20">
      <c r="A20" s="2">
        <v>2012.0</v>
      </c>
      <c r="B20" s="2" t="s">
        <v>24</v>
      </c>
      <c r="C20" s="2" t="s">
        <v>12</v>
      </c>
      <c r="D20" s="2">
        <v>5.0</v>
      </c>
      <c r="E20" s="2">
        <v>10.0</v>
      </c>
      <c r="F20" s="2">
        <v>45.0</v>
      </c>
      <c r="G20" s="2">
        <v>60.0</v>
      </c>
    </row>
    <row r="21">
      <c r="A21" s="2">
        <v>2012.0</v>
      </c>
      <c r="B21" s="2" t="s">
        <v>24</v>
      </c>
      <c r="C21" s="2" t="s">
        <v>15</v>
      </c>
      <c r="D21" s="2">
        <v>243.0</v>
      </c>
      <c r="E21" s="2">
        <v>196.0</v>
      </c>
      <c r="F21" s="2">
        <v>1044.0</v>
      </c>
      <c r="G21" s="2">
        <v>1483.0</v>
      </c>
    </row>
    <row r="22">
      <c r="A22" s="2">
        <v>2012.0</v>
      </c>
      <c r="B22" s="2" t="s">
        <v>24</v>
      </c>
      <c r="C22" s="2" t="s">
        <v>16</v>
      </c>
      <c r="D22" s="2">
        <v>1.0</v>
      </c>
      <c r="E22" s="2">
        <v>3.0</v>
      </c>
      <c r="F22" s="2">
        <v>12.0</v>
      </c>
      <c r="G22" s="2">
        <v>16.0</v>
      </c>
    </row>
    <row r="23">
      <c r="A23" s="2">
        <v>2012.0</v>
      </c>
      <c r="B23" s="2" t="s">
        <v>24</v>
      </c>
      <c r="C23" s="2" t="s">
        <v>14</v>
      </c>
      <c r="D23" s="2">
        <v>1146.0</v>
      </c>
      <c r="E23" s="2">
        <v>1056.0</v>
      </c>
      <c r="F23" s="2">
        <v>3918.0</v>
      </c>
      <c r="G23" s="2">
        <v>6120.0</v>
      </c>
    </row>
    <row r="24">
      <c r="A24" s="2">
        <v>2012.0</v>
      </c>
      <c r="B24" s="2" t="s">
        <v>24</v>
      </c>
      <c r="C24" s="2" t="s">
        <v>17</v>
      </c>
      <c r="D24" s="2">
        <v>3.0</v>
      </c>
      <c r="E24" s="2">
        <v>7.0</v>
      </c>
      <c r="F24" s="2">
        <v>28.0</v>
      </c>
      <c r="G24" s="2">
        <v>38.0</v>
      </c>
    </row>
    <row r="25">
      <c r="A25" s="2">
        <v>2012.0</v>
      </c>
      <c r="B25" s="2" t="s">
        <v>24</v>
      </c>
      <c r="C25" s="2" t="s">
        <v>19</v>
      </c>
      <c r="D25" s="2">
        <v>11.0</v>
      </c>
      <c r="E25" s="2">
        <v>24.0</v>
      </c>
      <c r="F25" s="2">
        <v>99.0</v>
      </c>
      <c r="G25" s="2">
        <v>134.0</v>
      </c>
    </row>
    <row r="26">
      <c r="A26" s="2">
        <v>2012.0</v>
      </c>
      <c r="B26" s="2" t="s">
        <v>24</v>
      </c>
      <c r="C26" s="2" t="s">
        <v>20</v>
      </c>
      <c r="D26" s="2">
        <v>16.0</v>
      </c>
      <c r="E26" s="2">
        <v>9.0</v>
      </c>
      <c r="F26" s="2">
        <v>15.0</v>
      </c>
      <c r="G26" s="2">
        <v>40.0</v>
      </c>
    </row>
    <row r="27">
      <c r="A27" s="2">
        <v>2012.0</v>
      </c>
      <c r="B27" s="2" t="s">
        <v>24</v>
      </c>
      <c r="C27" s="2" t="s">
        <v>21</v>
      </c>
      <c r="D27" s="2">
        <v>0.0</v>
      </c>
      <c r="E27" s="2">
        <v>0.0</v>
      </c>
      <c r="F27" s="2">
        <v>2.0</v>
      </c>
      <c r="G27" s="2">
        <v>2.0</v>
      </c>
    </row>
    <row r="28">
      <c r="A28" s="2">
        <v>2012.0</v>
      </c>
      <c r="B28" s="2" t="s">
        <v>24</v>
      </c>
      <c r="C28" s="2" t="s">
        <v>22</v>
      </c>
      <c r="D28" s="2">
        <v>6.0</v>
      </c>
      <c r="E28" s="2">
        <v>6.0</v>
      </c>
      <c r="F28" s="2">
        <v>17.0</v>
      </c>
      <c r="G28" s="2">
        <v>29.0</v>
      </c>
    </row>
    <row r="29">
      <c r="A29" s="2">
        <v>2012.0</v>
      </c>
      <c r="B29" s="2" t="s">
        <v>24</v>
      </c>
      <c r="C29" s="2" t="s">
        <v>23</v>
      </c>
      <c r="D29" s="2">
        <v>3.0</v>
      </c>
      <c r="E29" s="2">
        <v>0.0</v>
      </c>
      <c r="F29" s="2">
        <v>7.0</v>
      </c>
      <c r="G29" s="2">
        <v>10.0</v>
      </c>
    </row>
    <row r="30">
      <c r="A30" s="2">
        <v>2012.0</v>
      </c>
      <c r="B30" s="2" t="s">
        <v>26</v>
      </c>
      <c r="C30" s="2" t="s">
        <v>7</v>
      </c>
      <c r="D30" s="2">
        <v>3.0</v>
      </c>
      <c r="E30" s="2">
        <v>3.0</v>
      </c>
      <c r="F30" s="2">
        <v>8.0</v>
      </c>
      <c r="G30" s="2">
        <v>14.0</v>
      </c>
    </row>
    <row r="31">
      <c r="A31" s="2">
        <v>2012.0</v>
      </c>
      <c r="B31" s="2" t="s">
        <v>26</v>
      </c>
      <c r="C31" s="2" t="s">
        <v>8</v>
      </c>
      <c r="D31" s="2">
        <v>0.0</v>
      </c>
      <c r="E31" s="2">
        <v>0.0</v>
      </c>
      <c r="F31" s="2">
        <v>0.0</v>
      </c>
      <c r="G31" s="2">
        <v>0.0</v>
      </c>
    </row>
    <row r="32">
      <c r="A32" s="2">
        <v>2012.0</v>
      </c>
      <c r="B32" s="2" t="s">
        <v>26</v>
      </c>
      <c r="C32" s="2" t="s">
        <v>9</v>
      </c>
      <c r="D32" s="2">
        <v>6.0</v>
      </c>
      <c r="E32" s="2">
        <v>7.0</v>
      </c>
      <c r="F32" s="2">
        <v>21.0</v>
      </c>
      <c r="G32" s="2">
        <v>34.0</v>
      </c>
    </row>
    <row r="33">
      <c r="A33" s="2">
        <v>2012.0</v>
      </c>
      <c r="B33" s="2" t="s">
        <v>26</v>
      </c>
      <c r="C33" s="2" t="s">
        <v>10</v>
      </c>
      <c r="D33" s="2">
        <v>1441.0</v>
      </c>
      <c r="E33" s="2">
        <v>1259.0</v>
      </c>
      <c r="F33" s="2">
        <v>4252.0</v>
      </c>
      <c r="G33" s="2">
        <v>6952.0</v>
      </c>
    </row>
    <row r="34">
      <c r="A34" s="2">
        <v>2012.0</v>
      </c>
      <c r="B34" s="2" t="s">
        <v>26</v>
      </c>
      <c r="C34" s="2" t="s">
        <v>12</v>
      </c>
      <c r="D34" s="2">
        <v>10.0</v>
      </c>
      <c r="E34" s="2">
        <v>10.0</v>
      </c>
      <c r="F34" s="2">
        <v>44.0</v>
      </c>
      <c r="G34" s="2">
        <v>64.0</v>
      </c>
    </row>
    <row r="35">
      <c r="A35" s="2">
        <v>2012.0</v>
      </c>
      <c r="B35" s="2" t="s">
        <v>26</v>
      </c>
      <c r="C35" s="2" t="s">
        <v>15</v>
      </c>
      <c r="D35" s="2">
        <v>277.0</v>
      </c>
      <c r="E35" s="2">
        <v>200.0</v>
      </c>
      <c r="F35" s="2">
        <v>1121.0</v>
      </c>
      <c r="G35" s="2">
        <v>1598.0</v>
      </c>
    </row>
    <row r="36">
      <c r="A36" s="2">
        <v>2012.0</v>
      </c>
      <c r="B36" s="2" t="s">
        <v>26</v>
      </c>
      <c r="C36" s="2" t="s">
        <v>16</v>
      </c>
      <c r="D36" s="2">
        <v>1.0</v>
      </c>
      <c r="E36" s="2">
        <v>2.0</v>
      </c>
      <c r="F36" s="2">
        <v>21.0</v>
      </c>
      <c r="G36" s="2">
        <v>24.0</v>
      </c>
    </row>
    <row r="37">
      <c r="A37" s="2">
        <v>2012.0</v>
      </c>
      <c r="B37" s="2" t="s">
        <v>26</v>
      </c>
      <c r="C37" s="2" t="s">
        <v>14</v>
      </c>
      <c r="D37" s="2">
        <v>1243.0</v>
      </c>
      <c r="E37" s="2">
        <v>1092.0</v>
      </c>
      <c r="F37" s="2">
        <v>4172.0</v>
      </c>
      <c r="G37" s="2">
        <v>6507.0</v>
      </c>
    </row>
    <row r="38">
      <c r="A38" s="2">
        <v>2012.0</v>
      </c>
      <c r="B38" s="2" t="s">
        <v>26</v>
      </c>
      <c r="C38" s="2" t="s">
        <v>17</v>
      </c>
      <c r="D38" s="2">
        <v>3.0</v>
      </c>
      <c r="E38" s="2">
        <v>2.0</v>
      </c>
      <c r="F38" s="2">
        <v>26.0</v>
      </c>
      <c r="G38" s="2">
        <v>31.0</v>
      </c>
    </row>
    <row r="39">
      <c r="A39" s="2">
        <v>2012.0</v>
      </c>
      <c r="B39" s="2" t="s">
        <v>26</v>
      </c>
      <c r="C39" s="2" t="s">
        <v>19</v>
      </c>
      <c r="D39" s="2">
        <v>8.0</v>
      </c>
      <c r="E39" s="2">
        <v>15.0</v>
      </c>
      <c r="F39" s="2">
        <v>86.0</v>
      </c>
      <c r="G39" s="2">
        <v>109.0</v>
      </c>
    </row>
    <row r="40">
      <c r="A40" s="2">
        <v>2012.0</v>
      </c>
      <c r="B40" s="2" t="s">
        <v>26</v>
      </c>
      <c r="C40" s="2" t="s">
        <v>20</v>
      </c>
      <c r="D40" s="2">
        <v>14.0</v>
      </c>
      <c r="E40" s="2">
        <v>14.0</v>
      </c>
      <c r="F40" s="2">
        <v>24.0</v>
      </c>
      <c r="G40" s="2">
        <v>52.0</v>
      </c>
    </row>
    <row r="41">
      <c r="A41" s="2">
        <v>2012.0</v>
      </c>
      <c r="B41" s="2" t="s">
        <v>26</v>
      </c>
      <c r="C41" s="2" t="s">
        <v>21</v>
      </c>
      <c r="D41" s="2">
        <v>1.0</v>
      </c>
      <c r="E41" s="2">
        <v>1.0</v>
      </c>
      <c r="F41" s="2">
        <v>3.0</v>
      </c>
      <c r="G41" s="2">
        <v>5.0</v>
      </c>
    </row>
    <row r="42">
      <c r="A42" s="2">
        <v>2012.0</v>
      </c>
      <c r="B42" s="2" t="s">
        <v>26</v>
      </c>
      <c r="C42" s="2" t="s">
        <v>22</v>
      </c>
      <c r="D42" s="2">
        <v>8.0</v>
      </c>
      <c r="E42" s="2">
        <v>5.0</v>
      </c>
      <c r="F42" s="2">
        <v>29.0</v>
      </c>
      <c r="G42" s="2">
        <v>42.0</v>
      </c>
    </row>
    <row r="43">
      <c r="A43" s="2">
        <v>2012.0</v>
      </c>
      <c r="B43" s="2" t="s">
        <v>26</v>
      </c>
      <c r="C43" s="2" t="s">
        <v>23</v>
      </c>
      <c r="D43" s="2">
        <v>2.0</v>
      </c>
      <c r="E43" s="2">
        <v>0.0</v>
      </c>
      <c r="F43" s="2">
        <v>11.0</v>
      </c>
      <c r="G43" s="2">
        <v>13.0</v>
      </c>
    </row>
    <row r="44">
      <c r="A44" s="2">
        <v>2012.0</v>
      </c>
      <c r="B44" s="2" t="s">
        <v>13</v>
      </c>
      <c r="C44" s="2" t="s">
        <v>7</v>
      </c>
      <c r="D44" s="2">
        <v>0.0</v>
      </c>
      <c r="E44" s="2">
        <v>3.0</v>
      </c>
      <c r="F44" s="2">
        <v>11.0</v>
      </c>
      <c r="G44" s="2">
        <v>14.0</v>
      </c>
    </row>
    <row r="45">
      <c r="A45" s="2">
        <v>2012.0</v>
      </c>
      <c r="B45" s="2" t="s">
        <v>13</v>
      </c>
      <c r="C45" s="2" t="s">
        <v>8</v>
      </c>
      <c r="D45" s="2">
        <v>0.0</v>
      </c>
      <c r="E45" s="2">
        <v>0.0</v>
      </c>
      <c r="F45" s="2">
        <v>0.0</v>
      </c>
      <c r="G45" s="2">
        <v>0.0</v>
      </c>
    </row>
    <row r="46">
      <c r="A46" s="2">
        <v>2012.0</v>
      </c>
      <c r="B46" s="2" t="s">
        <v>13</v>
      </c>
      <c r="C46" s="2" t="s">
        <v>9</v>
      </c>
      <c r="D46" s="2">
        <v>3.0</v>
      </c>
      <c r="E46" s="2">
        <v>3.0</v>
      </c>
      <c r="F46" s="2">
        <v>13.0</v>
      </c>
      <c r="G46" s="2">
        <v>19.0</v>
      </c>
    </row>
    <row r="47">
      <c r="A47" s="2">
        <v>2012.0</v>
      </c>
      <c r="B47" s="2" t="s">
        <v>13</v>
      </c>
      <c r="C47" s="2" t="s">
        <v>10</v>
      </c>
      <c r="D47" s="2">
        <v>1358.0</v>
      </c>
      <c r="E47" s="2">
        <v>1139.0</v>
      </c>
      <c r="F47" s="2">
        <v>4004.0</v>
      </c>
      <c r="G47" s="2">
        <v>6501.0</v>
      </c>
    </row>
    <row r="48">
      <c r="A48" s="2">
        <v>2012.0</v>
      </c>
      <c r="B48" s="2" t="s">
        <v>13</v>
      </c>
      <c r="C48" s="2" t="s">
        <v>12</v>
      </c>
      <c r="D48" s="2">
        <v>9.0</v>
      </c>
      <c r="E48" s="2">
        <v>5.0</v>
      </c>
      <c r="F48" s="2">
        <v>56.0</v>
      </c>
      <c r="G48" s="2">
        <v>70.0</v>
      </c>
    </row>
    <row r="49">
      <c r="A49" s="2">
        <v>2012.0</v>
      </c>
      <c r="B49" s="2" t="s">
        <v>13</v>
      </c>
      <c r="C49" s="2" t="s">
        <v>15</v>
      </c>
      <c r="D49" s="2">
        <v>258.0</v>
      </c>
      <c r="E49" s="2">
        <v>185.0</v>
      </c>
      <c r="F49" s="2">
        <v>969.0</v>
      </c>
      <c r="G49" s="2">
        <v>1412.0</v>
      </c>
    </row>
    <row r="50">
      <c r="A50" s="2">
        <v>2012.0</v>
      </c>
      <c r="B50" s="2" t="s">
        <v>13</v>
      </c>
      <c r="C50" s="2" t="s">
        <v>16</v>
      </c>
      <c r="D50" s="2">
        <v>2.0</v>
      </c>
      <c r="E50" s="2">
        <v>2.0</v>
      </c>
      <c r="F50" s="2">
        <v>20.0</v>
      </c>
      <c r="G50" s="2">
        <v>24.0</v>
      </c>
    </row>
    <row r="51">
      <c r="A51" s="2">
        <v>2012.0</v>
      </c>
      <c r="B51" s="2" t="s">
        <v>13</v>
      </c>
      <c r="C51" s="2" t="s">
        <v>14</v>
      </c>
      <c r="D51" s="2">
        <v>1147.0</v>
      </c>
      <c r="E51" s="2">
        <v>1059.0</v>
      </c>
      <c r="F51" s="2">
        <v>3939.0</v>
      </c>
      <c r="G51" s="2">
        <v>6145.0</v>
      </c>
    </row>
    <row r="52">
      <c r="A52" s="2">
        <v>2012.0</v>
      </c>
      <c r="B52" s="2" t="s">
        <v>13</v>
      </c>
      <c r="C52" s="2" t="s">
        <v>17</v>
      </c>
      <c r="D52" s="2">
        <v>3.0</v>
      </c>
      <c r="E52" s="2">
        <v>7.0</v>
      </c>
      <c r="F52" s="2">
        <v>25.0</v>
      </c>
      <c r="G52" s="2">
        <v>35.0</v>
      </c>
    </row>
    <row r="53">
      <c r="A53" s="2">
        <v>2012.0</v>
      </c>
      <c r="B53" s="2" t="s">
        <v>13</v>
      </c>
      <c r="C53" s="2" t="s">
        <v>19</v>
      </c>
      <c r="D53" s="2">
        <v>12.0</v>
      </c>
      <c r="E53" s="2">
        <v>14.0</v>
      </c>
      <c r="F53" s="2">
        <v>79.0</v>
      </c>
      <c r="G53" s="2">
        <v>105.0</v>
      </c>
    </row>
    <row r="54">
      <c r="A54" s="2">
        <v>2012.0</v>
      </c>
      <c r="B54" s="2" t="s">
        <v>13</v>
      </c>
      <c r="C54" s="2" t="s">
        <v>20</v>
      </c>
      <c r="D54" s="2">
        <v>13.0</v>
      </c>
      <c r="E54" s="2">
        <v>10.0</v>
      </c>
      <c r="F54" s="2">
        <v>25.0</v>
      </c>
      <c r="G54" s="2">
        <v>48.0</v>
      </c>
    </row>
    <row r="55">
      <c r="A55" s="2">
        <v>2012.0</v>
      </c>
      <c r="B55" s="2" t="s">
        <v>13</v>
      </c>
      <c r="C55" s="2" t="s">
        <v>21</v>
      </c>
      <c r="D55" s="2">
        <v>1.0</v>
      </c>
      <c r="E55" s="2">
        <v>0.0</v>
      </c>
      <c r="F55" s="2">
        <v>1.0</v>
      </c>
      <c r="G55" s="2">
        <v>2.0</v>
      </c>
    </row>
    <row r="56">
      <c r="A56" s="2">
        <v>2012.0</v>
      </c>
      <c r="B56" s="2" t="s">
        <v>13</v>
      </c>
      <c r="C56" s="2" t="s">
        <v>22</v>
      </c>
      <c r="D56" s="2">
        <v>4.0</v>
      </c>
      <c r="E56" s="2">
        <v>7.0</v>
      </c>
      <c r="F56" s="2">
        <v>30.0</v>
      </c>
      <c r="G56" s="2">
        <v>41.0</v>
      </c>
    </row>
    <row r="57">
      <c r="A57" s="2">
        <v>2012.0</v>
      </c>
      <c r="B57" s="2" t="s">
        <v>13</v>
      </c>
      <c r="C57" s="2" t="s">
        <v>23</v>
      </c>
      <c r="D57" s="2">
        <v>2.0</v>
      </c>
      <c r="E57" s="2">
        <v>0.0</v>
      </c>
      <c r="F57" s="2">
        <v>6.0</v>
      </c>
      <c r="G57" s="2">
        <v>8.0</v>
      </c>
    </row>
    <row r="58">
      <c r="A58" s="2">
        <v>2012.0</v>
      </c>
      <c r="B58" s="2" t="s">
        <v>30</v>
      </c>
      <c r="C58" s="2" t="s">
        <v>7</v>
      </c>
      <c r="D58" s="2">
        <v>1.0</v>
      </c>
      <c r="E58" s="2">
        <v>3.0</v>
      </c>
      <c r="F58" s="2">
        <v>3.0</v>
      </c>
      <c r="G58" s="2">
        <v>7.0</v>
      </c>
    </row>
    <row r="59">
      <c r="A59" s="2">
        <v>2012.0</v>
      </c>
      <c r="B59" s="2" t="s">
        <v>30</v>
      </c>
      <c r="C59" s="2" t="s">
        <v>8</v>
      </c>
      <c r="D59" s="2">
        <v>0.0</v>
      </c>
      <c r="E59" s="2">
        <v>0.0</v>
      </c>
      <c r="F59" s="2">
        <v>0.0</v>
      </c>
      <c r="G59" s="2">
        <v>0.0</v>
      </c>
    </row>
    <row r="60">
      <c r="A60" s="2">
        <v>2012.0</v>
      </c>
      <c r="B60" s="2" t="s">
        <v>30</v>
      </c>
      <c r="C60" s="2" t="s">
        <v>9</v>
      </c>
      <c r="D60" s="2">
        <v>1.0</v>
      </c>
      <c r="E60" s="2">
        <v>6.0</v>
      </c>
      <c r="F60" s="2">
        <v>23.0</v>
      </c>
      <c r="G60" s="2">
        <v>30.0</v>
      </c>
    </row>
    <row r="61">
      <c r="A61" s="2">
        <v>2012.0</v>
      </c>
      <c r="B61" s="2" t="s">
        <v>30</v>
      </c>
      <c r="C61" s="2" t="s">
        <v>10</v>
      </c>
      <c r="D61" s="2">
        <v>1184.0</v>
      </c>
      <c r="E61" s="2">
        <v>1139.0</v>
      </c>
      <c r="F61" s="2">
        <v>3631.0</v>
      </c>
      <c r="G61" s="2">
        <v>5954.0</v>
      </c>
    </row>
    <row r="62">
      <c r="A62" s="2">
        <v>2012.0</v>
      </c>
      <c r="B62" s="2" t="s">
        <v>30</v>
      </c>
      <c r="C62" s="2" t="s">
        <v>12</v>
      </c>
      <c r="D62" s="2">
        <v>6.0</v>
      </c>
      <c r="E62" s="2">
        <v>7.0</v>
      </c>
      <c r="F62" s="2">
        <v>56.0</v>
      </c>
      <c r="G62" s="2">
        <v>69.0</v>
      </c>
    </row>
    <row r="63">
      <c r="A63" s="2">
        <v>2012.0</v>
      </c>
      <c r="B63" s="2" t="s">
        <v>30</v>
      </c>
      <c r="C63" s="2" t="s">
        <v>15</v>
      </c>
      <c r="D63" s="2">
        <v>278.0</v>
      </c>
      <c r="E63" s="2">
        <v>181.0</v>
      </c>
      <c r="F63" s="2">
        <v>1017.0</v>
      </c>
      <c r="G63" s="2">
        <v>1476.0</v>
      </c>
    </row>
    <row r="64">
      <c r="A64" s="2">
        <v>2012.0</v>
      </c>
      <c r="B64" s="2" t="s">
        <v>30</v>
      </c>
      <c r="C64" s="2" t="s">
        <v>16</v>
      </c>
      <c r="D64" s="2">
        <v>2.0</v>
      </c>
      <c r="E64" s="2">
        <v>2.0</v>
      </c>
      <c r="F64" s="2">
        <v>23.0</v>
      </c>
      <c r="G64" s="2">
        <v>27.0</v>
      </c>
    </row>
    <row r="65">
      <c r="A65" s="2">
        <v>2012.0</v>
      </c>
      <c r="B65" s="2" t="s">
        <v>30</v>
      </c>
      <c r="C65" s="2" t="s">
        <v>14</v>
      </c>
      <c r="D65" s="2">
        <v>1162.0</v>
      </c>
      <c r="E65" s="2">
        <v>1079.0</v>
      </c>
      <c r="F65" s="2">
        <v>3986.0</v>
      </c>
      <c r="G65" s="2">
        <v>6227.0</v>
      </c>
    </row>
    <row r="66">
      <c r="A66" s="2">
        <v>2012.0</v>
      </c>
      <c r="B66" s="2" t="s">
        <v>30</v>
      </c>
      <c r="C66" s="2" t="s">
        <v>17</v>
      </c>
      <c r="D66" s="2">
        <v>5.0</v>
      </c>
      <c r="E66" s="2">
        <v>5.0</v>
      </c>
      <c r="F66" s="2">
        <v>28.0</v>
      </c>
      <c r="G66" s="2">
        <v>38.0</v>
      </c>
    </row>
    <row r="67">
      <c r="A67" s="2">
        <v>2012.0</v>
      </c>
      <c r="B67" s="2" t="s">
        <v>30</v>
      </c>
      <c r="C67" s="2" t="s">
        <v>19</v>
      </c>
      <c r="D67" s="2">
        <v>15.0</v>
      </c>
      <c r="E67" s="2">
        <v>16.0</v>
      </c>
      <c r="F67" s="2">
        <v>78.0</v>
      </c>
      <c r="G67" s="2">
        <v>109.0</v>
      </c>
    </row>
    <row r="68">
      <c r="A68" s="2">
        <v>2012.0</v>
      </c>
      <c r="B68" s="2" t="s">
        <v>30</v>
      </c>
      <c r="C68" s="2" t="s">
        <v>20</v>
      </c>
      <c r="D68" s="2">
        <v>24.0</v>
      </c>
      <c r="E68" s="2">
        <v>14.0</v>
      </c>
      <c r="F68" s="2">
        <v>22.0</v>
      </c>
      <c r="G68" s="2">
        <v>60.0</v>
      </c>
    </row>
    <row r="69">
      <c r="A69" s="2">
        <v>2012.0</v>
      </c>
      <c r="B69" s="2" t="s">
        <v>30</v>
      </c>
      <c r="C69" s="2" t="s">
        <v>21</v>
      </c>
      <c r="D69" s="2">
        <v>0.0</v>
      </c>
      <c r="E69" s="2">
        <v>1.0</v>
      </c>
      <c r="F69" s="2">
        <v>2.0</v>
      </c>
      <c r="G69" s="2">
        <v>3.0</v>
      </c>
    </row>
    <row r="70">
      <c r="A70" s="2">
        <v>2012.0</v>
      </c>
      <c r="B70" s="2" t="s">
        <v>30</v>
      </c>
      <c r="C70" s="2" t="s">
        <v>22</v>
      </c>
      <c r="D70" s="2">
        <v>3.0</v>
      </c>
      <c r="E70" s="2">
        <v>7.0</v>
      </c>
      <c r="F70" s="2">
        <v>24.0</v>
      </c>
      <c r="G70" s="2">
        <v>34.0</v>
      </c>
    </row>
    <row r="71">
      <c r="A71" s="2">
        <v>2012.0</v>
      </c>
      <c r="B71" s="2" t="s">
        <v>30</v>
      </c>
      <c r="C71" s="2" t="s">
        <v>23</v>
      </c>
      <c r="D71" s="2">
        <v>1.0</v>
      </c>
      <c r="E71" s="2">
        <v>1.0</v>
      </c>
      <c r="F71" s="2">
        <v>11.0</v>
      </c>
      <c r="G71" s="2">
        <v>13.0</v>
      </c>
    </row>
    <row r="72">
      <c r="A72" s="2">
        <v>2012.0</v>
      </c>
      <c r="B72" s="2" t="s">
        <v>28</v>
      </c>
      <c r="C72" s="2" t="s">
        <v>7</v>
      </c>
      <c r="D72" s="2">
        <v>0.0</v>
      </c>
      <c r="E72" s="2">
        <v>2.0</v>
      </c>
      <c r="F72" s="2">
        <v>10.0</v>
      </c>
      <c r="G72" s="2">
        <v>12.0</v>
      </c>
    </row>
    <row r="73">
      <c r="A73" s="2">
        <v>2012.0</v>
      </c>
      <c r="B73" s="2" t="s">
        <v>28</v>
      </c>
      <c r="C73" s="2" t="s">
        <v>8</v>
      </c>
      <c r="D73" s="2">
        <v>0.0</v>
      </c>
      <c r="E73" s="2">
        <v>0.0</v>
      </c>
      <c r="F73" s="2">
        <v>1.0</v>
      </c>
      <c r="G73" s="2">
        <v>1.0</v>
      </c>
    </row>
    <row r="74">
      <c r="A74" s="2">
        <v>2012.0</v>
      </c>
      <c r="B74" s="2" t="s">
        <v>28</v>
      </c>
      <c r="C74" s="2" t="s">
        <v>9</v>
      </c>
      <c r="D74" s="2">
        <v>2.0</v>
      </c>
      <c r="E74" s="2">
        <v>2.0</v>
      </c>
      <c r="F74" s="2">
        <v>10.0</v>
      </c>
      <c r="G74" s="2">
        <v>14.0</v>
      </c>
    </row>
    <row r="75">
      <c r="A75" s="2">
        <v>2012.0</v>
      </c>
      <c r="B75" s="2" t="s">
        <v>28</v>
      </c>
      <c r="C75" s="2" t="s">
        <v>10</v>
      </c>
      <c r="D75" s="2">
        <v>1136.0</v>
      </c>
      <c r="E75" s="2">
        <v>973.0</v>
      </c>
      <c r="F75" s="2">
        <v>3433.0</v>
      </c>
      <c r="G75" s="2">
        <v>5542.0</v>
      </c>
    </row>
    <row r="76">
      <c r="A76" s="2">
        <v>2012.0</v>
      </c>
      <c r="B76" s="2" t="s">
        <v>28</v>
      </c>
      <c r="C76" s="2" t="s">
        <v>12</v>
      </c>
      <c r="D76" s="2">
        <v>7.0</v>
      </c>
      <c r="E76" s="2">
        <v>7.0</v>
      </c>
      <c r="F76" s="2">
        <v>45.0</v>
      </c>
      <c r="G76" s="2">
        <v>59.0</v>
      </c>
    </row>
    <row r="77">
      <c r="A77" s="2">
        <v>2012.0</v>
      </c>
      <c r="B77" s="2" t="s">
        <v>28</v>
      </c>
      <c r="C77" s="2" t="s">
        <v>15</v>
      </c>
      <c r="D77" s="2">
        <v>224.0</v>
      </c>
      <c r="E77" s="2">
        <v>160.0</v>
      </c>
      <c r="F77" s="2">
        <v>927.0</v>
      </c>
      <c r="G77" s="2">
        <v>1311.0</v>
      </c>
    </row>
    <row r="78">
      <c r="A78" s="2">
        <v>2012.0</v>
      </c>
      <c r="B78" s="2" t="s">
        <v>28</v>
      </c>
      <c r="C78" s="2" t="s">
        <v>16</v>
      </c>
      <c r="D78" s="2">
        <v>2.0</v>
      </c>
      <c r="E78" s="2">
        <v>4.0</v>
      </c>
      <c r="F78" s="2">
        <v>20.0</v>
      </c>
      <c r="G78" s="2">
        <v>26.0</v>
      </c>
    </row>
    <row r="79">
      <c r="A79" s="2">
        <v>2012.0</v>
      </c>
      <c r="B79" s="2" t="s">
        <v>28</v>
      </c>
      <c r="C79" s="2" t="s">
        <v>14</v>
      </c>
      <c r="D79" s="2">
        <v>1007.0</v>
      </c>
      <c r="E79" s="2">
        <v>936.0</v>
      </c>
      <c r="F79" s="2">
        <v>3636.0</v>
      </c>
      <c r="G79" s="2">
        <v>5579.0</v>
      </c>
    </row>
    <row r="80">
      <c r="A80" s="2">
        <v>2012.0</v>
      </c>
      <c r="B80" s="2" t="s">
        <v>28</v>
      </c>
      <c r="C80" s="2" t="s">
        <v>17</v>
      </c>
      <c r="D80" s="2">
        <v>1.0</v>
      </c>
      <c r="E80" s="2">
        <v>6.0</v>
      </c>
      <c r="F80" s="2">
        <v>33.0</v>
      </c>
      <c r="G80" s="2">
        <v>40.0</v>
      </c>
    </row>
    <row r="81">
      <c r="A81" s="2">
        <v>2012.0</v>
      </c>
      <c r="B81" s="2" t="s">
        <v>28</v>
      </c>
      <c r="C81" s="2" t="s">
        <v>19</v>
      </c>
      <c r="D81" s="2">
        <v>12.0</v>
      </c>
      <c r="E81" s="2">
        <v>12.0</v>
      </c>
      <c r="F81" s="2">
        <v>70.0</v>
      </c>
      <c r="G81" s="2">
        <v>94.0</v>
      </c>
    </row>
    <row r="82">
      <c r="A82" s="2">
        <v>2012.0</v>
      </c>
      <c r="B82" s="2" t="s">
        <v>28</v>
      </c>
      <c r="C82" s="2" t="s">
        <v>20</v>
      </c>
      <c r="D82" s="2">
        <v>13.0</v>
      </c>
      <c r="E82" s="2">
        <v>12.0</v>
      </c>
      <c r="F82" s="2">
        <v>18.0</v>
      </c>
      <c r="G82" s="2">
        <v>43.0</v>
      </c>
    </row>
    <row r="83">
      <c r="A83" s="2">
        <v>2012.0</v>
      </c>
      <c r="B83" s="2" t="s">
        <v>28</v>
      </c>
      <c r="C83" s="2" t="s">
        <v>21</v>
      </c>
      <c r="D83" s="2">
        <v>0.0</v>
      </c>
      <c r="E83" s="2">
        <v>0.0</v>
      </c>
      <c r="F83" s="2">
        <v>2.0</v>
      </c>
      <c r="G83" s="2">
        <v>2.0</v>
      </c>
    </row>
    <row r="84">
      <c r="A84" s="2">
        <v>2012.0</v>
      </c>
      <c r="B84" s="2" t="s">
        <v>28</v>
      </c>
      <c r="C84" s="2" t="s">
        <v>22</v>
      </c>
      <c r="D84" s="2">
        <v>4.0</v>
      </c>
      <c r="E84" s="2">
        <v>12.0</v>
      </c>
      <c r="F84" s="2">
        <v>23.0</v>
      </c>
      <c r="G84" s="2">
        <v>39.0</v>
      </c>
    </row>
    <row r="85">
      <c r="A85" s="2">
        <v>2012.0</v>
      </c>
      <c r="B85" s="2" t="s">
        <v>28</v>
      </c>
      <c r="C85" s="2" t="s">
        <v>23</v>
      </c>
      <c r="D85" s="2">
        <v>5.0</v>
      </c>
      <c r="E85" s="2">
        <v>0.0</v>
      </c>
      <c r="F85" s="2">
        <v>5.0</v>
      </c>
      <c r="G85" s="2">
        <v>10.0</v>
      </c>
    </row>
    <row r="86">
      <c r="A86" s="2">
        <v>2012.0</v>
      </c>
      <c r="B86" s="2" t="s">
        <v>31</v>
      </c>
      <c r="C86" s="2" t="s">
        <v>7</v>
      </c>
      <c r="D86" s="2">
        <v>3.0</v>
      </c>
      <c r="E86" s="2">
        <v>0.0</v>
      </c>
      <c r="F86" s="2">
        <v>5.0</v>
      </c>
      <c r="G86" s="2">
        <v>8.0</v>
      </c>
    </row>
    <row r="87">
      <c r="A87" s="2">
        <v>2012.0</v>
      </c>
      <c r="B87" s="2" t="s">
        <v>31</v>
      </c>
      <c r="C87" s="2" t="s">
        <v>8</v>
      </c>
      <c r="D87" s="2">
        <v>0.0</v>
      </c>
      <c r="E87" s="2">
        <v>0.0</v>
      </c>
      <c r="F87" s="2">
        <v>0.0</v>
      </c>
      <c r="G87" s="2">
        <v>0.0</v>
      </c>
    </row>
    <row r="88">
      <c r="A88" s="2">
        <v>2012.0</v>
      </c>
      <c r="B88" s="2" t="s">
        <v>31</v>
      </c>
      <c r="C88" s="2" t="s">
        <v>9</v>
      </c>
      <c r="D88" s="2">
        <v>10.0</v>
      </c>
      <c r="E88" s="2">
        <v>4.0</v>
      </c>
      <c r="F88" s="2">
        <v>15.0</v>
      </c>
      <c r="G88" s="2">
        <v>29.0</v>
      </c>
    </row>
    <row r="89">
      <c r="A89" s="2">
        <v>2012.0</v>
      </c>
      <c r="B89" s="2" t="s">
        <v>31</v>
      </c>
      <c r="C89" s="2" t="s">
        <v>10</v>
      </c>
      <c r="D89" s="2">
        <v>1146.0</v>
      </c>
      <c r="E89" s="2">
        <v>993.0</v>
      </c>
      <c r="F89" s="2">
        <v>3217.0</v>
      </c>
      <c r="G89" s="2">
        <v>5356.0</v>
      </c>
    </row>
    <row r="90">
      <c r="A90" s="2">
        <v>2012.0</v>
      </c>
      <c r="B90" s="2" t="s">
        <v>31</v>
      </c>
      <c r="C90" s="2" t="s">
        <v>12</v>
      </c>
      <c r="D90" s="2">
        <v>12.0</v>
      </c>
      <c r="E90" s="2">
        <v>6.0</v>
      </c>
      <c r="F90" s="2">
        <v>45.0</v>
      </c>
      <c r="G90" s="2">
        <v>63.0</v>
      </c>
    </row>
    <row r="91">
      <c r="A91" s="2">
        <v>2012.0</v>
      </c>
      <c r="B91" s="2" t="s">
        <v>31</v>
      </c>
      <c r="C91" s="2" t="s">
        <v>15</v>
      </c>
      <c r="D91" s="2">
        <v>218.0</v>
      </c>
      <c r="E91" s="2">
        <v>156.0</v>
      </c>
      <c r="F91" s="2">
        <v>947.0</v>
      </c>
      <c r="G91" s="2">
        <v>1321.0</v>
      </c>
    </row>
    <row r="92">
      <c r="A92" s="2">
        <v>2012.0</v>
      </c>
      <c r="B92" s="2" t="s">
        <v>31</v>
      </c>
      <c r="C92" s="2" t="s">
        <v>16</v>
      </c>
      <c r="D92" s="2">
        <v>1.0</v>
      </c>
      <c r="E92" s="2">
        <v>3.0</v>
      </c>
      <c r="F92" s="2">
        <v>25.0</v>
      </c>
      <c r="G92" s="2">
        <v>29.0</v>
      </c>
    </row>
    <row r="93">
      <c r="A93" s="2">
        <v>2012.0</v>
      </c>
      <c r="B93" s="2" t="s">
        <v>31</v>
      </c>
      <c r="C93" s="2" t="s">
        <v>14</v>
      </c>
      <c r="D93" s="2">
        <v>1064.0</v>
      </c>
      <c r="E93" s="2">
        <v>896.0</v>
      </c>
      <c r="F93" s="2">
        <v>3583.0</v>
      </c>
      <c r="G93" s="2">
        <v>5543.0</v>
      </c>
    </row>
    <row r="94">
      <c r="A94" s="2">
        <v>2012.0</v>
      </c>
      <c r="B94" s="2" t="s">
        <v>31</v>
      </c>
      <c r="C94" s="2" t="s">
        <v>17</v>
      </c>
      <c r="D94" s="2">
        <v>1.0</v>
      </c>
      <c r="E94" s="2">
        <v>4.0</v>
      </c>
      <c r="F94" s="2">
        <v>33.0</v>
      </c>
      <c r="G94" s="2">
        <v>38.0</v>
      </c>
    </row>
    <row r="95">
      <c r="A95" s="2">
        <v>2012.0</v>
      </c>
      <c r="B95" s="2" t="s">
        <v>31</v>
      </c>
      <c r="C95" s="2" t="s">
        <v>19</v>
      </c>
      <c r="D95" s="2">
        <v>16.0</v>
      </c>
      <c r="E95" s="2">
        <v>9.0</v>
      </c>
      <c r="F95" s="2">
        <v>79.0</v>
      </c>
      <c r="G95" s="2">
        <v>104.0</v>
      </c>
    </row>
    <row r="96">
      <c r="A96" s="2">
        <v>2012.0</v>
      </c>
      <c r="B96" s="2" t="s">
        <v>31</v>
      </c>
      <c r="C96" s="2" t="s">
        <v>20</v>
      </c>
      <c r="D96" s="2">
        <v>14.0</v>
      </c>
      <c r="E96" s="2">
        <v>14.0</v>
      </c>
      <c r="F96" s="2">
        <v>22.0</v>
      </c>
      <c r="G96" s="2">
        <v>50.0</v>
      </c>
    </row>
    <row r="97">
      <c r="A97" s="2">
        <v>2012.0</v>
      </c>
      <c r="B97" s="2" t="s">
        <v>31</v>
      </c>
      <c r="C97" s="2" t="s">
        <v>21</v>
      </c>
      <c r="D97" s="2">
        <v>1.0</v>
      </c>
      <c r="E97" s="2">
        <v>0.0</v>
      </c>
      <c r="F97" s="2">
        <v>1.0</v>
      </c>
      <c r="G97" s="2">
        <v>2.0</v>
      </c>
    </row>
    <row r="98">
      <c r="A98" s="2">
        <v>2012.0</v>
      </c>
      <c r="B98" s="2" t="s">
        <v>31</v>
      </c>
      <c r="C98" s="2" t="s">
        <v>22</v>
      </c>
      <c r="D98" s="2">
        <v>3.0</v>
      </c>
      <c r="E98" s="2">
        <v>3.0</v>
      </c>
      <c r="F98" s="2">
        <v>27.0</v>
      </c>
      <c r="G98" s="2">
        <v>33.0</v>
      </c>
    </row>
    <row r="99">
      <c r="A99" s="2">
        <v>2012.0</v>
      </c>
      <c r="B99" s="2" t="s">
        <v>31</v>
      </c>
      <c r="C99" s="2" t="s">
        <v>23</v>
      </c>
      <c r="D99" s="2">
        <v>1.0</v>
      </c>
      <c r="E99" s="2">
        <v>0.0</v>
      </c>
      <c r="F99" s="2">
        <v>9.0</v>
      </c>
      <c r="G99" s="2">
        <v>10.0</v>
      </c>
    </row>
    <row r="100">
      <c r="A100" s="2">
        <v>2012.0</v>
      </c>
      <c r="B100" s="2" t="s">
        <v>32</v>
      </c>
      <c r="C100" s="2" t="s">
        <v>7</v>
      </c>
      <c r="D100" s="2">
        <v>2.0</v>
      </c>
      <c r="E100" s="2">
        <v>2.0</v>
      </c>
      <c r="F100" s="2">
        <v>4.0</v>
      </c>
      <c r="G100" s="2">
        <v>8.0</v>
      </c>
    </row>
    <row r="101">
      <c r="A101" s="2">
        <v>2012.0</v>
      </c>
      <c r="B101" s="2" t="s">
        <v>32</v>
      </c>
      <c r="C101" s="2" t="s">
        <v>8</v>
      </c>
      <c r="D101" s="2">
        <v>0.0</v>
      </c>
      <c r="E101" s="2">
        <v>0.0</v>
      </c>
      <c r="F101" s="2">
        <v>0.0</v>
      </c>
      <c r="G101" s="2">
        <v>0.0</v>
      </c>
    </row>
    <row r="102">
      <c r="A102" s="2">
        <v>2012.0</v>
      </c>
      <c r="B102" s="2" t="s">
        <v>32</v>
      </c>
      <c r="C102" s="2" t="s">
        <v>9</v>
      </c>
      <c r="D102" s="2">
        <v>5.0</v>
      </c>
      <c r="E102" s="2">
        <v>2.0</v>
      </c>
      <c r="F102" s="2">
        <v>19.0</v>
      </c>
      <c r="G102" s="2">
        <v>26.0</v>
      </c>
    </row>
    <row r="103">
      <c r="A103" s="2">
        <v>2012.0</v>
      </c>
      <c r="B103" s="2" t="s">
        <v>32</v>
      </c>
      <c r="C103" s="2" t="s">
        <v>10</v>
      </c>
      <c r="D103" s="2">
        <v>1178.0</v>
      </c>
      <c r="E103" s="2">
        <v>1039.0</v>
      </c>
      <c r="F103" s="2">
        <v>3280.0</v>
      </c>
      <c r="G103" s="2">
        <v>5497.0</v>
      </c>
    </row>
    <row r="104">
      <c r="A104" s="2">
        <v>2012.0</v>
      </c>
      <c r="B104" s="2" t="s">
        <v>32</v>
      </c>
      <c r="C104" s="2" t="s">
        <v>12</v>
      </c>
      <c r="D104" s="2">
        <v>5.0</v>
      </c>
      <c r="E104" s="2">
        <v>6.0</v>
      </c>
      <c r="F104" s="2">
        <v>50.0</v>
      </c>
      <c r="G104" s="2">
        <v>61.0</v>
      </c>
    </row>
    <row r="105">
      <c r="A105" s="2">
        <v>2012.0</v>
      </c>
      <c r="B105" s="2" t="s">
        <v>32</v>
      </c>
      <c r="C105" s="2" t="s">
        <v>15</v>
      </c>
      <c r="D105" s="2">
        <v>259.0</v>
      </c>
      <c r="E105" s="2">
        <v>179.0</v>
      </c>
      <c r="F105" s="2">
        <v>940.0</v>
      </c>
      <c r="G105" s="2">
        <v>1378.0</v>
      </c>
    </row>
    <row r="106">
      <c r="A106" s="2">
        <v>2012.0</v>
      </c>
      <c r="B106" s="2" t="s">
        <v>32</v>
      </c>
      <c r="C106" s="2" t="s">
        <v>16</v>
      </c>
      <c r="D106" s="2">
        <v>3.0</v>
      </c>
      <c r="E106" s="2">
        <v>0.0</v>
      </c>
      <c r="F106" s="2">
        <v>15.0</v>
      </c>
      <c r="G106" s="2">
        <v>18.0</v>
      </c>
    </row>
    <row r="107">
      <c r="A107" s="2">
        <v>2012.0</v>
      </c>
      <c r="B107" s="2" t="s">
        <v>32</v>
      </c>
      <c r="C107" s="2" t="s">
        <v>14</v>
      </c>
      <c r="D107" s="2">
        <v>1100.0</v>
      </c>
      <c r="E107" s="2">
        <v>993.0</v>
      </c>
      <c r="F107" s="2">
        <v>3474.0</v>
      </c>
      <c r="G107" s="2">
        <v>5567.0</v>
      </c>
    </row>
    <row r="108">
      <c r="A108" s="2">
        <v>2012.0</v>
      </c>
      <c r="B108" s="2" t="s">
        <v>32</v>
      </c>
      <c r="C108" s="2" t="s">
        <v>17</v>
      </c>
      <c r="D108" s="2">
        <v>4.0</v>
      </c>
      <c r="E108" s="2">
        <v>5.0</v>
      </c>
      <c r="F108" s="2">
        <v>26.0</v>
      </c>
      <c r="G108" s="2">
        <v>35.0</v>
      </c>
    </row>
    <row r="109">
      <c r="A109" s="2">
        <v>2012.0</v>
      </c>
      <c r="B109" s="2" t="s">
        <v>32</v>
      </c>
      <c r="C109" s="2" t="s">
        <v>19</v>
      </c>
      <c r="D109" s="2">
        <v>12.0</v>
      </c>
      <c r="E109" s="2">
        <v>17.0</v>
      </c>
      <c r="F109" s="2">
        <v>78.0</v>
      </c>
      <c r="G109" s="2">
        <v>107.0</v>
      </c>
    </row>
    <row r="110">
      <c r="A110" s="2">
        <v>2012.0</v>
      </c>
      <c r="B110" s="2" t="s">
        <v>32</v>
      </c>
      <c r="C110" s="2" t="s">
        <v>20</v>
      </c>
      <c r="D110" s="2">
        <v>17.0</v>
      </c>
      <c r="E110" s="2">
        <v>9.0</v>
      </c>
      <c r="F110" s="2">
        <v>19.0</v>
      </c>
      <c r="G110" s="2">
        <v>45.0</v>
      </c>
    </row>
    <row r="111">
      <c r="A111" s="2">
        <v>2012.0</v>
      </c>
      <c r="B111" s="2" t="s">
        <v>32</v>
      </c>
      <c r="C111" s="2" t="s">
        <v>21</v>
      </c>
      <c r="D111" s="2">
        <v>1.0</v>
      </c>
      <c r="E111" s="2">
        <v>1.0</v>
      </c>
      <c r="F111" s="2">
        <v>1.0</v>
      </c>
      <c r="G111" s="2">
        <v>3.0</v>
      </c>
    </row>
    <row r="112">
      <c r="A112" s="2">
        <v>2012.0</v>
      </c>
      <c r="B112" s="2" t="s">
        <v>32</v>
      </c>
      <c r="C112" s="2" t="s">
        <v>22</v>
      </c>
      <c r="D112" s="2">
        <v>7.0</v>
      </c>
      <c r="E112" s="2">
        <v>8.0</v>
      </c>
      <c r="F112" s="2">
        <v>20.0</v>
      </c>
      <c r="G112" s="2">
        <v>35.0</v>
      </c>
    </row>
    <row r="113">
      <c r="A113" s="2">
        <v>2012.0</v>
      </c>
      <c r="B113" s="2" t="s">
        <v>32</v>
      </c>
      <c r="C113" s="2" t="s">
        <v>23</v>
      </c>
      <c r="D113" s="2">
        <v>2.0</v>
      </c>
      <c r="E113" s="2">
        <v>0.0</v>
      </c>
      <c r="F113" s="2">
        <v>6.0</v>
      </c>
      <c r="G113" s="2">
        <v>8.0</v>
      </c>
    </row>
    <row r="114">
      <c r="A114" s="2">
        <v>2012.0</v>
      </c>
      <c r="B114" s="2" t="s">
        <v>18</v>
      </c>
      <c r="C114" s="2" t="s">
        <v>7</v>
      </c>
      <c r="D114" s="2">
        <v>1.0</v>
      </c>
      <c r="E114" s="2">
        <v>0.0</v>
      </c>
      <c r="F114" s="2">
        <v>7.0</v>
      </c>
      <c r="G114" s="2">
        <v>8.0</v>
      </c>
    </row>
    <row r="115">
      <c r="A115" s="2">
        <v>2012.0</v>
      </c>
      <c r="B115" s="2" t="s">
        <v>18</v>
      </c>
      <c r="C115" s="2" t="s">
        <v>8</v>
      </c>
      <c r="D115" s="2">
        <v>0.0</v>
      </c>
      <c r="E115" s="2">
        <v>0.0</v>
      </c>
      <c r="F115" s="2">
        <v>0.0</v>
      </c>
      <c r="G115" s="2">
        <v>0.0</v>
      </c>
    </row>
    <row r="116">
      <c r="A116" s="2">
        <v>2012.0</v>
      </c>
      <c r="B116" s="2" t="s">
        <v>18</v>
      </c>
      <c r="C116" s="2" t="s">
        <v>9</v>
      </c>
      <c r="D116" s="2">
        <v>7.0</v>
      </c>
      <c r="E116" s="2">
        <v>4.0</v>
      </c>
      <c r="F116" s="2">
        <v>18.0</v>
      </c>
      <c r="G116" s="2">
        <v>29.0</v>
      </c>
    </row>
    <row r="117">
      <c r="A117" s="2">
        <v>2012.0</v>
      </c>
      <c r="B117" s="2" t="s">
        <v>18</v>
      </c>
      <c r="C117" s="2" t="s">
        <v>10</v>
      </c>
      <c r="D117" s="2">
        <v>1243.0</v>
      </c>
      <c r="E117" s="2">
        <v>1121.0</v>
      </c>
      <c r="F117" s="2">
        <v>3747.0</v>
      </c>
      <c r="G117" s="2">
        <v>6111.0</v>
      </c>
    </row>
    <row r="118">
      <c r="A118" s="2">
        <v>2012.0</v>
      </c>
      <c r="B118" s="2" t="s">
        <v>18</v>
      </c>
      <c r="C118" s="2" t="s">
        <v>12</v>
      </c>
      <c r="D118" s="2">
        <v>6.0</v>
      </c>
      <c r="E118" s="2">
        <v>7.0</v>
      </c>
      <c r="F118" s="2">
        <v>42.0</v>
      </c>
      <c r="G118" s="2">
        <v>55.0</v>
      </c>
    </row>
    <row r="119">
      <c r="A119" s="2">
        <v>2012.0</v>
      </c>
      <c r="B119" s="2" t="s">
        <v>18</v>
      </c>
      <c r="C119" s="2" t="s">
        <v>15</v>
      </c>
      <c r="D119" s="2">
        <v>237.0</v>
      </c>
      <c r="E119" s="2">
        <v>159.0</v>
      </c>
      <c r="F119" s="2">
        <v>927.0</v>
      </c>
      <c r="G119" s="2">
        <v>1323.0</v>
      </c>
    </row>
    <row r="120">
      <c r="A120" s="2">
        <v>2012.0</v>
      </c>
      <c r="B120" s="2" t="s">
        <v>18</v>
      </c>
      <c r="C120" s="2" t="s">
        <v>16</v>
      </c>
      <c r="D120" s="2">
        <v>0.0</v>
      </c>
      <c r="E120" s="2">
        <v>1.0</v>
      </c>
      <c r="F120" s="2">
        <v>13.0</v>
      </c>
      <c r="G120" s="2">
        <v>14.0</v>
      </c>
    </row>
    <row r="121">
      <c r="A121" s="2">
        <v>2012.0</v>
      </c>
      <c r="B121" s="2" t="s">
        <v>18</v>
      </c>
      <c r="C121" s="2" t="s">
        <v>14</v>
      </c>
      <c r="D121" s="2">
        <v>1111.0</v>
      </c>
      <c r="E121" s="2">
        <v>1047.0</v>
      </c>
      <c r="F121" s="2">
        <v>3704.0</v>
      </c>
      <c r="G121" s="2">
        <v>5862.0</v>
      </c>
    </row>
    <row r="122">
      <c r="A122" s="2">
        <v>2012.0</v>
      </c>
      <c r="B122" s="2" t="s">
        <v>18</v>
      </c>
      <c r="C122" s="2" t="s">
        <v>17</v>
      </c>
      <c r="D122" s="2">
        <v>1.0</v>
      </c>
      <c r="E122" s="2">
        <v>5.0</v>
      </c>
      <c r="F122" s="2">
        <v>24.0</v>
      </c>
      <c r="G122" s="2">
        <v>30.0</v>
      </c>
    </row>
    <row r="123">
      <c r="A123" s="2">
        <v>2012.0</v>
      </c>
      <c r="B123" s="2" t="s">
        <v>18</v>
      </c>
      <c r="C123" s="2" t="s">
        <v>19</v>
      </c>
      <c r="D123" s="2">
        <v>16.0</v>
      </c>
      <c r="E123" s="2">
        <v>13.0</v>
      </c>
      <c r="F123" s="2">
        <v>70.0</v>
      </c>
      <c r="G123" s="2">
        <v>99.0</v>
      </c>
    </row>
    <row r="124">
      <c r="A124" s="2">
        <v>2012.0</v>
      </c>
      <c r="B124" s="2" t="s">
        <v>18</v>
      </c>
      <c r="C124" s="2" t="s">
        <v>20</v>
      </c>
      <c r="D124" s="2">
        <v>15.0</v>
      </c>
      <c r="E124" s="2">
        <v>15.0</v>
      </c>
      <c r="F124" s="2">
        <v>27.0</v>
      </c>
      <c r="G124" s="2">
        <v>57.0</v>
      </c>
    </row>
    <row r="125">
      <c r="A125" s="2">
        <v>2012.0</v>
      </c>
      <c r="B125" s="2" t="s">
        <v>18</v>
      </c>
      <c r="C125" s="2" t="s">
        <v>21</v>
      </c>
      <c r="D125" s="2">
        <v>0.0</v>
      </c>
      <c r="E125" s="2">
        <v>0.0</v>
      </c>
      <c r="F125" s="2">
        <v>0.0</v>
      </c>
      <c r="G125" s="2">
        <v>0.0</v>
      </c>
    </row>
    <row r="126">
      <c r="A126" s="2">
        <v>2012.0</v>
      </c>
      <c r="B126" s="2" t="s">
        <v>18</v>
      </c>
      <c r="C126" s="2" t="s">
        <v>22</v>
      </c>
      <c r="D126" s="2">
        <v>3.0</v>
      </c>
      <c r="E126" s="2">
        <v>5.0</v>
      </c>
      <c r="F126" s="2">
        <v>16.0</v>
      </c>
      <c r="G126" s="2">
        <v>24.0</v>
      </c>
    </row>
    <row r="127">
      <c r="A127" s="2">
        <v>2012.0</v>
      </c>
      <c r="B127" s="2" t="s">
        <v>18</v>
      </c>
      <c r="C127" s="2" t="s">
        <v>23</v>
      </c>
      <c r="D127" s="2">
        <v>5.0</v>
      </c>
      <c r="E127" s="2">
        <v>0.0</v>
      </c>
      <c r="F127" s="2">
        <v>5.0</v>
      </c>
      <c r="G127" s="2">
        <v>10.0</v>
      </c>
    </row>
    <row r="128">
      <c r="A128" s="2">
        <v>2012.0</v>
      </c>
      <c r="B128" s="2" t="s">
        <v>25</v>
      </c>
      <c r="C128" s="2" t="s">
        <v>7</v>
      </c>
      <c r="D128" s="2">
        <v>2.0</v>
      </c>
      <c r="E128" s="2">
        <v>1.0</v>
      </c>
      <c r="F128" s="2">
        <v>5.0</v>
      </c>
      <c r="G128" s="2">
        <v>8.0</v>
      </c>
    </row>
    <row r="129">
      <c r="A129" s="2">
        <v>2012.0</v>
      </c>
      <c r="B129" s="2" t="s">
        <v>25</v>
      </c>
      <c r="C129" s="2" t="s">
        <v>8</v>
      </c>
      <c r="D129" s="2">
        <v>0.0</v>
      </c>
      <c r="E129" s="2">
        <v>0.0</v>
      </c>
      <c r="F129" s="2">
        <v>0.0</v>
      </c>
      <c r="G129" s="2">
        <v>0.0</v>
      </c>
    </row>
    <row r="130">
      <c r="A130" s="2">
        <v>2012.0</v>
      </c>
      <c r="B130" s="2" t="s">
        <v>25</v>
      </c>
      <c r="C130" s="2" t="s">
        <v>9</v>
      </c>
      <c r="D130" s="2">
        <v>3.0</v>
      </c>
      <c r="E130" s="2">
        <v>5.0</v>
      </c>
      <c r="F130" s="2">
        <v>14.0</v>
      </c>
      <c r="G130" s="2">
        <v>22.0</v>
      </c>
    </row>
    <row r="131">
      <c r="A131" s="2">
        <v>2012.0</v>
      </c>
      <c r="B131" s="2" t="s">
        <v>25</v>
      </c>
      <c r="C131" s="2" t="s">
        <v>10</v>
      </c>
      <c r="D131" s="2">
        <v>1294.0</v>
      </c>
      <c r="E131" s="2">
        <v>1146.0</v>
      </c>
      <c r="F131" s="2">
        <v>3634.0</v>
      </c>
      <c r="G131" s="2">
        <v>6074.0</v>
      </c>
    </row>
    <row r="132">
      <c r="A132" s="2">
        <v>2012.0</v>
      </c>
      <c r="B132" s="2" t="s">
        <v>25</v>
      </c>
      <c r="C132" s="2" t="s">
        <v>12</v>
      </c>
      <c r="D132" s="2">
        <v>10.0</v>
      </c>
      <c r="E132" s="2">
        <v>7.0</v>
      </c>
      <c r="F132" s="2">
        <v>39.0</v>
      </c>
      <c r="G132" s="2">
        <v>56.0</v>
      </c>
    </row>
    <row r="133">
      <c r="A133" s="2">
        <v>2012.0</v>
      </c>
      <c r="B133" s="2" t="s">
        <v>25</v>
      </c>
      <c r="C133" s="2" t="s">
        <v>15</v>
      </c>
      <c r="D133" s="2">
        <v>285.0</v>
      </c>
      <c r="E133" s="2">
        <v>185.0</v>
      </c>
      <c r="F133" s="2">
        <v>963.0</v>
      </c>
      <c r="G133" s="2">
        <v>1433.0</v>
      </c>
    </row>
    <row r="134">
      <c r="A134" s="2">
        <v>2012.0</v>
      </c>
      <c r="B134" s="2" t="s">
        <v>25</v>
      </c>
      <c r="C134" s="2" t="s">
        <v>16</v>
      </c>
      <c r="D134" s="2">
        <v>1.0</v>
      </c>
      <c r="E134" s="2">
        <v>0.0</v>
      </c>
      <c r="F134" s="2">
        <v>12.0</v>
      </c>
      <c r="G134" s="2">
        <v>13.0</v>
      </c>
    </row>
    <row r="135">
      <c r="A135" s="2">
        <v>2012.0</v>
      </c>
      <c r="B135" s="2" t="s">
        <v>25</v>
      </c>
      <c r="C135" s="2" t="s">
        <v>14</v>
      </c>
      <c r="D135" s="2">
        <v>1118.0</v>
      </c>
      <c r="E135" s="2">
        <v>1032.0</v>
      </c>
      <c r="F135" s="2">
        <v>3443.0</v>
      </c>
      <c r="G135" s="2">
        <v>5593.0</v>
      </c>
    </row>
    <row r="136">
      <c r="A136" s="2">
        <v>2012.0</v>
      </c>
      <c r="B136" s="2" t="s">
        <v>25</v>
      </c>
      <c r="C136" s="2" t="s">
        <v>17</v>
      </c>
      <c r="D136" s="2">
        <v>3.0</v>
      </c>
      <c r="E136" s="2">
        <v>4.0</v>
      </c>
      <c r="F136" s="2">
        <v>21.0</v>
      </c>
      <c r="G136" s="2">
        <v>28.0</v>
      </c>
    </row>
    <row r="137">
      <c r="A137" s="2">
        <v>2012.0</v>
      </c>
      <c r="B137" s="2" t="s">
        <v>25</v>
      </c>
      <c r="C137" s="2" t="s">
        <v>19</v>
      </c>
      <c r="D137" s="2">
        <v>10.0</v>
      </c>
      <c r="E137" s="2">
        <v>16.0</v>
      </c>
      <c r="F137" s="2">
        <v>82.0</v>
      </c>
      <c r="G137" s="2">
        <v>108.0</v>
      </c>
    </row>
    <row r="138">
      <c r="A138" s="2">
        <v>2012.0</v>
      </c>
      <c r="B138" s="2" t="s">
        <v>25</v>
      </c>
      <c r="C138" s="2" t="s">
        <v>20</v>
      </c>
      <c r="D138" s="2">
        <v>16.0</v>
      </c>
      <c r="E138" s="2">
        <v>10.0</v>
      </c>
      <c r="F138" s="2">
        <v>22.0</v>
      </c>
      <c r="G138" s="2">
        <v>48.0</v>
      </c>
    </row>
    <row r="139">
      <c r="A139" s="2">
        <v>2012.0</v>
      </c>
      <c r="B139" s="2" t="s">
        <v>25</v>
      </c>
      <c r="C139" s="2" t="s">
        <v>21</v>
      </c>
      <c r="D139" s="2">
        <v>1.0</v>
      </c>
      <c r="E139" s="2">
        <v>1.0</v>
      </c>
      <c r="F139" s="2">
        <v>2.0</v>
      </c>
      <c r="G139" s="2">
        <v>4.0</v>
      </c>
    </row>
    <row r="140">
      <c r="A140" s="2">
        <v>2012.0</v>
      </c>
      <c r="B140" s="2" t="s">
        <v>25</v>
      </c>
      <c r="C140" s="2" t="s">
        <v>22</v>
      </c>
      <c r="D140" s="2">
        <v>5.0</v>
      </c>
      <c r="E140" s="2">
        <v>9.0</v>
      </c>
      <c r="F140" s="2">
        <v>19.0</v>
      </c>
      <c r="G140" s="2">
        <v>33.0</v>
      </c>
    </row>
    <row r="141">
      <c r="A141" s="2">
        <v>2012.0</v>
      </c>
      <c r="B141" s="2" t="s">
        <v>25</v>
      </c>
      <c r="C141" s="2" t="s">
        <v>23</v>
      </c>
      <c r="D141" s="2">
        <v>1.0</v>
      </c>
      <c r="E141" s="2">
        <v>1.0</v>
      </c>
      <c r="F141" s="2">
        <v>5.0</v>
      </c>
      <c r="G141" s="2">
        <v>7.0</v>
      </c>
    </row>
    <row r="142">
      <c r="A142" s="2">
        <v>2012.0</v>
      </c>
      <c r="B142" s="2">
        <v>11.0</v>
      </c>
      <c r="C142" s="2" t="s">
        <v>7</v>
      </c>
      <c r="D142" s="2">
        <v>0.0</v>
      </c>
      <c r="E142" s="2">
        <v>1.0</v>
      </c>
      <c r="F142" s="2">
        <v>3.0</v>
      </c>
      <c r="G142" s="2">
        <v>4.0</v>
      </c>
    </row>
    <row r="143">
      <c r="A143" s="2">
        <v>2012.0</v>
      </c>
      <c r="B143" s="2">
        <v>11.0</v>
      </c>
      <c r="C143" s="2" t="s">
        <v>8</v>
      </c>
      <c r="D143" s="2">
        <v>0.0</v>
      </c>
      <c r="E143" s="2">
        <v>0.0</v>
      </c>
      <c r="F143" s="2">
        <v>0.0</v>
      </c>
      <c r="G143" s="2">
        <v>0.0</v>
      </c>
    </row>
    <row r="144">
      <c r="A144" s="2">
        <v>2012.0</v>
      </c>
      <c r="B144" s="2">
        <v>11.0</v>
      </c>
      <c r="C144" s="2" t="s">
        <v>9</v>
      </c>
      <c r="D144" s="2">
        <v>0.0</v>
      </c>
      <c r="E144" s="2">
        <v>5.0</v>
      </c>
      <c r="F144" s="2">
        <v>14.0</v>
      </c>
      <c r="G144" s="2">
        <v>19.0</v>
      </c>
    </row>
    <row r="145">
      <c r="A145" s="2">
        <v>2012.0</v>
      </c>
      <c r="B145" s="2">
        <v>11.0</v>
      </c>
      <c r="C145" s="2" t="s">
        <v>10</v>
      </c>
      <c r="D145" s="2">
        <v>940.0</v>
      </c>
      <c r="E145" s="2">
        <v>770.0</v>
      </c>
      <c r="F145" s="2">
        <v>3155.0</v>
      </c>
      <c r="G145" s="2">
        <v>4865.0</v>
      </c>
    </row>
    <row r="146">
      <c r="A146" s="2">
        <v>2012.0</v>
      </c>
      <c r="B146" s="2">
        <v>11.0</v>
      </c>
      <c r="C146" s="2" t="s">
        <v>12</v>
      </c>
      <c r="D146" s="2">
        <v>2.0</v>
      </c>
      <c r="E146" s="2">
        <v>9.0</v>
      </c>
      <c r="F146" s="2">
        <v>19.0</v>
      </c>
      <c r="G146" s="2">
        <v>30.0</v>
      </c>
    </row>
    <row r="147">
      <c r="A147" s="2">
        <v>2012.0</v>
      </c>
      <c r="B147" s="2">
        <v>11.0</v>
      </c>
      <c r="C147" s="2" t="s">
        <v>15</v>
      </c>
      <c r="D147" s="2">
        <v>198.0</v>
      </c>
      <c r="E147" s="2">
        <v>199.0</v>
      </c>
      <c r="F147" s="2">
        <v>708.0</v>
      </c>
      <c r="G147" s="2">
        <v>1105.0</v>
      </c>
    </row>
    <row r="148">
      <c r="A148" s="2">
        <v>2012.0</v>
      </c>
      <c r="B148" s="2">
        <v>11.0</v>
      </c>
      <c r="C148" s="2" t="s">
        <v>16</v>
      </c>
      <c r="D148" s="2">
        <v>7.0</v>
      </c>
      <c r="E148" s="2">
        <v>0.0</v>
      </c>
      <c r="F148" s="2">
        <v>6.0</v>
      </c>
      <c r="G148" s="2">
        <v>13.0</v>
      </c>
    </row>
    <row r="149">
      <c r="A149" s="2">
        <v>2012.0</v>
      </c>
      <c r="B149" s="2">
        <v>11.0</v>
      </c>
      <c r="C149" s="2" t="s">
        <v>14</v>
      </c>
      <c r="D149" s="2">
        <v>911.0</v>
      </c>
      <c r="E149" s="2">
        <v>916.0</v>
      </c>
      <c r="F149" s="2">
        <v>3432.0</v>
      </c>
      <c r="G149" s="2">
        <v>5259.0</v>
      </c>
    </row>
    <row r="150">
      <c r="A150" s="2">
        <v>2012.0</v>
      </c>
      <c r="B150" s="2">
        <v>11.0</v>
      </c>
      <c r="C150" s="2" t="s">
        <v>17</v>
      </c>
      <c r="D150" s="2">
        <v>2.0</v>
      </c>
      <c r="E150" s="2">
        <v>43.0</v>
      </c>
      <c r="F150" s="2">
        <v>9.0</v>
      </c>
      <c r="G150" s="2">
        <v>54.0</v>
      </c>
    </row>
    <row r="151">
      <c r="A151" s="2">
        <v>2012.0</v>
      </c>
      <c r="B151" s="2">
        <v>11.0</v>
      </c>
      <c r="C151" s="2" t="s">
        <v>19</v>
      </c>
      <c r="D151" s="2">
        <v>13.0</v>
      </c>
      <c r="E151" s="2">
        <v>12.0</v>
      </c>
      <c r="F151" s="2">
        <v>70.0</v>
      </c>
      <c r="G151" s="2">
        <v>95.0</v>
      </c>
    </row>
    <row r="152">
      <c r="A152" s="2">
        <v>2012.0</v>
      </c>
      <c r="B152" s="2">
        <v>11.0</v>
      </c>
      <c r="C152" s="2" t="s">
        <v>20</v>
      </c>
      <c r="D152" s="2">
        <v>10.0</v>
      </c>
      <c r="E152" s="2">
        <v>6.0</v>
      </c>
      <c r="F152" s="2">
        <v>20.0</v>
      </c>
      <c r="G152" s="2">
        <v>36.0</v>
      </c>
    </row>
    <row r="153">
      <c r="A153" s="2">
        <v>2012.0</v>
      </c>
      <c r="B153" s="2">
        <v>11.0</v>
      </c>
      <c r="C153" s="2" t="s">
        <v>21</v>
      </c>
      <c r="D153" s="2">
        <v>0.0</v>
      </c>
      <c r="E153" s="2">
        <v>0.0</v>
      </c>
      <c r="F153" s="2">
        <v>3.0</v>
      </c>
      <c r="G153" s="2">
        <v>3.0</v>
      </c>
    </row>
    <row r="154">
      <c r="A154" s="2">
        <v>2012.0</v>
      </c>
      <c r="B154" s="2">
        <v>11.0</v>
      </c>
      <c r="C154" s="2" t="s">
        <v>22</v>
      </c>
      <c r="D154" s="2">
        <v>2.0</v>
      </c>
      <c r="E154" s="2">
        <v>11.0</v>
      </c>
      <c r="F154" s="2">
        <v>14.0</v>
      </c>
      <c r="G154" s="2">
        <v>27.0</v>
      </c>
    </row>
    <row r="155">
      <c r="A155" s="2">
        <v>2012.0</v>
      </c>
      <c r="B155" s="2">
        <v>11.0</v>
      </c>
      <c r="C155" s="2" t="s">
        <v>23</v>
      </c>
      <c r="D155" s="2">
        <v>2.0</v>
      </c>
      <c r="E155" s="2">
        <v>0.0</v>
      </c>
      <c r="F155" s="2">
        <v>4.0</v>
      </c>
      <c r="G155" s="2">
        <v>6.0</v>
      </c>
    </row>
    <row r="156">
      <c r="A156" s="2">
        <v>2012.0</v>
      </c>
      <c r="B156" s="2">
        <v>12.0</v>
      </c>
      <c r="C156" s="2" t="s">
        <v>7</v>
      </c>
      <c r="D156" s="2">
        <v>1.0</v>
      </c>
      <c r="E156" s="2">
        <v>0.0</v>
      </c>
      <c r="F156" s="2">
        <v>11.0</v>
      </c>
      <c r="G156" s="2">
        <v>12.0</v>
      </c>
    </row>
    <row r="157">
      <c r="A157" s="2">
        <v>2012.0</v>
      </c>
      <c r="B157" s="2">
        <v>12.0</v>
      </c>
      <c r="C157" s="2" t="s">
        <v>8</v>
      </c>
      <c r="D157" s="2">
        <v>0.0</v>
      </c>
      <c r="E157" s="2">
        <v>0.0</v>
      </c>
      <c r="F157" s="2">
        <v>0.0</v>
      </c>
      <c r="G157" s="2">
        <v>0.0</v>
      </c>
    </row>
    <row r="158">
      <c r="A158" s="2">
        <v>2012.0</v>
      </c>
      <c r="B158" s="2">
        <v>12.0</v>
      </c>
      <c r="C158" s="2" t="s">
        <v>9</v>
      </c>
      <c r="D158" s="2">
        <v>0.0</v>
      </c>
      <c r="E158" s="2">
        <v>7.0</v>
      </c>
      <c r="F158" s="2">
        <v>23.0</v>
      </c>
      <c r="G158" s="2">
        <v>30.0</v>
      </c>
    </row>
    <row r="159">
      <c r="A159" s="2">
        <v>2012.0</v>
      </c>
      <c r="B159" s="2">
        <v>12.0</v>
      </c>
      <c r="C159" s="2" t="s">
        <v>10</v>
      </c>
      <c r="D159" s="2">
        <v>997.0</v>
      </c>
      <c r="E159" s="2">
        <v>921.0</v>
      </c>
      <c r="F159" s="2">
        <v>3735.0</v>
      </c>
      <c r="G159" s="2">
        <v>5653.0</v>
      </c>
    </row>
    <row r="160">
      <c r="A160" s="2">
        <v>2012.0</v>
      </c>
      <c r="B160" s="2">
        <v>12.0</v>
      </c>
      <c r="C160" s="2" t="s">
        <v>12</v>
      </c>
      <c r="D160" s="2">
        <v>3.0</v>
      </c>
      <c r="E160" s="2">
        <v>6.0</v>
      </c>
      <c r="F160" s="2">
        <v>20.0</v>
      </c>
      <c r="G160" s="2">
        <v>29.0</v>
      </c>
    </row>
    <row r="161">
      <c r="A161" s="2">
        <v>2012.0</v>
      </c>
      <c r="B161" s="2">
        <v>12.0</v>
      </c>
      <c r="C161" s="2" t="s">
        <v>15</v>
      </c>
      <c r="D161" s="2">
        <v>176.0</v>
      </c>
      <c r="E161" s="2">
        <v>239.0</v>
      </c>
      <c r="F161" s="2">
        <v>793.0</v>
      </c>
      <c r="G161" s="2">
        <v>1208.0</v>
      </c>
    </row>
    <row r="162">
      <c r="A162" s="2">
        <v>2012.0</v>
      </c>
      <c r="B162" s="2">
        <v>12.0</v>
      </c>
      <c r="C162" s="2" t="s">
        <v>16</v>
      </c>
      <c r="D162" s="2">
        <v>0.0</v>
      </c>
      <c r="E162" s="2">
        <v>1.0</v>
      </c>
      <c r="F162" s="2">
        <v>9.0</v>
      </c>
      <c r="G162" s="2">
        <v>10.0</v>
      </c>
    </row>
    <row r="163">
      <c r="A163" s="2">
        <v>2012.0</v>
      </c>
      <c r="B163" s="2">
        <v>12.0</v>
      </c>
      <c r="C163" s="2" t="s">
        <v>14</v>
      </c>
      <c r="D163" s="2">
        <v>935.0</v>
      </c>
      <c r="E163" s="2">
        <v>995.0</v>
      </c>
      <c r="F163" s="2">
        <v>3479.0</v>
      </c>
      <c r="G163" s="2">
        <v>5409.0</v>
      </c>
    </row>
    <row r="164">
      <c r="A164" s="2">
        <v>2012.0</v>
      </c>
      <c r="B164" s="2">
        <v>12.0</v>
      </c>
      <c r="C164" s="2" t="s">
        <v>17</v>
      </c>
      <c r="D164" s="2">
        <v>0.0</v>
      </c>
      <c r="E164" s="2">
        <v>2.0</v>
      </c>
      <c r="F164" s="2">
        <v>25.0</v>
      </c>
      <c r="G164" s="2">
        <v>27.0</v>
      </c>
    </row>
    <row r="165">
      <c r="A165" s="2">
        <v>2012.0</v>
      </c>
      <c r="B165" s="2">
        <v>12.0</v>
      </c>
      <c r="C165" s="2" t="s">
        <v>19</v>
      </c>
      <c r="D165" s="2">
        <v>7.0</v>
      </c>
      <c r="E165" s="2">
        <v>15.0</v>
      </c>
      <c r="F165" s="2">
        <v>67.0</v>
      </c>
      <c r="G165" s="2">
        <v>89.0</v>
      </c>
    </row>
    <row r="166">
      <c r="A166" s="2">
        <v>2012.0</v>
      </c>
      <c r="B166" s="2">
        <v>12.0</v>
      </c>
      <c r="C166" s="2" t="s">
        <v>20</v>
      </c>
      <c r="D166" s="2">
        <v>8.0</v>
      </c>
      <c r="E166" s="2">
        <v>5.0</v>
      </c>
      <c r="F166" s="2">
        <v>23.0</v>
      </c>
      <c r="G166" s="2">
        <v>36.0</v>
      </c>
    </row>
    <row r="167">
      <c r="A167" s="2">
        <v>2012.0</v>
      </c>
      <c r="B167" s="2">
        <v>12.0</v>
      </c>
      <c r="C167" s="2" t="s">
        <v>21</v>
      </c>
      <c r="D167" s="2">
        <v>0.0</v>
      </c>
      <c r="E167" s="2">
        <v>0.0</v>
      </c>
      <c r="F167" s="2">
        <v>0.0</v>
      </c>
      <c r="G167" s="2">
        <v>0.0</v>
      </c>
    </row>
    <row r="168">
      <c r="A168" s="2">
        <v>2012.0</v>
      </c>
      <c r="B168" s="2">
        <v>12.0</v>
      </c>
      <c r="C168" s="2" t="s">
        <v>22</v>
      </c>
      <c r="D168" s="2">
        <v>4.0</v>
      </c>
      <c r="E168" s="2">
        <v>7.0</v>
      </c>
      <c r="F168" s="2">
        <v>13.0</v>
      </c>
      <c r="G168" s="2">
        <v>24.0</v>
      </c>
    </row>
    <row r="169">
      <c r="A169" s="2">
        <v>2012.0</v>
      </c>
      <c r="B169" s="2">
        <v>12.0</v>
      </c>
      <c r="C169" s="2" t="s">
        <v>23</v>
      </c>
      <c r="D169" s="2">
        <v>0.0</v>
      </c>
      <c r="E169" s="2">
        <v>0.0</v>
      </c>
      <c r="F169" s="2">
        <v>2.0</v>
      </c>
      <c r="G169" s="2">
        <v>2.0</v>
      </c>
    </row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33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>
        <v>2013.0</v>
      </c>
      <c r="B2" s="2">
        <v>1.0</v>
      </c>
      <c r="C2" s="2" t="s">
        <v>7</v>
      </c>
      <c r="D2" s="2">
        <v>0.0</v>
      </c>
      <c r="E2" s="2">
        <v>0.0</v>
      </c>
      <c r="F2" s="2">
        <v>8.0</v>
      </c>
      <c r="G2" s="2">
        <v>8.0</v>
      </c>
    </row>
    <row r="3">
      <c r="A3" s="2">
        <v>2013.0</v>
      </c>
      <c r="B3" s="2">
        <v>1.0</v>
      </c>
      <c r="C3" s="2" t="s">
        <v>8</v>
      </c>
      <c r="D3" s="2">
        <v>0.0</v>
      </c>
      <c r="E3" s="2">
        <v>0.0</v>
      </c>
      <c r="F3" s="2">
        <v>0.0</v>
      </c>
      <c r="G3" s="2">
        <v>0.0</v>
      </c>
    </row>
    <row r="4">
      <c r="A4" s="2">
        <v>2013.0</v>
      </c>
      <c r="B4" s="2">
        <v>1.0</v>
      </c>
      <c r="C4" s="2" t="s">
        <v>9</v>
      </c>
      <c r="D4" s="2">
        <v>0.0</v>
      </c>
      <c r="E4" s="2">
        <v>4.0</v>
      </c>
      <c r="F4" s="2">
        <v>14.0</v>
      </c>
      <c r="G4" s="2">
        <v>18.0</v>
      </c>
    </row>
    <row r="5">
      <c r="A5" s="2">
        <v>2013.0</v>
      </c>
      <c r="B5" s="2">
        <v>1.0</v>
      </c>
      <c r="C5" s="2" t="s">
        <v>10</v>
      </c>
      <c r="D5" s="2">
        <v>973.0</v>
      </c>
      <c r="E5" s="2">
        <v>916.0</v>
      </c>
      <c r="F5" s="2">
        <v>3636.0</v>
      </c>
      <c r="G5" s="2">
        <v>5525.0</v>
      </c>
    </row>
    <row r="6">
      <c r="A6" s="2">
        <v>2013.0</v>
      </c>
      <c r="B6" s="2">
        <v>1.0</v>
      </c>
      <c r="C6" s="2" t="s">
        <v>12</v>
      </c>
      <c r="D6" s="2">
        <v>2.0</v>
      </c>
      <c r="E6" s="2">
        <v>7.0</v>
      </c>
      <c r="F6" s="2">
        <v>12.0</v>
      </c>
      <c r="G6" s="2">
        <v>21.0</v>
      </c>
    </row>
    <row r="7">
      <c r="A7" s="2">
        <v>2013.0</v>
      </c>
      <c r="B7" s="2">
        <v>1.0</v>
      </c>
      <c r="C7" s="2" t="s">
        <v>15</v>
      </c>
      <c r="D7" s="2">
        <v>163.0</v>
      </c>
      <c r="E7" s="2">
        <v>240.0</v>
      </c>
      <c r="F7" s="2">
        <v>809.0</v>
      </c>
      <c r="G7" s="2">
        <v>1212.0</v>
      </c>
    </row>
    <row r="8">
      <c r="A8" s="2">
        <v>2013.0</v>
      </c>
      <c r="B8" s="2">
        <v>1.0</v>
      </c>
      <c r="C8" s="2" t="s">
        <v>16</v>
      </c>
      <c r="D8" s="2">
        <v>2.0</v>
      </c>
      <c r="E8" s="2">
        <v>1.0</v>
      </c>
      <c r="F8" s="2">
        <v>8.0</v>
      </c>
      <c r="G8" s="2">
        <v>11.0</v>
      </c>
    </row>
    <row r="9">
      <c r="A9" s="2">
        <v>2013.0</v>
      </c>
      <c r="B9" s="2">
        <v>1.0</v>
      </c>
      <c r="C9" s="2" t="s">
        <v>14</v>
      </c>
      <c r="D9" s="2">
        <v>903.0</v>
      </c>
      <c r="E9" s="2">
        <v>1025.0</v>
      </c>
      <c r="F9" s="2">
        <v>3704.0</v>
      </c>
      <c r="G9" s="2">
        <v>5632.0</v>
      </c>
    </row>
    <row r="10">
      <c r="A10" s="2">
        <v>2013.0</v>
      </c>
      <c r="B10" s="2">
        <v>1.0</v>
      </c>
      <c r="C10" s="2" t="s">
        <v>17</v>
      </c>
      <c r="D10" s="2">
        <v>1.0</v>
      </c>
      <c r="E10" s="2">
        <v>3.0</v>
      </c>
      <c r="F10" s="2">
        <v>13.0</v>
      </c>
      <c r="G10" s="2">
        <v>17.0</v>
      </c>
    </row>
    <row r="11">
      <c r="A11" s="2">
        <v>2013.0</v>
      </c>
      <c r="B11" s="2">
        <v>1.0</v>
      </c>
      <c r="C11" s="2" t="s">
        <v>19</v>
      </c>
      <c r="D11" s="2">
        <v>14.0</v>
      </c>
      <c r="E11" s="2">
        <v>19.0</v>
      </c>
      <c r="F11" s="2">
        <v>80.0</v>
      </c>
      <c r="G11" s="2">
        <v>113.0</v>
      </c>
    </row>
    <row r="12">
      <c r="A12" s="2">
        <v>2013.0</v>
      </c>
      <c r="B12" s="2">
        <v>1.0</v>
      </c>
      <c r="C12" s="2" t="s">
        <v>20</v>
      </c>
      <c r="D12" s="2">
        <v>12.0</v>
      </c>
      <c r="E12" s="2">
        <v>6.0</v>
      </c>
      <c r="F12" s="2">
        <v>21.0</v>
      </c>
      <c r="G12" s="2">
        <v>39.0</v>
      </c>
    </row>
    <row r="13">
      <c r="A13" s="2">
        <v>2013.0</v>
      </c>
      <c r="B13" s="2">
        <v>1.0</v>
      </c>
      <c r="C13" s="2" t="s">
        <v>21</v>
      </c>
      <c r="D13" s="2">
        <v>0.0</v>
      </c>
      <c r="E13" s="2">
        <v>0.0</v>
      </c>
      <c r="F13" s="2">
        <v>2.0</v>
      </c>
      <c r="G13" s="2">
        <v>2.0</v>
      </c>
    </row>
    <row r="14">
      <c r="A14" s="2">
        <v>2013.0</v>
      </c>
      <c r="B14" s="2">
        <v>1.0</v>
      </c>
      <c r="C14" s="2" t="s">
        <v>22</v>
      </c>
      <c r="D14" s="2">
        <v>1.0</v>
      </c>
      <c r="E14" s="2">
        <v>4.0</v>
      </c>
      <c r="F14" s="2">
        <v>18.0</v>
      </c>
      <c r="G14" s="2">
        <v>23.0</v>
      </c>
    </row>
    <row r="15">
      <c r="A15" s="2">
        <v>2013.0</v>
      </c>
      <c r="B15" s="2">
        <v>1.0</v>
      </c>
      <c r="C15" s="2" t="s">
        <v>23</v>
      </c>
      <c r="D15" s="2">
        <v>2.0</v>
      </c>
      <c r="E15" s="2">
        <v>1.0</v>
      </c>
      <c r="F15" s="2">
        <v>2.0</v>
      </c>
      <c r="G15" s="2">
        <v>5.0</v>
      </c>
    </row>
    <row r="16">
      <c r="A16" s="2">
        <v>2013.0</v>
      </c>
      <c r="B16" s="2">
        <v>2.0</v>
      </c>
      <c r="C16" s="2" t="s">
        <v>7</v>
      </c>
      <c r="D16" s="2">
        <v>2.0</v>
      </c>
      <c r="E16" s="2">
        <v>1.0</v>
      </c>
      <c r="F16" s="2">
        <v>1.0</v>
      </c>
      <c r="G16" s="2">
        <v>4.0</v>
      </c>
    </row>
    <row r="17">
      <c r="A17" s="2">
        <v>2013.0</v>
      </c>
      <c r="B17" s="2">
        <v>2.0</v>
      </c>
      <c r="C17" s="2" t="s">
        <v>8</v>
      </c>
      <c r="D17" s="2">
        <v>0.0</v>
      </c>
      <c r="E17" s="2">
        <v>0.0</v>
      </c>
      <c r="F17" s="2">
        <v>0.0</v>
      </c>
      <c r="G17" s="2">
        <v>0.0</v>
      </c>
    </row>
    <row r="18">
      <c r="A18" s="2">
        <v>2013.0</v>
      </c>
      <c r="B18" s="2">
        <v>2.0</v>
      </c>
      <c r="C18" s="2" t="s">
        <v>9</v>
      </c>
      <c r="D18" s="2">
        <v>0.0</v>
      </c>
      <c r="E18" s="2">
        <v>4.0</v>
      </c>
      <c r="F18" s="2">
        <v>11.0</v>
      </c>
      <c r="G18" s="2">
        <v>15.0</v>
      </c>
    </row>
    <row r="19">
      <c r="A19" s="2">
        <v>2013.0</v>
      </c>
      <c r="B19" s="2">
        <v>2.0</v>
      </c>
      <c r="C19" s="2" t="s">
        <v>10</v>
      </c>
      <c r="D19" s="2">
        <v>823.0</v>
      </c>
      <c r="E19" s="2">
        <v>741.0</v>
      </c>
      <c r="F19" s="2">
        <v>3037.0</v>
      </c>
      <c r="G19" s="2">
        <v>4601.0</v>
      </c>
    </row>
    <row r="20">
      <c r="A20" s="2">
        <v>2013.0</v>
      </c>
      <c r="B20" s="2">
        <v>2.0</v>
      </c>
      <c r="C20" s="2" t="s">
        <v>12</v>
      </c>
      <c r="D20" s="2">
        <v>0.0</v>
      </c>
      <c r="E20" s="2">
        <v>5.0</v>
      </c>
      <c r="F20" s="2">
        <v>11.0</v>
      </c>
      <c r="G20" s="2">
        <v>16.0</v>
      </c>
    </row>
    <row r="21">
      <c r="A21" s="2">
        <v>2013.0</v>
      </c>
      <c r="B21" s="2">
        <v>2.0</v>
      </c>
      <c r="C21" s="2" t="s">
        <v>15</v>
      </c>
      <c r="D21" s="2">
        <v>174.0</v>
      </c>
      <c r="E21" s="2">
        <v>200.0</v>
      </c>
      <c r="F21" s="2">
        <v>664.0</v>
      </c>
      <c r="G21" s="2">
        <v>1038.0</v>
      </c>
    </row>
    <row r="22">
      <c r="A22" s="2">
        <v>2013.0</v>
      </c>
      <c r="B22" s="2">
        <v>2.0</v>
      </c>
      <c r="C22" s="2" t="s">
        <v>16</v>
      </c>
      <c r="D22" s="2">
        <v>2.0</v>
      </c>
      <c r="E22" s="2">
        <v>0.0</v>
      </c>
      <c r="F22" s="2">
        <v>3.0</v>
      </c>
      <c r="G22" s="2">
        <v>5.0</v>
      </c>
    </row>
    <row r="23">
      <c r="A23" s="2">
        <v>2013.0</v>
      </c>
      <c r="B23" s="2">
        <v>2.0</v>
      </c>
      <c r="C23" s="2" t="s">
        <v>14</v>
      </c>
      <c r="D23" s="2">
        <v>813.0</v>
      </c>
      <c r="E23" s="2">
        <v>820.0</v>
      </c>
      <c r="F23" s="2">
        <v>2911.0</v>
      </c>
      <c r="G23" s="2">
        <v>4544.0</v>
      </c>
    </row>
    <row r="24">
      <c r="A24" s="2">
        <v>2013.0</v>
      </c>
      <c r="B24" s="2">
        <v>2.0</v>
      </c>
      <c r="C24" s="2" t="s">
        <v>17</v>
      </c>
      <c r="D24" s="2">
        <v>0.0</v>
      </c>
      <c r="E24" s="2">
        <v>2.0</v>
      </c>
      <c r="F24" s="2">
        <v>10.0</v>
      </c>
      <c r="G24" s="2">
        <v>12.0</v>
      </c>
    </row>
    <row r="25">
      <c r="A25" s="2">
        <v>2013.0</v>
      </c>
      <c r="B25" s="2">
        <v>2.0</v>
      </c>
      <c r="C25" s="2" t="s">
        <v>19</v>
      </c>
      <c r="D25" s="2">
        <v>10.0</v>
      </c>
      <c r="E25" s="2">
        <v>11.0</v>
      </c>
      <c r="F25" s="2">
        <v>63.0</v>
      </c>
      <c r="G25" s="2">
        <v>84.0</v>
      </c>
    </row>
    <row r="26">
      <c r="A26" s="2">
        <v>2013.0</v>
      </c>
      <c r="B26" s="2">
        <v>2.0</v>
      </c>
      <c r="C26" s="2" t="s">
        <v>20</v>
      </c>
      <c r="D26" s="2">
        <v>11.0</v>
      </c>
      <c r="E26" s="2">
        <v>7.0</v>
      </c>
      <c r="F26" s="2">
        <v>23.0</v>
      </c>
      <c r="G26" s="2">
        <v>41.0</v>
      </c>
    </row>
    <row r="27">
      <c r="A27" s="2">
        <v>2013.0</v>
      </c>
      <c r="B27" s="2">
        <v>2.0</v>
      </c>
      <c r="C27" s="2" t="s">
        <v>21</v>
      </c>
      <c r="D27" s="2">
        <v>1.0</v>
      </c>
      <c r="E27" s="2">
        <v>1.0</v>
      </c>
      <c r="F27" s="2">
        <v>1.0</v>
      </c>
      <c r="G27" s="2">
        <v>3.0</v>
      </c>
    </row>
    <row r="28">
      <c r="A28" s="2">
        <v>2013.0</v>
      </c>
      <c r="B28" s="2">
        <v>2.0</v>
      </c>
      <c r="C28" s="2" t="s">
        <v>22</v>
      </c>
      <c r="D28" s="2">
        <v>0.0</v>
      </c>
      <c r="E28" s="2">
        <v>3.0</v>
      </c>
      <c r="F28" s="2">
        <v>11.0</v>
      </c>
      <c r="G28" s="2">
        <v>14.0</v>
      </c>
    </row>
    <row r="29">
      <c r="A29" s="2">
        <v>2013.0</v>
      </c>
      <c r="B29" s="2">
        <v>2.0</v>
      </c>
      <c r="C29" s="2" t="s">
        <v>23</v>
      </c>
      <c r="D29" s="2">
        <v>2.0</v>
      </c>
      <c r="E29" s="2">
        <v>0.0</v>
      </c>
      <c r="F29" s="2">
        <v>3.0</v>
      </c>
      <c r="G29" s="2">
        <v>5.0</v>
      </c>
    </row>
    <row r="30">
      <c r="A30" s="2">
        <v>2013.0</v>
      </c>
      <c r="B30" s="2">
        <v>3.0</v>
      </c>
      <c r="C30" s="2" t="s">
        <v>7</v>
      </c>
      <c r="D30" s="2">
        <v>1.0</v>
      </c>
      <c r="E30" s="2">
        <v>1.0</v>
      </c>
      <c r="F30" s="2">
        <v>5.0</v>
      </c>
      <c r="G30" s="2">
        <v>7.0</v>
      </c>
    </row>
    <row r="31">
      <c r="A31" s="2">
        <v>2013.0</v>
      </c>
      <c r="B31" s="2">
        <v>3.0</v>
      </c>
      <c r="C31" s="2" t="s">
        <v>8</v>
      </c>
      <c r="D31" s="2">
        <v>0.0</v>
      </c>
      <c r="E31" s="2">
        <v>0.0</v>
      </c>
      <c r="F31" s="2">
        <v>0.0</v>
      </c>
      <c r="G31" s="2">
        <v>0.0</v>
      </c>
    </row>
    <row r="32">
      <c r="A32" s="2">
        <v>2013.0</v>
      </c>
      <c r="B32" s="2">
        <v>3.0</v>
      </c>
      <c r="C32" s="2" t="s">
        <v>9</v>
      </c>
      <c r="D32" s="2">
        <v>0.0</v>
      </c>
      <c r="E32" s="2">
        <v>7.0</v>
      </c>
      <c r="F32" s="2">
        <v>15.0</v>
      </c>
      <c r="G32" s="2">
        <v>22.0</v>
      </c>
    </row>
    <row r="33">
      <c r="A33" s="2">
        <v>2013.0</v>
      </c>
      <c r="B33" s="2">
        <v>3.0</v>
      </c>
      <c r="C33" s="2" t="s">
        <v>10</v>
      </c>
      <c r="D33" s="2">
        <v>929.0</v>
      </c>
      <c r="E33" s="2">
        <v>837.0</v>
      </c>
      <c r="F33" s="2">
        <v>3524.0</v>
      </c>
      <c r="G33" s="2">
        <v>5290.0</v>
      </c>
    </row>
    <row r="34">
      <c r="A34" s="2">
        <v>2013.0</v>
      </c>
      <c r="B34" s="2">
        <v>3.0</v>
      </c>
      <c r="C34" s="2" t="s">
        <v>12</v>
      </c>
      <c r="D34" s="2">
        <v>3.0</v>
      </c>
      <c r="E34" s="2">
        <v>6.0</v>
      </c>
      <c r="F34" s="2">
        <v>21.0</v>
      </c>
      <c r="G34" s="2">
        <v>30.0</v>
      </c>
    </row>
    <row r="35">
      <c r="A35" s="2">
        <v>2013.0</v>
      </c>
      <c r="B35" s="2">
        <v>3.0</v>
      </c>
      <c r="C35" s="2" t="s">
        <v>15</v>
      </c>
      <c r="D35" s="2">
        <v>185.0</v>
      </c>
      <c r="E35" s="2">
        <v>216.0</v>
      </c>
      <c r="F35" s="2">
        <v>771.0</v>
      </c>
      <c r="G35" s="2">
        <v>1172.0</v>
      </c>
    </row>
    <row r="36">
      <c r="A36" s="2">
        <v>2013.0</v>
      </c>
      <c r="B36" s="2">
        <v>3.0</v>
      </c>
      <c r="C36" s="2" t="s">
        <v>16</v>
      </c>
      <c r="D36" s="2">
        <v>1.0</v>
      </c>
      <c r="E36" s="2">
        <v>1.0</v>
      </c>
      <c r="F36" s="2">
        <v>10.0</v>
      </c>
      <c r="G36" s="2">
        <v>12.0</v>
      </c>
    </row>
    <row r="37">
      <c r="A37" s="2">
        <v>2013.0</v>
      </c>
      <c r="B37" s="2">
        <v>3.0</v>
      </c>
      <c r="C37" s="2" t="s">
        <v>14</v>
      </c>
      <c r="D37" s="2">
        <v>884.0</v>
      </c>
      <c r="E37" s="2">
        <v>933.0</v>
      </c>
      <c r="F37" s="2">
        <v>3449.0</v>
      </c>
      <c r="G37" s="2">
        <v>5266.0</v>
      </c>
    </row>
    <row r="38">
      <c r="A38" s="2">
        <v>2013.0</v>
      </c>
      <c r="B38" s="2">
        <v>3.0</v>
      </c>
      <c r="C38" s="2" t="s">
        <v>17</v>
      </c>
      <c r="D38" s="2">
        <v>1.0</v>
      </c>
      <c r="E38" s="2">
        <v>3.0</v>
      </c>
      <c r="F38" s="2">
        <v>20.0</v>
      </c>
      <c r="G38" s="2">
        <v>24.0</v>
      </c>
    </row>
    <row r="39">
      <c r="A39" s="2">
        <v>2013.0</v>
      </c>
      <c r="B39" s="2">
        <v>3.0</v>
      </c>
      <c r="C39" s="2" t="s">
        <v>19</v>
      </c>
      <c r="D39" s="2">
        <v>9.0</v>
      </c>
      <c r="E39" s="2">
        <v>15.0</v>
      </c>
      <c r="F39" s="2">
        <v>74.0</v>
      </c>
      <c r="G39" s="2">
        <v>98.0</v>
      </c>
    </row>
    <row r="40">
      <c r="A40" s="2">
        <v>2013.0</v>
      </c>
      <c r="B40" s="2">
        <v>3.0</v>
      </c>
      <c r="C40" s="2" t="s">
        <v>20</v>
      </c>
      <c r="D40" s="2">
        <v>11.0</v>
      </c>
      <c r="E40" s="2">
        <v>6.0</v>
      </c>
      <c r="F40" s="2">
        <v>13.0</v>
      </c>
      <c r="G40" s="2">
        <v>30.0</v>
      </c>
    </row>
    <row r="41">
      <c r="A41" s="2">
        <v>2013.0</v>
      </c>
      <c r="B41" s="2">
        <v>3.0</v>
      </c>
      <c r="C41" s="2" t="s">
        <v>21</v>
      </c>
      <c r="D41" s="2">
        <v>1.0</v>
      </c>
      <c r="E41" s="2">
        <v>0.0</v>
      </c>
      <c r="F41" s="2">
        <v>1.0</v>
      </c>
      <c r="G41" s="2">
        <v>2.0</v>
      </c>
    </row>
    <row r="42">
      <c r="A42" s="2">
        <v>2013.0</v>
      </c>
      <c r="B42" s="2">
        <v>3.0</v>
      </c>
      <c r="C42" s="2" t="s">
        <v>22</v>
      </c>
      <c r="D42" s="2">
        <v>1.0</v>
      </c>
      <c r="E42" s="2">
        <v>7.0</v>
      </c>
      <c r="F42" s="2">
        <v>20.0</v>
      </c>
      <c r="G42" s="2">
        <v>28.0</v>
      </c>
    </row>
    <row r="43">
      <c r="A43" s="2">
        <v>2013.0</v>
      </c>
      <c r="B43" s="2">
        <v>3.0</v>
      </c>
      <c r="C43" s="2" t="s">
        <v>23</v>
      </c>
      <c r="D43" s="2">
        <v>0.0</v>
      </c>
      <c r="E43" s="2">
        <v>0.0</v>
      </c>
      <c r="F43" s="2">
        <v>5.0</v>
      </c>
      <c r="G43" s="2">
        <v>5.0</v>
      </c>
    </row>
    <row r="44">
      <c r="A44" s="2">
        <v>2013.0</v>
      </c>
      <c r="B44" s="2">
        <v>4.0</v>
      </c>
      <c r="C44" s="2" t="s">
        <v>7</v>
      </c>
      <c r="D44" s="2">
        <v>1.0</v>
      </c>
      <c r="E44" s="2">
        <v>0.0</v>
      </c>
      <c r="F44" s="2">
        <v>5.0</v>
      </c>
      <c r="G44" s="2">
        <v>6.0</v>
      </c>
    </row>
    <row r="45">
      <c r="A45" s="2">
        <v>2013.0</v>
      </c>
      <c r="B45" s="2">
        <v>4.0</v>
      </c>
      <c r="C45" s="2" t="s">
        <v>8</v>
      </c>
      <c r="D45" s="2">
        <v>0.0</v>
      </c>
      <c r="E45" s="2">
        <v>0.0</v>
      </c>
      <c r="F45" s="2">
        <v>0.0</v>
      </c>
      <c r="G45" s="2">
        <v>0.0</v>
      </c>
    </row>
    <row r="46">
      <c r="A46" s="2">
        <v>2013.0</v>
      </c>
      <c r="B46" s="2">
        <v>4.0</v>
      </c>
      <c r="C46" s="2" t="s">
        <v>9</v>
      </c>
      <c r="D46" s="2">
        <v>0.0</v>
      </c>
      <c r="E46" s="2">
        <v>3.0</v>
      </c>
      <c r="F46" s="2">
        <v>9.0</v>
      </c>
      <c r="G46" s="2">
        <v>12.0</v>
      </c>
    </row>
    <row r="47">
      <c r="A47" s="2">
        <v>2013.0</v>
      </c>
      <c r="B47" s="2">
        <v>4.0</v>
      </c>
      <c r="C47" s="2" t="s">
        <v>10</v>
      </c>
      <c r="D47" s="2">
        <v>811.0</v>
      </c>
      <c r="E47" s="2">
        <v>711.0</v>
      </c>
      <c r="F47" s="2">
        <v>2911.0</v>
      </c>
      <c r="G47" s="2">
        <v>4433.0</v>
      </c>
    </row>
    <row r="48">
      <c r="A48" s="2">
        <v>2013.0</v>
      </c>
      <c r="B48" s="2">
        <v>4.0</v>
      </c>
      <c r="C48" s="2" t="s">
        <v>12</v>
      </c>
      <c r="D48" s="2">
        <v>1.0</v>
      </c>
      <c r="E48" s="2">
        <v>4.0</v>
      </c>
      <c r="F48" s="2">
        <v>21.0</v>
      </c>
      <c r="G48" s="2">
        <v>26.0</v>
      </c>
    </row>
    <row r="49">
      <c r="A49" s="2">
        <v>2013.0</v>
      </c>
      <c r="B49" s="2">
        <v>4.0</v>
      </c>
      <c r="C49" s="2" t="s">
        <v>15</v>
      </c>
      <c r="D49" s="2">
        <v>179.0</v>
      </c>
      <c r="E49" s="2">
        <v>228.0</v>
      </c>
      <c r="F49" s="2">
        <v>796.0</v>
      </c>
      <c r="G49" s="2">
        <v>1203.0</v>
      </c>
    </row>
    <row r="50">
      <c r="A50" s="2">
        <v>2013.0</v>
      </c>
      <c r="B50" s="2">
        <v>4.0</v>
      </c>
      <c r="C50" s="2" t="s">
        <v>16</v>
      </c>
      <c r="D50" s="2">
        <v>0.0</v>
      </c>
      <c r="E50" s="2">
        <v>1.0</v>
      </c>
      <c r="F50" s="2">
        <v>4.0</v>
      </c>
      <c r="G50" s="2">
        <v>5.0</v>
      </c>
    </row>
    <row r="51">
      <c r="A51" s="2">
        <v>2013.0</v>
      </c>
      <c r="B51" s="2">
        <v>4.0</v>
      </c>
      <c r="C51" s="2" t="s">
        <v>14</v>
      </c>
      <c r="D51" s="2">
        <v>752.0</v>
      </c>
      <c r="E51" s="2">
        <v>800.0</v>
      </c>
      <c r="F51" s="2">
        <v>2911.0</v>
      </c>
      <c r="G51" s="2">
        <v>4463.0</v>
      </c>
    </row>
    <row r="52">
      <c r="A52" s="2">
        <v>2013.0</v>
      </c>
      <c r="B52" s="2">
        <v>4.0</v>
      </c>
      <c r="C52" s="2" t="s">
        <v>17</v>
      </c>
      <c r="D52" s="2">
        <v>0.0</v>
      </c>
      <c r="E52" s="2">
        <v>2.0</v>
      </c>
      <c r="F52" s="2">
        <v>10.0</v>
      </c>
      <c r="G52" s="2">
        <v>12.0</v>
      </c>
    </row>
    <row r="53">
      <c r="A53" s="2">
        <v>2013.0</v>
      </c>
      <c r="B53" s="2">
        <v>4.0</v>
      </c>
      <c r="C53" s="2" t="s">
        <v>19</v>
      </c>
      <c r="D53" s="2">
        <v>10.0</v>
      </c>
      <c r="E53" s="2">
        <v>12.0</v>
      </c>
      <c r="F53" s="2">
        <v>53.0</v>
      </c>
      <c r="G53" s="2">
        <v>75.0</v>
      </c>
    </row>
    <row r="54">
      <c r="A54" s="2">
        <v>2013.0</v>
      </c>
      <c r="B54" s="2">
        <v>4.0</v>
      </c>
      <c r="C54" s="2" t="s">
        <v>20</v>
      </c>
      <c r="D54" s="2">
        <v>6.0</v>
      </c>
      <c r="E54" s="2">
        <v>3.0</v>
      </c>
      <c r="F54" s="2">
        <v>16.0</v>
      </c>
      <c r="G54" s="2">
        <v>25.0</v>
      </c>
    </row>
    <row r="55">
      <c r="A55" s="2">
        <v>2013.0</v>
      </c>
      <c r="B55" s="2">
        <v>4.0</v>
      </c>
      <c r="C55" s="2" t="s">
        <v>21</v>
      </c>
      <c r="D55" s="2">
        <v>0.0</v>
      </c>
      <c r="E55" s="2">
        <v>0.0</v>
      </c>
      <c r="F55" s="2">
        <v>1.0</v>
      </c>
      <c r="G55" s="2">
        <v>1.0</v>
      </c>
    </row>
    <row r="56">
      <c r="A56" s="2">
        <v>2013.0</v>
      </c>
      <c r="B56" s="2">
        <v>4.0</v>
      </c>
      <c r="C56" s="2" t="s">
        <v>22</v>
      </c>
      <c r="D56" s="2">
        <v>2.0</v>
      </c>
      <c r="E56" s="2">
        <v>5.0</v>
      </c>
      <c r="F56" s="2">
        <v>11.0</v>
      </c>
      <c r="G56" s="2">
        <v>18.0</v>
      </c>
    </row>
    <row r="57">
      <c r="A57" s="2">
        <v>2013.0</v>
      </c>
      <c r="B57" s="2">
        <v>4.0</v>
      </c>
      <c r="C57" s="2" t="s">
        <v>23</v>
      </c>
      <c r="D57" s="2">
        <v>0.0</v>
      </c>
      <c r="E57" s="2">
        <v>0.0</v>
      </c>
      <c r="F57" s="2">
        <v>3.0</v>
      </c>
      <c r="G57" s="2">
        <v>3.0</v>
      </c>
    </row>
    <row r="58">
      <c r="A58" s="2">
        <v>2013.0</v>
      </c>
      <c r="B58" s="2">
        <v>5.0</v>
      </c>
      <c r="C58" s="2" t="s">
        <v>7</v>
      </c>
      <c r="D58" s="2">
        <v>1.0</v>
      </c>
      <c r="E58" s="2">
        <v>0.0</v>
      </c>
      <c r="F58" s="2">
        <v>1.0</v>
      </c>
      <c r="G58" s="2">
        <v>2.0</v>
      </c>
    </row>
    <row r="59">
      <c r="A59" s="2">
        <v>2013.0</v>
      </c>
      <c r="B59" s="2">
        <v>5.0</v>
      </c>
      <c r="C59" s="2" t="s">
        <v>8</v>
      </c>
      <c r="D59" s="2">
        <v>0.0</v>
      </c>
      <c r="E59" s="2">
        <v>0.0</v>
      </c>
      <c r="F59" s="2">
        <v>0.0</v>
      </c>
      <c r="G59" s="2">
        <v>0.0</v>
      </c>
    </row>
    <row r="60">
      <c r="A60" s="2">
        <v>2013.0</v>
      </c>
      <c r="B60" s="2">
        <v>5.0</v>
      </c>
      <c r="C60" s="2" t="s">
        <v>9</v>
      </c>
      <c r="D60" s="2">
        <v>0.0</v>
      </c>
      <c r="E60" s="2">
        <v>1.0</v>
      </c>
      <c r="F60" s="2">
        <v>7.0</v>
      </c>
      <c r="G60" s="2">
        <v>8.0</v>
      </c>
    </row>
    <row r="61">
      <c r="A61" s="2">
        <v>2013.0</v>
      </c>
      <c r="B61" s="2">
        <v>5.0</v>
      </c>
      <c r="C61" s="2" t="s">
        <v>10</v>
      </c>
      <c r="D61" s="2">
        <v>811.0</v>
      </c>
      <c r="E61" s="2">
        <v>682.0</v>
      </c>
      <c r="F61" s="2">
        <v>2811.0</v>
      </c>
      <c r="G61" s="2">
        <v>4304.0</v>
      </c>
    </row>
    <row r="62">
      <c r="A62" s="2">
        <v>2013.0</v>
      </c>
      <c r="B62" s="2">
        <v>5.0</v>
      </c>
      <c r="C62" s="2" t="s">
        <v>12</v>
      </c>
      <c r="D62" s="2">
        <v>1.0</v>
      </c>
      <c r="E62" s="2">
        <v>5.0</v>
      </c>
      <c r="F62" s="2">
        <v>22.0</v>
      </c>
      <c r="G62" s="2">
        <v>28.0</v>
      </c>
    </row>
    <row r="63">
      <c r="A63" s="2">
        <v>2013.0</v>
      </c>
      <c r="B63" s="2">
        <v>5.0</v>
      </c>
      <c r="C63" s="2" t="s">
        <v>15</v>
      </c>
      <c r="D63" s="2">
        <v>175.0</v>
      </c>
      <c r="E63" s="2">
        <v>240.0</v>
      </c>
      <c r="F63" s="2">
        <v>794.0</v>
      </c>
      <c r="G63" s="2">
        <v>1209.0</v>
      </c>
    </row>
    <row r="64">
      <c r="A64" s="2">
        <v>2013.0</v>
      </c>
      <c r="B64" s="2">
        <v>5.0</v>
      </c>
      <c r="C64" s="2" t="s">
        <v>16</v>
      </c>
      <c r="D64" s="2">
        <v>2.0</v>
      </c>
      <c r="E64" s="2">
        <v>1.0</v>
      </c>
      <c r="F64" s="2">
        <v>2.0</v>
      </c>
      <c r="G64" s="2">
        <v>5.0</v>
      </c>
    </row>
    <row r="65">
      <c r="A65" s="2">
        <v>2013.0</v>
      </c>
      <c r="B65" s="2">
        <v>5.0</v>
      </c>
      <c r="C65" s="2" t="s">
        <v>14</v>
      </c>
      <c r="D65" s="2">
        <v>711.0</v>
      </c>
      <c r="E65" s="2">
        <v>790.0</v>
      </c>
      <c r="F65" s="2">
        <v>2811.0</v>
      </c>
      <c r="G65" s="2">
        <v>4312.0</v>
      </c>
    </row>
    <row r="66">
      <c r="A66" s="2">
        <v>2013.0</v>
      </c>
      <c r="B66" s="2">
        <v>5.0</v>
      </c>
      <c r="C66" s="2" t="s">
        <v>17</v>
      </c>
      <c r="D66" s="2">
        <v>1.0</v>
      </c>
      <c r="E66" s="2">
        <v>1.0</v>
      </c>
      <c r="F66" s="2">
        <v>6.0</v>
      </c>
      <c r="G66" s="2">
        <v>8.0</v>
      </c>
    </row>
    <row r="67">
      <c r="A67" s="2">
        <v>2013.0</v>
      </c>
      <c r="B67" s="2">
        <v>5.0</v>
      </c>
      <c r="C67" s="2" t="s">
        <v>19</v>
      </c>
      <c r="D67" s="2">
        <v>4.0</v>
      </c>
      <c r="E67" s="2">
        <v>14.0</v>
      </c>
      <c r="F67" s="2">
        <v>59.0</v>
      </c>
      <c r="G67" s="2">
        <v>77.0</v>
      </c>
    </row>
    <row r="68">
      <c r="A68" s="2">
        <v>2013.0</v>
      </c>
      <c r="B68" s="2">
        <v>5.0</v>
      </c>
      <c r="C68" s="2" t="s">
        <v>20</v>
      </c>
      <c r="D68" s="2">
        <v>14.0</v>
      </c>
      <c r="E68" s="2">
        <v>7.0</v>
      </c>
      <c r="F68" s="2">
        <v>15.0</v>
      </c>
      <c r="G68" s="2">
        <v>36.0</v>
      </c>
    </row>
    <row r="69">
      <c r="A69" s="2">
        <v>2013.0</v>
      </c>
      <c r="B69" s="2">
        <v>5.0</v>
      </c>
      <c r="C69" s="2" t="s">
        <v>21</v>
      </c>
      <c r="D69" s="2">
        <v>0.0</v>
      </c>
      <c r="E69" s="2">
        <v>1.0</v>
      </c>
      <c r="F69" s="2">
        <v>1.0</v>
      </c>
      <c r="G69" s="2">
        <v>2.0</v>
      </c>
    </row>
    <row r="70">
      <c r="A70" s="2">
        <v>2013.0</v>
      </c>
      <c r="B70" s="2">
        <v>5.0</v>
      </c>
      <c r="C70" s="2" t="s">
        <v>22</v>
      </c>
      <c r="D70" s="2">
        <v>0.0</v>
      </c>
      <c r="E70" s="2">
        <v>3.0</v>
      </c>
      <c r="F70" s="2">
        <v>12.0</v>
      </c>
      <c r="G70" s="2">
        <v>15.0</v>
      </c>
    </row>
    <row r="71">
      <c r="A71" s="2">
        <v>2013.0</v>
      </c>
      <c r="B71" s="2">
        <v>5.0</v>
      </c>
      <c r="C71" s="2" t="s">
        <v>23</v>
      </c>
      <c r="D71" s="2">
        <v>1.0</v>
      </c>
      <c r="E71" s="2">
        <v>1.0</v>
      </c>
      <c r="F71" s="2">
        <v>2.0</v>
      </c>
      <c r="G71" s="2">
        <v>4.0</v>
      </c>
    </row>
    <row r="72">
      <c r="A72" s="2">
        <v>2013.0</v>
      </c>
      <c r="B72" s="2">
        <v>6.0</v>
      </c>
      <c r="C72" s="2" t="s">
        <v>7</v>
      </c>
      <c r="D72" s="2">
        <v>0.0</v>
      </c>
      <c r="E72" s="2">
        <v>0.0</v>
      </c>
      <c r="F72" s="2">
        <v>3.0</v>
      </c>
      <c r="G72" s="2">
        <v>3.0</v>
      </c>
    </row>
    <row r="73">
      <c r="A73" s="2">
        <v>2013.0</v>
      </c>
      <c r="B73" s="2">
        <v>6.0</v>
      </c>
      <c r="C73" s="2" t="s">
        <v>8</v>
      </c>
      <c r="D73" s="2">
        <v>0.0</v>
      </c>
      <c r="E73" s="2">
        <v>0.0</v>
      </c>
      <c r="F73" s="2">
        <v>0.0</v>
      </c>
      <c r="G73" s="2">
        <v>0.0</v>
      </c>
    </row>
    <row r="74">
      <c r="A74" s="2">
        <v>2013.0</v>
      </c>
      <c r="B74" s="2">
        <v>6.0</v>
      </c>
      <c r="C74" s="2" t="s">
        <v>9</v>
      </c>
      <c r="D74" s="2">
        <v>0.0</v>
      </c>
      <c r="E74" s="2">
        <v>5.0</v>
      </c>
      <c r="F74" s="2">
        <v>11.0</v>
      </c>
      <c r="G74" s="2">
        <v>16.0</v>
      </c>
    </row>
    <row r="75">
      <c r="A75" s="2">
        <v>2013.0</v>
      </c>
      <c r="B75" s="2">
        <v>6.0</v>
      </c>
      <c r="C75" s="2" t="s">
        <v>10</v>
      </c>
      <c r="D75" s="2">
        <v>790.0</v>
      </c>
      <c r="E75" s="2">
        <v>694.0</v>
      </c>
      <c r="F75" s="2">
        <v>2642.0</v>
      </c>
      <c r="G75" s="2">
        <v>4126.0</v>
      </c>
    </row>
    <row r="76">
      <c r="A76" s="2">
        <v>2013.0</v>
      </c>
      <c r="B76" s="2">
        <v>6.0</v>
      </c>
      <c r="C76" s="2" t="s">
        <v>12</v>
      </c>
      <c r="D76" s="2">
        <v>1.0</v>
      </c>
      <c r="E76" s="2">
        <v>5.0</v>
      </c>
      <c r="F76" s="2">
        <v>16.0</v>
      </c>
      <c r="G76" s="2">
        <v>22.0</v>
      </c>
    </row>
    <row r="77">
      <c r="A77" s="2">
        <v>2013.0</v>
      </c>
      <c r="B77" s="2">
        <v>6.0</v>
      </c>
      <c r="C77" s="2" t="s">
        <v>15</v>
      </c>
      <c r="D77" s="2">
        <v>196.0</v>
      </c>
      <c r="E77" s="2">
        <v>192.0</v>
      </c>
      <c r="F77" s="2">
        <v>686.0</v>
      </c>
      <c r="G77" s="2">
        <v>1074.0</v>
      </c>
    </row>
    <row r="78">
      <c r="A78" s="2">
        <v>2013.0</v>
      </c>
      <c r="B78" s="2">
        <v>6.0</v>
      </c>
      <c r="C78" s="2" t="s">
        <v>16</v>
      </c>
      <c r="D78" s="2">
        <v>2.0</v>
      </c>
      <c r="E78" s="2">
        <v>2.0</v>
      </c>
      <c r="F78" s="2">
        <v>4.0</v>
      </c>
      <c r="G78" s="2">
        <v>8.0</v>
      </c>
    </row>
    <row r="79">
      <c r="A79" s="2">
        <v>2013.0</v>
      </c>
      <c r="B79" s="2">
        <v>6.0</v>
      </c>
      <c r="C79" s="2" t="s">
        <v>14</v>
      </c>
      <c r="D79" s="2">
        <v>702.0</v>
      </c>
      <c r="E79" s="2">
        <v>761.0</v>
      </c>
      <c r="F79" s="2">
        <v>2636.0</v>
      </c>
      <c r="G79" s="2">
        <v>4099.0</v>
      </c>
    </row>
    <row r="80">
      <c r="A80" s="2">
        <v>2013.0</v>
      </c>
      <c r="B80" s="2">
        <v>6.0</v>
      </c>
      <c r="C80" s="2" t="s">
        <v>17</v>
      </c>
      <c r="D80" s="2">
        <v>0.0</v>
      </c>
      <c r="E80" s="2">
        <v>2.0</v>
      </c>
      <c r="F80" s="2">
        <v>13.0</v>
      </c>
      <c r="G80" s="2">
        <v>15.0</v>
      </c>
    </row>
    <row r="81">
      <c r="A81" s="2">
        <v>2013.0</v>
      </c>
      <c r="B81" s="2">
        <v>6.0</v>
      </c>
      <c r="C81" s="2" t="s">
        <v>19</v>
      </c>
      <c r="D81" s="2">
        <v>7.0</v>
      </c>
      <c r="E81" s="2">
        <v>10.0</v>
      </c>
      <c r="F81" s="2">
        <v>60.0</v>
      </c>
      <c r="G81" s="2">
        <v>77.0</v>
      </c>
    </row>
    <row r="82">
      <c r="A82" s="2">
        <v>2013.0</v>
      </c>
      <c r="B82" s="2">
        <v>6.0</v>
      </c>
      <c r="C82" s="2" t="s">
        <v>20</v>
      </c>
      <c r="D82" s="2">
        <v>15.0</v>
      </c>
      <c r="E82" s="2">
        <v>6.0</v>
      </c>
      <c r="F82" s="2">
        <v>16.0</v>
      </c>
      <c r="G82" s="2">
        <v>37.0</v>
      </c>
    </row>
    <row r="83">
      <c r="A83" s="2">
        <v>2013.0</v>
      </c>
      <c r="B83" s="2">
        <v>6.0</v>
      </c>
      <c r="C83" s="2" t="s">
        <v>21</v>
      </c>
      <c r="D83" s="2">
        <v>1.0</v>
      </c>
      <c r="E83" s="2">
        <v>1.0</v>
      </c>
      <c r="F83" s="2">
        <v>0.0</v>
      </c>
      <c r="G83" s="2">
        <v>2.0</v>
      </c>
    </row>
    <row r="84">
      <c r="A84" s="2">
        <v>2013.0</v>
      </c>
      <c r="B84" s="2">
        <v>6.0</v>
      </c>
      <c r="C84" s="2" t="s">
        <v>22</v>
      </c>
      <c r="D84" s="2">
        <v>0.0</v>
      </c>
      <c r="E84" s="2">
        <v>3.0</v>
      </c>
      <c r="F84" s="2">
        <v>7.0</v>
      </c>
      <c r="G84" s="2">
        <v>10.0</v>
      </c>
    </row>
    <row r="85">
      <c r="A85" s="2">
        <v>2013.0</v>
      </c>
      <c r="B85" s="2">
        <v>6.0</v>
      </c>
      <c r="C85" s="2" t="s">
        <v>23</v>
      </c>
      <c r="D85" s="2">
        <v>0.0</v>
      </c>
      <c r="E85" s="2">
        <v>0.0</v>
      </c>
      <c r="F85" s="2">
        <v>2.0</v>
      </c>
      <c r="G85" s="2">
        <v>2.0</v>
      </c>
    </row>
    <row r="86">
      <c r="A86" s="2">
        <v>2013.0</v>
      </c>
      <c r="B86" s="2">
        <v>7.0</v>
      </c>
      <c r="C86" s="2" t="s">
        <v>7</v>
      </c>
      <c r="D86" s="2">
        <v>0.0</v>
      </c>
      <c r="E86" s="2">
        <v>0.0</v>
      </c>
      <c r="F86" s="2">
        <v>5.0</v>
      </c>
      <c r="G86" s="2">
        <v>5.0</v>
      </c>
    </row>
    <row r="87">
      <c r="A87" s="2">
        <v>2013.0</v>
      </c>
      <c r="B87" s="2">
        <v>7.0</v>
      </c>
      <c r="C87" s="2" t="s">
        <v>8</v>
      </c>
      <c r="D87" s="2">
        <v>0.0</v>
      </c>
      <c r="E87" s="2">
        <v>0.0</v>
      </c>
      <c r="F87" s="2">
        <v>0.0</v>
      </c>
      <c r="G87" s="2">
        <v>0.0</v>
      </c>
    </row>
    <row r="88">
      <c r="A88" s="2">
        <v>2013.0</v>
      </c>
      <c r="B88" s="2">
        <v>7.0</v>
      </c>
      <c r="C88" s="2" t="s">
        <v>9</v>
      </c>
      <c r="D88" s="2">
        <v>0.0</v>
      </c>
      <c r="E88" s="2">
        <v>4.0</v>
      </c>
      <c r="F88" s="2">
        <v>14.0</v>
      </c>
      <c r="G88" s="2">
        <v>18.0</v>
      </c>
    </row>
    <row r="89">
      <c r="A89" s="2">
        <v>2013.0</v>
      </c>
      <c r="B89" s="2">
        <v>7.0</v>
      </c>
      <c r="C89" s="2" t="s">
        <v>10</v>
      </c>
      <c r="D89" s="2">
        <v>711.0</v>
      </c>
      <c r="E89" s="2">
        <v>643.0</v>
      </c>
      <c r="F89" s="2">
        <v>2519.0</v>
      </c>
      <c r="G89" s="2">
        <v>3873.0</v>
      </c>
    </row>
    <row r="90">
      <c r="A90" s="2">
        <v>2013.0</v>
      </c>
      <c r="B90" s="2">
        <v>7.0</v>
      </c>
      <c r="C90" s="2" t="s">
        <v>12</v>
      </c>
      <c r="D90" s="2">
        <v>0.0</v>
      </c>
      <c r="E90" s="2">
        <v>2.0</v>
      </c>
      <c r="F90" s="2">
        <v>14.0</v>
      </c>
      <c r="G90" s="2">
        <v>16.0</v>
      </c>
    </row>
    <row r="91">
      <c r="A91" s="2">
        <v>2013.0</v>
      </c>
      <c r="B91" s="2">
        <v>7.0</v>
      </c>
      <c r="C91" s="2" t="s">
        <v>15</v>
      </c>
      <c r="D91" s="2">
        <v>185.0</v>
      </c>
      <c r="E91" s="2">
        <v>183.0</v>
      </c>
      <c r="F91" s="2">
        <v>632.0</v>
      </c>
      <c r="G91" s="2">
        <v>1000.0</v>
      </c>
    </row>
    <row r="92">
      <c r="A92" s="2">
        <v>2013.0</v>
      </c>
      <c r="B92" s="2">
        <v>7.0</v>
      </c>
      <c r="C92" s="2" t="s">
        <v>16</v>
      </c>
      <c r="D92" s="2">
        <v>0.0</v>
      </c>
      <c r="E92" s="2">
        <v>2.0</v>
      </c>
      <c r="F92" s="2">
        <v>6.0</v>
      </c>
      <c r="G92" s="2">
        <v>8.0</v>
      </c>
    </row>
    <row r="93">
      <c r="A93" s="2">
        <v>2013.0</v>
      </c>
      <c r="B93" s="2">
        <v>7.0</v>
      </c>
      <c r="C93" s="2" t="s">
        <v>14</v>
      </c>
      <c r="D93" s="2">
        <v>693.0</v>
      </c>
      <c r="E93" s="2">
        <v>714.0</v>
      </c>
      <c r="F93" s="2">
        <v>2503.0</v>
      </c>
      <c r="G93" s="2">
        <v>3910.0</v>
      </c>
    </row>
    <row r="94">
      <c r="A94" s="2">
        <v>2013.0</v>
      </c>
      <c r="B94" s="2">
        <v>7.0</v>
      </c>
      <c r="C94" s="2" t="s">
        <v>17</v>
      </c>
      <c r="D94" s="2">
        <v>0.0</v>
      </c>
      <c r="E94" s="2">
        <v>2.0</v>
      </c>
      <c r="F94" s="2">
        <v>11.0</v>
      </c>
      <c r="G94" s="2">
        <v>13.0</v>
      </c>
    </row>
    <row r="95">
      <c r="A95" s="2">
        <v>2013.0</v>
      </c>
      <c r="B95" s="2">
        <v>7.0</v>
      </c>
      <c r="C95" s="2" t="s">
        <v>19</v>
      </c>
      <c r="D95" s="2">
        <v>6.0</v>
      </c>
      <c r="E95" s="2">
        <v>9.0</v>
      </c>
      <c r="F95" s="2">
        <v>51.0</v>
      </c>
      <c r="G95" s="2">
        <v>66.0</v>
      </c>
    </row>
    <row r="96">
      <c r="A96" s="2">
        <v>2013.0</v>
      </c>
      <c r="B96" s="2">
        <v>7.0</v>
      </c>
      <c r="C96" s="2" t="s">
        <v>20</v>
      </c>
      <c r="D96" s="2">
        <v>9.0</v>
      </c>
      <c r="E96" s="2">
        <v>3.0</v>
      </c>
      <c r="F96" s="2">
        <v>17.0</v>
      </c>
      <c r="G96" s="2">
        <v>29.0</v>
      </c>
    </row>
    <row r="97">
      <c r="A97" s="2">
        <v>2013.0</v>
      </c>
      <c r="B97" s="2">
        <v>7.0</v>
      </c>
      <c r="C97" s="2" t="s">
        <v>21</v>
      </c>
      <c r="D97" s="2">
        <v>0.0</v>
      </c>
      <c r="E97" s="2">
        <v>0.0</v>
      </c>
      <c r="F97" s="2">
        <v>0.0</v>
      </c>
      <c r="G97" s="2">
        <v>0.0</v>
      </c>
    </row>
    <row r="98">
      <c r="A98" s="2">
        <v>2013.0</v>
      </c>
      <c r="B98" s="2">
        <v>7.0</v>
      </c>
      <c r="C98" s="2" t="s">
        <v>22</v>
      </c>
      <c r="D98" s="2">
        <v>2.0</v>
      </c>
      <c r="E98" s="2">
        <v>5.0</v>
      </c>
      <c r="F98" s="2">
        <v>8.0</v>
      </c>
      <c r="G98" s="2">
        <v>15.0</v>
      </c>
    </row>
    <row r="99">
      <c r="A99" s="2">
        <v>2013.0</v>
      </c>
      <c r="B99" s="2">
        <v>7.0</v>
      </c>
      <c r="C99" s="2" t="s">
        <v>23</v>
      </c>
      <c r="D99" s="2">
        <v>1.0</v>
      </c>
      <c r="E99" s="2">
        <v>0.0</v>
      </c>
      <c r="F99" s="2">
        <v>0.0</v>
      </c>
      <c r="G99" s="2">
        <v>1.0</v>
      </c>
    </row>
    <row r="100">
      <c r="A100" s="2">
        <v>2013.0</v>
      </c>
      <c r="B100" s="2">
        <v>8.0</v>
      </c>
      <c r="C100" s="2" t="s">
        <v>7</v>
      </c>
      <c r="D100" s="2">
        <v>1.0</v>
      </c>
      <c r="E100" s="2">
        <v>0.0</v>
      </c>
      <c r="F100" s="2">
        <v>2.0</v>
      </c>
      <c r="G100" s="2">
        <v>3.0</v>
      </c>
    </row>
    <row r="101">
      <c r="A101" s="2">
        <v>2013.0</v>
      </c>
      <c r="B101" s="2">
        <v>8.0</v>
      </c>
      <c r="C101" s="2" t="s">
        <v>8</v>
      </c>
      <c r="D101" s="2">
        <v>0.0</v>
      </c>
      <c r="E101" s="2">
        <v>0.0</v>
      </c>
      <c r="F101" s="2">
        <v>0.0</v>
      </c>
      <c r="G101" s="2">
        <v>0.0</v>
      </c>
    </row>
    <row r="102">
      <c r="A102" s="2">
        <v>2013.0</v>
      </c>
      <c r="B102" s="2">
        <v>8.0</v>
      </c>
      <c r="C102" s="2" t="s">
        <v>9</v>
      </c>
      <c r="D102" s="2">
        <v>0.0</v>
      </c>
      <c r="E102" s="2">
        <v>3.0</v>
      </c>
      <c r="F102" s="2">
        <v>14.0</v>
      </c>
      <c r="G102" s="2">
        <v>17.0</v>
      </c>
    </row>
    <row r="103">
      <c r="A103" s="2">
        <v>2013.0</v>
      </c>
      <c r="B103" s="2">
        <v>8.0</v>
      </c>
      <c r="C103" s="2" t="s">
        <v>10</v>
      </c>
      <c r="D103" s="2">
        <v>802.0</v>
      </c>
      <c r="E103" s="2">
        <v>702.0</v>
      </c>
      <c r="F103" s="2">
        <v>2714.0</v>
      </c>
      <c r="G103" s="2">
        <v>4218.0</v>
      </c>
    </row>
    <row r="104">
      <c r="A104" s="2">
        <v>2013.0</v>
      </c>
      <c r="B104" s="2">
        <v>8.0</v>
      </c>
      <c r="C104" s="2" t="s">
        <v>12</v>
      </c>
      <c r="D104" s="2">
        <v>0.0</v>
      </c>
      <c r="E104" s="2">
        <v>6.0</v>
      </c>
      <c r="F104" s="2">
        <v>21.0</v>
      </c>
      <c r="G104" s="2">
        <v>27.0</v>
      </c>
    </row>
    <row r="105">
      <c r="A105" s="2">
        <v>2013.0</v>
      </c>
      <c r="B105" s="2">
        <v>8.0</v>
      </c>
      <c r="C105" s="2" t="s">
        <v>15</v>
      </c>
      <c r="D105" s="2">
        <v>189.0</v>
      </c>
      <c r="E105" s="2">
        <v>201.0</v>
      </c>
      <c r="F105" s="2">
        <v>741.0</v>
      </c>
      <c r="G105" s="2">
        <v>1131.0</v>
      </c>
    </row>
    <row r="106">
      <c r="A106" s="2">
        <v>2013.0</v>
      </c>
      <c r="B106" s="2">
        <v>8.0</v>
      </c>
      <c r="C106" s="2" t="s">
        <v>16</v>
      </c>
      <c r="D106" s="2">
        <v>0.0</v>
      </c>
      <c r="E106" s="2">
        <v>1.0</v>
      </c>
      <c r="F106" s="2">
        <v>7.0</v>
      </c>
      <c r="G106" s="2">
        <v>8.0</v>
      </c>
    </row>
    <row r="107">
      <c r="A107" s="2">
        <v>2013.0</v>
      </c>
      <c r="B107" s="2">
        <v>8.0</v>
      </c>
      <c r="C107" s="2" t="s">
        <v>14</v>
      </c>
      <c r="D107" s="2">
        <v>744.0</v>
      </c>
      <c r="E107" s="2">
        <v>780.0</v>
      </c>
      <c r="F107" s="2">
        <v>2702.0</v>
      </c>
      <c r="G107" s="2">
        <v>4226.0</v>
      </c>
    </row>
    <row r="108">
      <c r="A108" s="2">
        <v>2013.0</v>
      </c>
      <c r="B108" s="2">
        <v>8.0</v>
      </c>
      <c r="C108" s="2" t="s">
        <v>17</v>
      </c>
      <c r="D108" s="2">
        <v>1.0</v>
      </c>
      <c r="E108" s="2">
        <v>3.0</v>
      </c>
      <c r="F108" s="2">
        <v>12.0</v>
      </c>
      <c r="G108" s="2">
        <v>16.0</v>
      </c>
    </row>
    <row r="109">
      <c r="A109" s="2">
        <v>2013.0</v>
      </c>
      <c r="B109" s="2">
        <v>8.0</v>
      </c>
      <c r="C109" s="2" t="s">
        <v>19</v>
      </c>
      <c r="D109" s="2">
        <v>10.0</v>
      </c>
      <c r="E109" s="2">
        <v>11.0</v>
      </c>
      <c r="F109" s="2">
        <v>55.0</v>
      </c>
      <c r="G109" s="2">
        <v>76.0</v>
      </c>
    </row>
    <row r="110">
      <c r="A110" s="2">
        <v>2013.0</v>
      </c>
      <c r="B110" s="2">
        <v>8.0</v>
      </c>
      <c r="C110" s="2" t="s">
        <v>20</v>
      </c>
      <c r="D110" s="2">
        <v>8.0</v>
      </c>
      <c r="E110" s="2">
        <v>4.0</v>
      </c>
      <c r="F110" s="2">
        <v>23.0</v>
      </c>
      <c r="G110" s="2">
        <v>35.0</v>
      </c>
    </row>
    <row r="111">
      <c r="A111" s="2">
        <v>2013.0</v>
      </c>
      <c r="B111" s="2">
        <v>8.0</v>
      </c>
      <c r="C111" s="2" t="s">
        <v>21</v>
      </c>
      <c r="D111" s="2">
        <v>0.0</v>
      </c>
      <c r="E111" s="2">
        <v>0.0</v>
      </c>
      <c r="F111" s="2">
        <v>1.0</v>
      </c>
      <c r="G111" s="2">
        <v>1.0</v>
      </c>
    </row>
    <row r="112">
      <c r="A112" s="2">
        <v>2013.0</v>
      </c>
      <c r="B112" s="2">
        <v>8.0</v>
      </c>
      <c r="C112" s="2" t="s">
        <v>22</v>
      </c>
      <c r="D112" s="2">
        <v>0.0</v>
      </c>
      <c r="E112" s="2">
        <v>7.0</v>
      </c>
      <c r="F112" s="2">
        <v>10.0</v>
      </c>
      <c r="G112" s="2">
        <v>17.0</v>
      </c>
    </row>
    <row r="113">
      <c r="A113" s="2">
        <v>2013.0</v>
      </c>
      <c r="B113" s="2">
        <v>8.0</v>
      </c>
      <c r="C113" s="2" t="s">
        <v>23</v>
      </c>
      <c r="D113" s="2">
        <v>0.0</v>
      </c>
      <c r="E113" s="2">
        <v>1.0</v>
      </c>
      <c r="F113" s="2">
        <v>1.0</v>
      </c>
      <c r="G113" s="2">
        <v>2.0</v>
      </c>
    </row>
    <row r="114">
      <c r="A114" s="2">
        <v>2013.0</v>
      </c>
      <c r="B114" s="2">
        <v>9.0</v>
      </c>
      <c r="C114" s="2" t="s">
        <v>7</v>
      </c>
      <c r="D114" s="2">
        <v>0.0</v>
      </c>
      <c r="E114" s="2">
        <v>0.0</v>
      </c>
      <c r="F114" s="2">
        <v>6.0</v>
      </c>
      <c r="G114" s="2">
        <v>6.0</v>
      </c>
    </row>
    <row r="115">
      <c r="A115" s="2">
        <v>2013.0</v>
      </c>
      <c r="B115" s="2">
        <v>9.0</v>
      </c>
      <c r="C115" s="2" t="s">
        <v>8</v>
      </c>
      <c r="D115" s="2">
        <v>0.0</v>
      </c>
      <c r="E115" s="2">
        <v>0.0</v>
      </c>
      <c r="F115" s="2">
        <v>0.0</v>
      </c>
      <c r="G115" s="2">
        <v>0.0</v>
      </c>
    </row>
    <row r="116">
      <c r="A116" s="2">
        <v>2013.0</v>
      </c>
      <c r="B116" s="2">
        <v>9.0</v>
      </c>
      <c r="C116" s="2" t="s">
        <v>9</v>
      </c>
      <c r="D116" s="2">
        <v>0.0</v>
      </c>
      <c r="E116" s="2">
        <v>5.0</v>
      </c>
      <c r="F116" s="2">
        <v>11.0</v>
      </c>
      <c r="G116" s="2">
        <v>16.0</v>
      </c>
    </row>
    <row r="117">
      <c r="A117" s="2">
        <v>2013.0</v>
      </c>
      <c r="B117" s="2">
        <v>9.0</v>
      </c>
      <c r="C117" s="2" t="s">
        <v>10</v>
      </c>
      <c r="D117" s="2">
        <v>891.0</v>
      </c>
      <c r="E117" s="2">
        <v>794.0</v>
      </c>
      <c r="F117" s="2">
        <v>3152.0</v>
      </c>
      <c r="G117" s="2">
        <v>4837.0</v>
      </c>
    </row>
    <row r="118">
      <c r="A118" s="2">
        <v>2013.0</v>
      </c>
      <c r="B118" s="2">
        <v>9.0</v>
      </c>
      <c r="C118" s="2" t="s">
        <v>12</v>
      </c>
      <c r="D118" s="2">
        <v>1.0</v>
      </c>
      <c r="E118" s="2">
        <v>5.0</v>
      </c>
      <c r="F118" s="2">
        <v>14.0</v>
      </c>
      <c r="G118" s="2">
        <v>20.0</v>
      </c>
    </row>
    <row r="119">
      <c r="A119" s="2">
        <v>2013.0</v>
      </c>
      <c r="B119" s="2">
        <v>9.0</v>
      </c>
      <c r="C119" s="2" t="s">
        <v>15</v>
      </c>
      <c r="D119" s="2">
        <v>174.0</v>
      </c>
      <c r="E119" s="2">
        <v>199.0</v>
      </c>
      <c r="F119" s="2">
        <v>751.0</v>
      </c>
      <c r="G119" s="2">
        <v>1124.0</v>
      </c>
    </row>
    <row r="120">
      <c r="A120" s="2">
        <v>2013.0</v>
      </c>
      <c r="B120" s="2">
        <v>9.0</v>
      </c>
      <c r="C120" s="2" t="s">
        <v>16</v>
      </c>
      <c r="D120" s="2">
        <v>1.0</v>
      </c>
      <c r="E120" s="2">
        <v>1.0</v>
      </c>
      <c r="F120" s="2">
        <v>5.0</v>
      </c>
      <c r="G120" s="2">
        <v>7.0</v>
      </c>
    </row>
    <row r="121">
      <c r="A121" s="2">
        <v>2013.0</v>
      </c>
      <c r="B121" s="2">
        <v>9.0</v>
      </c>
      <c r="C121" s="2" t="s">
        <v>14</v>
      </c>
      <c r="D121" s="2">
        <v>811.0</v>
      </c>
      <c r="E121" s="2">
        <v>863.0</v>
      </c>
      <c r="F121" s="2">
        <v>3099.0</v>
      </c>
      <c r="G121" s="2">
        <v>4773.0</v>
      </c>
    </row>
    <row r="122">
      <c r="A122" s="2">
        <v>2013.0</v>
      </c>
      <c r="B122" s="2">
        <v>9.0</v>
      </c>
      <c r="C122" s="2" t="s">
        <v>17</v>
      </c>
      <c r="D122" s="2">
        <v>0.0</v>
      </c>
      <c r="E122" s="2">
        <v>1.0</v>
      </c>
      <c r="F122" s="2">
        <v>16.0</v>
      </c>
      <c r="G122" s="2">
        <v>17.0</v>
      </c>
    </row>
    <row r="123">
      <c r="A123" s="2">
        <v>2013.0</v>
      </c>
      <c r="B123" s="2">
        <v>9.0</v>
      </c>
      <c r="C123" s="2" t="s">
        <v>19</v>
      </c>
      <c r="D123" s="2">
        <v>8.0</v>
      </c>
      <c r="E123" s="2">
        <v>13.0</v>
      </c>
      <c r="F123" s="2">
        <v>54.0</v>
      </c>
      <c r="G123" s="2">
        <v>75.0</v>
      </c>
    </row>
    <row r="124">
      <c r="A124" s="2">
        <v>2013.0</v>
      </c>
      <c r="B124" s="2">
        <v>9.0</v>
      </c>
      <c r="C124" s="2" t="s">
        <v>20</v>
      </c>
      <c r="D124" s="2">
        <v>10.0</v>
      </c>
      <c r="E124" s="2">
        <v>4.0</v>
      </c>
      <c r="F124" s="2">
        <v>21.0</v>
      </c>
      <c r="G124" s="2">
        <v>35.0</v>
      </c>
    </row>
    <row r="125">
      <c r="A125" s="2">
        <v>2013.0</v>
      </c>
      <c r="B125" s="2">
        <v>9.0</v>
      </c>
      <c r="C125" s="2" t="s">
        <v>21</v>
      </c>
      <c r="D125" s="2">
        <v>1.0</v>
      </c>
      <c r="E125" s="2">
        <v>0.0</v>
      </c>
      <c r="F125" s="2">
        <v>1.0</v>
      </c>
      <c r="G125" s="2">
        <v>2.0</v>
      </c>
    </row>
    <row r="126">
      <c r="A126" s="2">
        <v>2013.0</v>
      </c>
      <c r="B126" s="2">
        <v>9.0</v>
      </c>
      <c r="C126" s="2" t="s">
        <v>22</v>
      </c>
      <c r="D126" s="2">
        <v>1.0</v>
      </c>
      <c r="E126" s="2">
        <v>5.0</v>
      </c>
      <c r="F126" s="2">
        <v>14.0</v>
      </c>
      <c r="G126" s="2">
        <v>20.0</v>
      </c>
    </row>
    <row r="127">
      <c r="A127" s="2">
        <v>2013.0</v>
      </c>
      <c r="B127" s="2">
        <v>9.0</v>
      </c>
      <c r="C127" s="2" t="s">
        <v>23</v>
      </c>
      <c r="D127" s="2">
        <v>0.0</v>
      </c>
      <c r="E127" s="2">
        <v>0.0</v>
      </c>
      <c r="F127" s="2">
        <v>3.0</v>
      </c>
      <c r="G127" s="2">
        <v>3.0</v>
      </c>
    </row>
    <row r="128">
      <c r="A128" s="2">
        <v>2013.0</v>
      </c>
      <c r="B128" s="2">
        <v>11.0</v>
      </c>
      <c r="C128" s="2" t="s">
        <v>7</v>
      </c>
      <c r="D128" s="2">
        <v>1.0</v>
      </c>
      <c r="E128" s="2">
        <v>0.0</v>
      </c>
      <c r="F128" s="2">
        <v>5.0</v>
      </c>
      <c r="G128" s="2">
        <v>6.0</v>
      </c>
    </row>
    <row r="129">
      <c r="A129" s="2">
        <v>2013.0</v>
      </c>
      <c r="B129" s="2">
        <v>11.0</v>
      </c>
      <c r="C129" s="2" t="s">
        <v>8</v>
      </c>
      <c r="D129" s="2">
        <v>0.0</v>
      </c>
      <c r="E129" s="2">
        <v>0.0</v>
      </c>
      <c r="F129" s="2">
        <v>0.0</v>
      </c>
      <c r="G129" s="2">
        <v>0.0</v>
      </c>
    </row>
    <row r="130">
      <c r="A130" s="2">
        <v>2013.0</v>
      </c>
      <c r="B130" s="2">
        <v>11.0</v>
      </c>
      <c r="C130" s="2" t="s">
        <v>9</v>
      </c>
      <c r="D130" s="2">
        <v>4.0</v>
      </c>
      <c r="E130" s="2">
        <v>3.0</v>
      </c>
      <c r="F130" s="2">
        <v>12.0</v>
      </c>
      <c r="G130" s="2">
        <v>19.0</v>
      </c>
    </row>
    <row r="131">
      <c r="A131" s="2">
        <v>2013.0</v>
      </c>
      <c r="B131" s="2">
        <v>11.0</v>
      </c>
      <c r="C131" s="2" t="s">
        <v>10</v>
      </c>
      <c r="D131" s="2">
        <v>1027.0</v>
      </c>
      <c r="E131" s="2">
        <v>793.0</v>
      </c>
      <c r="F131" s="2">
        <v>2967.0</v>
      </c>
      <c r="G131" s="2">
        <v>4787.0</v>
      </c>
    </row>
    <row r="132">
      <c r="A132" s="2">
        <v>2013.0</v>
      </c>
      <c r="B132" s="2">
        <v>11.0</v>
      </c>
      <c r="C132" s="2" t="s">
        <v>12</v>
      </c>
      <c r="D132" s="2">
        <v>1.0</v>
      </c>
      <c r="E132" s="2">
        <v>13.0</v>
      </c>
      <c r="F132" s="2">
        <v>30.0</v>
      </c>
      <c r="G132" s="2">
        <v>44.0</v>
      </c>
    </row>
    <row r="133">
      <c r="A133" s="2">
        <v>2013.0</v>
      </c>
      <c r="B133" s="2">
        <v>11.0</v>
      </c>
      <c r="C133" s="2" t="s">
        <v>15</v>
      </c>
      <c r="D133" s="2">
        <v>240.0</v>
      </c>
      <c r="E133" s="2">
        <v>210.0</v>
      </c>
      <c r="F133" s="2">
        <v>627.0</v>
      </c>
      <c r="G133" s="2">
        <v>1077.0</v>
      </c>
    </row>
    <row r="134">
      <c r="A134" s="2">
        <v>2013.0</v>
      </c>
      <c r="B134" s="2">
        <v>11.0</v>
      </c>
      <c r="C134" s="2" t="s">
        <v>16</v>
      </c>
      <c r="D134" s="2">
        <v>0.0</v>
      </c>
      <c r="E134" s="2">
        <v>2.0</v>
      </c>
      <c r="F134" s="2">
        <v>6.0</v>
      </c>
      <c r="G134" s="2">
        <v>8.0</v>
      </c>
    </row>
    <row r="135">
      <c r="A135" s="2">
        <v>2013.0</v>
      </c>
      <c r="B135" s="2">
        <v>11.0</v>
      </c>
      <c r="C135" s="2" t="s">
        <v>14</v>
      </c>
      <c r="D135" s="2">
        <v>761.0</v>
      </c>
      <c r="E135" s="2">
        <v>848.0</v>
      </c>
      <c r="F135" s="2">
        <v>3444.0</v>
      </c>
      <c r="G135" s="2">
        <v>5053.0</v>
      </c>
    </row>
    <row r="136">
      <c r="A136" s="2">
        <v>2013.0</v>
      </c>
      <c r="B136" s="2">
        <v>11.0</v>
      </c>
      <c r="C136" s="2" t="s">
        <v>17</v>
      </c>
      <c r="D136" s="2">
        <v>0.0</v>
      </c>
      <c r="E136" s="2">
        <v>3.0</v>
      </c>
      <c r="F136" s="2">
        <v>26.0</v>
      </c>
      <c r="G136" s="2">
        <v>29.0</v>
      </c>
    </row>
    <row r="137">
      <c r="A137" s="2">
        <v>2013.0</v>
      </c>
      <c r="B137" s="2">
        <v>11.0</v>
      </c>
      <c r="C137" s="2" t="s">
        <v>19</v>
      </c>
      <c r="D137" s="2">
        <v>6.0</v>
      </c>
      <c r="E137" s="2">
        <v>15.0</v>
      </c>
      <c r="F137" s="2">
        <v>54.0</v>
      </c>
      <c r="G137" s="2">
        <v>75.0</v>
      </c>
    </row>
    <row r="138">
      <c r="A138" s="2">
        <v>2013.0</v>
      </c>
      <c r="B138" s="2">
        <v>11.0</v>
      </c>
      <c r="C138" s="2" t="s">
        <v>20</v>
      </c>
      <c r="D138" s="2">
        <v>7.0</v>
      </c>
      <c r="E138" s="2">
        <v>7.0</v>
      </c>
      <c r="F138" s="2">
        <v>36.0</v>
      </c>
      <c r="G138" s="2">
        <v>50.0</v>
      </c>
    </row>
    <row r="139">
      <c r="A139" s="2">
        <v>2013.0</v>
      </c>
      <c r="B139" s="2">
        <v>11.0</v>
      </c>
      <c r="C139" s="2" t="s">
        <v>21</v>
      </c>
      <c r="D139" s="2">
        <v>0.0</v>
      </c>
      <c r="E139" s="2">
        <v>1.0</v>
      </c>
      <c r="F139" s="2">
        <v>4.0</v>
      </c>
      <c r="G139" s="2">
        <v>5.0</v>
      </c>
    </row>
    <row r="140">
      <c r="A140" s="2">
        <v>2013.0</v>
      </c>
      <c r="B140" s="2">
        <v>11.0</v>
      </c>
      <c r="C140" s="2" t="s">
        <v>22</v>
      </c>
      <c r="D140" s="2">
        <v>7.0</v>
      </c>
      <c r="E140" s="2">
        <v>2.0</v>
      </c>
      <c r="F140" s="2">
        <v>22.0</v>
      </c>
      <c r="G140" s="2">
        <v>31.0</v>
      </c>
    </row>
    <row r="141">
      <c r="A141" s="2">
        <v>2013.0</v>
      </c>
      <c r="B141" s="2">
        <v>11.0</v>
      </c>
      <c r="C141" s="2" t="s">
        <v>23</v>
      </c>
      <c r="D141" s="2">
        <v>0.0</v>
      </c>
      <c r="E141" s="2">
        <v>0.0</v>
      </c>
      <c r="F141" s="2">
        <v>2.0</v>
      </c>
      <c r="G141" s="2">
        <v>2.0</v>
      </c>
    </row>
    <row r="142">
      <c r="A142" s="2">
        <v>2013.0</v>
      </c>
      <c r="B142" s="2">
        <v>12.0</v>
      </c>
      <c r="C142" s="2" t="s">
        <v>7</v>
      </c>
      <c r="D142" s="2">
        <v>2.0</v>
      </c>
      <c r="E142" s="2">
        <v>1.0</v>
      </c>
      <c r="F142" s="2">
        <v>6.0</v>
      </c>
      <c r="G142" s="2">
        <v>9.0</v>
      </c>
    </row>
    <row r="143">
      <c r="A143" s="2">
        <v>2013.0</v>
      </c>
      <c r="B143" s="2">
        <v>12.0</v>
      </c>
      <c r="C143" s="2" t="s">
        <v>8</v>
      </c>
      <c r="D143" s="2">
        <v>0.0</v>
      </c>
      <c r="E143" s="2">
        <v>0.0</v>
      </c>
      <c r="F143" s="2">
        <v>0.0</v>
      </c>
      <c r="G143" s="2">
        <v>0.0</v>
      </c>
    </row>
    <row r="144">
      <c r="A144" s="2">
        <v>2013.0</v>
      </c>
      <c r="B144" s="2">
        <v>12.0</v>
      </c>
      <c r="C144" s="2" t="s">
        <v>9</v>
      </c>
      <c r="D144" s="2">
        <v>0.0</v>
      </c>
      <c r="E144" s="2">
        <v>6.0</v>
      </c>
      <c r="F144" s="2">
        <v>13.0</v>
      </c>
      <c r="G144" s="2">
        <v>19.0</v>
      </c>
    </row>
    <row r="145">
      <c r="A145" s="2">
        <v>2013.0</v>
      </c>
      <c r="B145" s="2">
        <v>12.0</v>
      </c>
      <c r="C145" s="2" t="s">
        <v>10</v>
      </c>
      <c r="D145" s="2">
        <v>963.0</v>
      </c>
      <c r="E145" s="2">
        <v>831.0</v>
      </c>
      <c r="F145" s="2">
        <v>3266.0</v>
      </c>
      <c r="G145" s="2">
        <v>5060.0</v>
      </c>
    </row>
    <row r="146">
      <c r="A146" s="2">
        <v>2013.0</v>
      </c>
      <c r="B146" s="2">
        <v>12.0</v>
      </c>
      <c r="C146" s="2" t="s">
        <v>12</v>
      </c>
      <c r="D146" s="2">
        <v>0.0</v>
      </c>
      <c r="E146" s="2">
        <v>4.0</v>
      </c>
      <c r="F146" s="2">
        <v>30.0</v>
      </c>
      <c r="G146" s="2">
        <v>34.0</v>
      </c>
    </row>
    <row r="147">
      <c r="A147" s="2">
        <v>2013.0</v>
      </c>
      <c r="B147" s="2">
        <v>12.0</v>
      </c>
      <c r="C147" s="2" t="s">
        <v>15</v>
      </c>
      <c r="D147" s="2">
        <v>161.0</v>
      </c>
      <c r="E147" s="2">
        <v>166.0</v>
      </c>
      <c r="F147" s="2">
        <v>739.0</v>
      </c>
      <c r="G147" s="2">
        <v>1066.0</v>
      </c>
    </row>
    <row r="148">
      <c r="A148" s="2">
        <v>2013.0</v>
      </c>
      <c r="B148" s="2">
        <v>12.0</v>
      </c>
      <c r="C148" s="2" t="s">
        <v>16</v>
      </c>
      <c r="D148" s="2">
        <v>0.0</v>
      </c>
      <c r="E148" s="2">
        <v>0.0</v>
      </c>
      <c r="F148" s="2">
        <v>4.0</v>
      </c>
      <c r="G148" s="2">
        <v>4.0</v>
      </c>
    </row>
    <row r="149">
      <c r="A149" s="2">
        <v>2013.0</v>
      </c>
      <c r="B149" s="2">
        <v>12.0</v>
      </c>
      <c r="C149" s="2" t="s">
        <v>14</v>
      </c>
      <c r="D149" s="2">
        <v>702.0</v>
      </c>
      <c r="E149" s="2">
        <v>775.0</v>
      </c>
      <c r="F149" s="2">
        <v>3287.0</v>
      </c>
      <c r="G149" s="2">
        <v>4764.0</v>
      </c>
    </row>
    <row r="150">
      <c r="A150" s="2">
        <v>2013.0</v>
      </c>
      <c r="B150" s="2">
        <v>12.0</v>
      </c>
      <c r="C150" s="2" t="s">
        <v>17</v>
      </c>
      <c r="D150" s="2">
        <v>29.0</v>
      </c>
      <c r="E150" s="2">
        <v>0.0</v>
      </c>
      <c r="F150" s="2">
        <v>17.0</v>
      </c>
      <c r="G150" s="2">
        <v>46.0</v>
      </c>
    </row>
    <row r="151">
      <c r="A151" s="2">
        <v>2013.0</v>
      </c>
      <c r="B151" s="2">
        <v>12.0</v>
      </c>
      <c r="C151" s="2" t="s">
        <v>19</v>
      </c>
      <c r="D151" s="2">
        <v>0.0</v>
      </c>
      <c r="E151" s="2">
        <v>11.0</v>
      </c>
      <c r="F151" s="2">
        <v>70.0</v>
      </c>
      <c r="G151" s="2">
        <v>81.0</v>
      </c>
    </row>
    <row r="152">
      <c r="A152" s="2">
        <v>2013.0</v>
      </c>
      <c r="B152" s="2">
        <v>12.0</v>
      </c>
      <c r="C152" s="2" t="s">
        <v>20</v>
      </c>
      <c r="D152" s="2">
        <v>10.0</v>
      </c>
      <c r="E152" s="2">
        <v>2.0</v>
      </c>
      <c r="F152" s="2">
        <v>15.0</v>
      </c>
      <c r="G152" s="2">
        <v>27.0</v>
      </c>
    </row>
    <row r="153">
      <c r="A153" s="2">
        <v>2013.0</v>
      </c>
      <c r="B153" s="2">
        <v>12.0</v>
      </c>
      <c r="C153" s="2" t="s">
        <v>21</v>
      </c>
      <c r="D153" s="2">
        <v>0.0</v>
      </c>
      <c r="E153" s="2">
        <v>2.0</v>
      </c>
      <c r="F153" s="2">
        <v>1.0</v>
      </c>
      <c r="G153" s="2">
        <v>3.0</v>
      </c>
    </row>
    <row r="154">
      <c r="A154" s="2">
        <v>2013.0</v>
      </c>
      <c r="B154" s="2">
        <v>12.0</v>
      </c>
      <c r="C154" s="2" t="s">
        <v>22</v>
      </c>
      <c r="D154" s="2">
        <v>2.0</v>
      </c>
      <c r="E154" s="2">
        <v>4.0</v>
      </c>
      <c r="F154" s="2">
        <v>14.0</v>
      </c>
      <c r="G154" s="2">
        <v>20.0</v>
      </c>
    </row>
    <row r="155">
      <c r="A155" s="2">
        <v>2013.0</v>
      </c>
      <c r="B155" s="2">
        <v>12.0</v>
      </c>
      <c r="C155" s="2" t="s">
        <v>23</v>
      </c>
      <c r="D155" s="2">
        <v>0.0</v>
      </c>
      <c r="E155" s="2">
        <v>0.0</v>
      </c>
      <c r="F155" s="2">
        <v>1.0</v>
      </c>
      <c r="G155" s="2">
        <v>1.0</v>
      </c>
    </row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</row>
    <row r="2">
      <c r="A2" s="3">
        <v>2014.0</v>
      </c>
      <c r="B2" s="3" t="s">
        <v>13</v>
      </c>
      <c r="C2" s="3" t="s">
        <v>14</v>
      </c>
      <c r="D2" s="3">
        <v>894.0</v>
      </c>
      <c r="E2" s="3">
        <v>802.0</v>
      </c>
      <c r="F2" s="3">
        <v>3107.0</v>
      </c>
      <c r="G2" s="3">
        <v>4803.0</v>
      </c>
    </row>
    <row r="3">
      <c r="A3" s="3">
        <v>2014.0</v>
      </c>
      <c r="B3" s="3" t="s">
        <v>13</v>
      </c>
      <c r="C3" s="3" t="s">
        <v>15</v>
      </c>
      <c r="D3" s="3">
        <v>202.0</v>
      </c>
      <c r="E3" s="3">
        <v>162.0</v>
      </c>
      <c r="F3" s="3">
        <v>741.0</v>
      </c>
      <c r="G3" s="3">
        <v>1105.0</v>
      </c>
    </row>
    <row r="4">
      <c r="A4" s="3">
        <v>2014.0</v>
      </c>
      <c r="B4" s="3" t="s">
        <v>13</v>
      </c>
      <c r="C4" s="3" t="s">
        <v>16</v>
      </c>
      <c r="D4" s="3">
        <v>0.0</v>
      </c>
      <c r="E4" s="3">
        <v>3.0</v>
      </c>
      <c r="F4" s="3">
        <v>7.0</v>
      </c>
      <c r="G4" s="3">
        <v>10.0</v>
      </c>
    </row>
    <row r="5">
      <c r="A5" s="3">
        <v>2014.0</v>
      </c>
      <c r="B5" s="3" t="s">
        <v>13</v>
      </c>
      <c r="C5" s="3" t="s">
        <v>19</v>
      </c>
      <c r="D5" s="3">
        <v>12.0</v>
      </c>
      <c r="E5" s="3">
        <v>10.0</v>
      </c>
      <c r="F5" s="3">
        <v>61.0</v>
      </c>
      <c r="G5" s="3">
        <v>83.0</v>
      </c>
    </row>
    <row r="6">
      <c r="A6" s="3">
        <v>2014.0</v>
      </c>
      <c r="B6" s="3" t="s">
        <v>13</v>
      </c>
      <c r="C6" s="3" t="s">
        <v>20</v>
      </c>
      <c r="D6" s="3">
        <v>9.0</v>
      </c>
      <c r="E6" s="3">
        <v>11.0</v>
      </c>
      <c r="F6" s="3">
        <v>22.0</v>
      </c>
      <c r="G6" s="3">
        <v>42.0</v>
      </c>
    </row>
    <row r="7">
      <c r="A7" s="3">
        <v>2014.0</v>
      </c>
      <c r="B7" s="3" t="s">
        <v>13</v>
      </c>
      <c r="C7" s="3" t="s">
        <v>22</v>
      </c>
      <c r="D7" s="3">
        <v>5.0</v>
      </c>
      <c r="E7" s="3">
        <v>7.0</v>
      </c>
      <c r="F7" s="3">
        <v>24.0</v>
      </c>
      <c r="G7" s="3">
        <v>36.0</v>
      </c>
    </row>
    <row r="8">
      <c r="A8" s="3">
        <v>2014.0</v>
      </c>
      <c r="B8" s="3" t="s">
        <v>13</v>
      </c>
      <c r="C8" s="3" t="s">
        <v>21</v>
      </c>
      <c r="D8" s="3">
        <v>0.0</v>
      </c>
      <c r="E8" s="3">
        <v>0.0</v>
      </c>
      <c r="F8" s="3">
        <v>2.0</v>
      </c>
      <c r="G8" s="3">
        <v>2.0</v>
      </c>
    </row>
    <row r="9">
      <c r="A9" s="3">
        <v>2014.0</v>
      </c>
      <c r="B9" s="3" t="s">
        <v>13</v>
      </c>
      <c r="C9" s="3" t="s">
        <v>8</v>
      </c>
      <c r="D9" s="3">
        <v>0.0</v>
      </c>
      <c r="E9" s="3">
        <v>0.0</v>
      </c>
      <c r="F9" s="3">
        <v>0.0</v>
      </c>
      <c r="G9" s="3">
        <v>0.0</v>
      </c>
    </row>
    <row r="10">
      <c r="A10" s="3">
        <v>2014.0</v>
      </c>
      <c r="B10" s="3" t="s">
        <v>13</v>
      </c>
      <c r="C10" s="3" t="s">
        <v>7</v>
      </c>
      <c r="D10" s="3">
        <v>1.0</v>
      </c>
      <c r="E10" s="3">
        <v>1.0</v>
      </c>
      <c r="F10" s="3">
        <v>4.0</v>
      </c>
      <c r="G10" s="3">
        <v>6.0</v>
      </c>
    </row>
    <row r="11">
      <c r="A11" s="3">
        <v>2014.0</v>
      </c>
      <c r="B11" s="3" t="s">
        <v>13</v>
      </c>
      <c r="C11" s="3" t="s">
        <v>17</v>
      </c>
      <c r="D11" s="3">
        <v>2.0</v>
      </c>
      <c r="E11" s="3">
        <v>3.0</v>
      </c>
      <c r="F11" s="3">
        <v>19.0</v>
      </c>
      <c r="G11" s="3">
        <v>24.0</v>
      </c>
    </row>
    <row r="12">
      <c r="A12" s="3">
        <v>2014.0</v>
      </c>
      <c r="B12" s="3" t="s">
        <v>13</v>
      </c>
      <c r="C12" s="3" t="s">
        <v>10</v>
      </c>
      <c r="D12" s="3">
        <v>1043.0</v>
      </c>
      <c r="E12" s="3">
        <v>831.0</v>
      </c>
      <c r="F12" s="3">
        <v>3225.0</v>
      </c>
      <c r="G12" s="3">
        <v>5099.0</v>
      </c>
    </row>
    <row r="13">
      <c r="A13" s="3">
        <v>2014.0</v>
      </c>
      <c r="B13" s="3" t="s">
        <v>13</v>
      </c>
      <c r="C13" s="3" t="s">
        <v>12</v>
      </c>
      <c r="D13" s="3">
        <v>3.0</v>
      </c>
      <c r="E13" s="3">
        <v>3.0</v>
      </c>
      <c r="F13" s="3">
        <v>16.0</v>
      </c>
      <c r="G13" s="3">
        <v>22.0</v>
      </c>
    </row>
    <row r="14">
      <c r="A14" s="3">
        <v>2014.0</v>
      </c>
      <c r="B14" s="3" t="s">
        <v>13</v>
      </c>
      <c r="C14" s="3" t="s">
        <v>23</v>
      </c>
      <c r="D14" s="3">
        <v>0.0</v>
      </c>
      <c r="E14" s="3">
        <v>3.0</v>
      </c>
      <c r="F14" s="3">
        <v>1.0</v>
      </c>
      <c r="G14" s="3">
        <v>4.0</v>
      </c>
    </row>
    <row r="15">
      <c r="A15" s="3">
        <v>2014.0</v>
      </c>
      <c r="B15" s="3" t="s">
        <v>13</v>
      </c>
      <c r="C15" s="3" t="s">
        <v>9</v>
      </c>
      <c r="D15" s="3">
        <v>4.0</v>
      </c>
      <c r="E15" s="3">
        <v>4.0</v>
      </c>
      <c r="F15" s="3">
        <v>9.0</v>
      </c>
      <c r="G15" s="3">
        <v>17.0</v>
      </c>
    </row>
    <row r="16">
      <c r="A16" s="3">
        <v>2014.0</v>
      </c>
      <c r="B16" s="3" t="s">
        <v>24</v>
      </c>
      <c r="C16" s="3" t="s">
        <v>14</v>
      </c>
      <c r="D16" s="3">
        <v>966.0</v>
      </c>
      <c r="E16" s="3">
        <v>874.0</v>
      </c>
      <c r="F16" s="3">
        <v>3588.0</v>
      </c>
      <c r="G16" s="3">
        <v>5428.0</v>
      </c>
    </row>
    <row r="17">
      <c r="A17" s="3">
        <v>2014.0</v>
      </c>
      <c r="B17" s="3" t="s">
        <v>24</v>
      </c>
      <c r="C17" s="3" t="s">
        <v>15</v>
      </c>
      <c r="D17" s="3">
        <v>187.0</v>
      </c>
      <c r="E17" s="3">
        <v>159.0</v>
      </c>
      <c r="F17" s="3">
        <v>750.0</v>
      </c>
      <c r="G17" s="3">
        <v>1096.0</v>
      </c>
    </row>
    <row r="18">
      <c r="A18" s="3">
        <v>2014.0</v>
      </c>
      <c r="B18" s="3" t="s">
        <v>24</v>
      </c>
      <c r="C18" s="3" t="s">
        <v>16</v>
      </c>
      <c r="D18" s="3">
        <v>2.0</v>
      </c>
      <c r="E18" s="3">
        <v>1.0</v>
      </c>
      <c r="F18" s="3">
        <v>9.0</v>
      </c>
      <c r="G18" s="3">
        <v>12.0</v>
      </c>
    </row>
    <row r="19">
      <c r="A19" s="3">
        <v>2014.0</v>
      </c>
      <c r="B19" s="3" t="s">
        <v>24</v>
      </c>
      <c r="C19" s="3" t="s">
        <v>19</v>
      </c>
      <c r="D19" s="3">
        <v>12.0</v>
      </c>
      <c r="E19" s="3">
        <v>2.0</v>
      </c>
      <c r="F19" s="3">
        <v>53.0</v>
      </c>
      <c r="G19" s="3">
        <v>67.0</v>
      </c>
    </row>
    <row r="20">
      <c r="A20" s="3">
        <v>2014.0</v>
      </c>
      <c r="B20" s="3" t="s">
        <v>24</v>
      </c>
      <c r="C20" s="3" t="s">
        <v>20</v>
      </c>
      <c r="D20" s="3">
        <v>12.0</v>
      </c>
      <c r="E20" s="3">
        <v>11.0</v>
      </c>
      <c r="F20" s="3">
        <v>20.0</v>
      </c>
      <c r="G20" s="3">
        <v>43.0</v>
      </c>
    </row>
    <row r="21">
      <c r="A21" s="3">
        <v>2014.0</v>
      </c>
      <c r="B21" s="3" t="s">
        <v>24</v>
      </c>
      <c r="C21" s="3" t="s">
        <v>22</v>
      </c>
      <c r="D21" s="3">
        <v>10.0</v>
      </c>
      <c r="E21" s="3">
        <v>7.0</v>
      </c>
      <c r="F21" s="3">
        <v>28.0</v>
      </c>
      <c r="G21" s="3">
        <v>45.0</v>
      </c>
    </row>
    <row r="22">
      <c r="A22" s="3">
        <v>2014.0</v>
      </c>
      <c r="B22" s="3" t="s">
        <v>24</v>
      </c>
      <c r="C22" s="3" t="s">
        <v>21</v>
      </c>
      <c r="D22" s="3">
        <v>0.0</v>
      </c>
      <c r="E22" s="3">
        <v>1.0</v>
      </c>
      <c r="F22" s="3">
        <v>2.0</v>
      </c>
      <c r="G22" s="3">
        <v>3.0</v>
      </c>
    </row>
    <row r="23">
      <c r="A23" s="3">
        <v>2014.0</v>
      </c>
      <c r="B23" s="3" t="s">
        <v>24</v>
      </c>
      <c r="C23" s="3" t="s">
        <v>8</v>
      </c>
      <c r="D23" s="3">
        <v>0.0</v>
      </c>
      <c r="E23" s="3">
        <v>0.0</v>
      </c>
      <c r="F23" s="3">
        <v>0.0</v>
      </c>
      <c r="G23" s="3">
        <v>0.0</v>
      </c>
    </row>
    <row r="24">
      <c r="A24" s="3">
        <v>2014.0</v>
      </c>
      <c r="B24" s="3" t="s">
        <v>24</v>
      </c>
      <c r="C24" s="3" t="s">
        <v>7</v>
      </c>
      <c r="D24" s="3">
        <v>1.0</v>
      </c>
      <c r="E24" s="3">
        <v>1.0</v>
      </c>
      <c r="F24" s="3">
        <v>4.0</v>
      </c>
      <c r="G24" s="3">
        <v>6.0</v>
      </c>
    </row>
    <row r="25">
      <c r="A25" s="3">
        <v>2014.0</v>
      </c>
      <c r="B25" s="3" t="s">
        <v>24</v>
      </c>
      <c r="C25" s="3" t="s">
        <v>17</v>
      </c>
      <c r="D25" s="3">
        <v>1.0</v>
      </c>
      <c r="E25" s="3">
        <v>1.0</v>
      </c>
      <c r="F25" s="3">
        <v>21.0</v>
      </c>
      <c r="G25" s="3">
        <v>23.0</v>
      </c>
    </row>
    <row r="26">
      <c r="A26" s="3">
        <v>2014.0</v>
      </c>
      <c r="B26" s="3" t="s">
        <v>24</v>
      </c>
      <c r="C26" s="3" t="s">
        <v>10</v>
      </c>
      <c r="D26" s="3">
        <v>1095.0</v>
      </c>
      <c r="E26" s="3">
        <v>908.0</v>
      </c>
      <c r="F26" s="3">
        <v>3735.0</v>
      </c>
      <c r="G26" s="3">
        <v>5738.0</v>
      </c>
    </row>
    <row r="27">
      <c r="A27" s="3">
        <v>2014.0</v>
      </c>
      <c r="B27" s="3" t="s">
        <v>24</v>
      </c>
      <c r="C27" s="3" t="s">
        <v>12</v>
      </c>
      <c r="D27" s="3">
        <v>3.0</v>
      </c>
      <c r="E27" s="3">
        <v>5.0</v>
      </c>
      <c r="F27" s="3">
        <v>15.0</v>
      </c>
      <c r="G27" s="3">
        <v>23.0</v>
      </c>
    </row>
    <row r="28">
      <c r="A28" s="3">
        <v>2014.0</v>
      </c>
      <c r="B28" s="3" t="s">
        <v>24</v>
      </c>
      <c r="C28" s="3" t="s">
        <v>23</v>
      </c>
      <c r="D28" s="3">
        <v>3.0</v>
      </c>
      <c r="E28" s="3">
        <v>1.0</v>
      </c>
      <c r="F28" s="3">
        <v>5.0</v>
      </c>
      <c r="G28" s="3">
        <v>9.0</v>
      </c>
    </row>
    <row r="29">
      <c r="A29" s="3">
        <v>2014.0</v>
      </c>
      <c r="B29" s="3" t="s">
        <v>24</v>
      </c>
      <c r="C29" s="3" t="s">
        <v>9</v>
      </c>
      <c r="D29" s="3">
        <v>1.0</v>
      </c>
      <c r="E29" s="3">
        <v>1.0</v>
      </c>
      <c r="F29" s="3">
        <v>14.0</v>
      </c>
      <c r="G29" s="3">
        <v>16.0</v>
      </c>
    </row>
    <row r="30">
      <c r="A30" s="3">
        <v>2014.0</v>
      </c>
      <c r="B30" s="3" t="s">
        <v>11</v>
      </c>
      <c r="C30" s="3" t="s">
        <v>14</v>
      </c>
      <c r="D30" s="3">
        <v>954.0</v>
      </c>
      <c r="E30" s="3">
        <v>932.0</v>
      </c>
      <c r="F30" s="3">
        <v>3811.0</v>
      </c>
      <c r="G30" s="3">
        <v>5697.0</v>
      </c>
    </row>
    <row r="31">
      <c r="A31" s="3">
        <v>2014.0</v>
      </c>
      <c r="B31" s="3" t="s">
        <v>11</v>
      </c>
      <c r="C31" s="3" t="s">
        <v>15</v>
      </c>
      <c r="D31" s="3">
        <v>175.0</v>
      </c>
      <c r="E31" s="3">
        <v>192.0</v>
      </c>
      <c r="F31" s="3">
        <v>812.0</v>
      </c>
      <c r="G31" s="3">
        <v>1179.0</v>
      </c>
    </row>
    <row r="32">
      <c r="A32" s="3">
        <v>2014.0</v>
      </c>
      <c r="B32" s="3" t="s">
        <v>11</v>
      </c>
      <c r="C32" s="3" t="s">
        <v>16</v>
      </c>
      <c r="D32" s="3">
        <v>1.0</v>
      </c>
      <c r="E32" s="3">
        <v>2.0</v>
      </c>
      <c r="F32" s="3">
        <v>10.0</v>
      </c>
      <c r="G32" s="3">
        <v>13.0</v>
      </c>
    </row>
    <row r="33">
      <c r="A33" s="3">
        <v>2014.0</v>
      </c>
      <c r="B33" s="3" t="s">
        <v>11</v>
      </c>
      <c r="C33" s="3" t="s">
        <v>19</v>
      </c>
      <c r="D33" s="3">
        <v>11.0</v>
      </c>
      <c r="E33" s="3">
        <v>14.0</v>
      </c>
      <c r="F33" s="3">
        <v>83.0</v>
      </c>
      <c r="G33" s="3">
        <v>108.0</v>
      </c>
    </row>
    <row r="34">
      <c r="A34" s="3">
        <v>2014.0</v>
      </c>
      <c r="B34" s="3" t="s">
        <v>11</v>
      </c>
      <c r="C34" s="3" t="s">
        <v>20</v>
      </c>
      <c r="D34" s="3">
        <v>14.0</v>
      </c>
      <c r="E34" s="3">
        <v>11.0</v>
      </c>
      <c r="F34" s="3">
        <v>28.0</v>
      </c>
      <c r="G34" s="3">
        <v>53.0</v>
      </c>
    </row>
    <row r="35">
      <c r="A35" s="3">
        <v>2014.0</v>
      </c>
      <c r="B35" s="3" t="s">
        <v>11</v>
      </c>
      <c r="C35" s="3" t="s">
        <v>22</v>
      </c>
      <c r="D35" s="3">
        <v>3.0</v>
      </c>
      <c r="E35" s="3">
        <v>6.0</v>
      </c>
      <c r="F35" s="3">
        <v>15.0</v>
      </c>
      <c r="G35" s="3">
        <v>24.0</v>
      </c>
    </row>
    <row r="36">
      <c r="A36" s="3">
        <v>2014.0</v>
      </c>
      <c r="B36" s="3" t="s">
        <v>11</v>
      </c>
      <c r="C36" s="3" t="s">
        <v>21</v>
      </c>
      <c r="D36" s="3">
        <v>1.0</v>
      </c>
      <c r="E36" s="3">
        <v>0.0</v>
      </c>
      <c r="F36" s="3">
        <v>3.0</v>
      </c>
      <c r="G36" s="3">
        <v>4.0</v>
      </c>
    </row>
    <row r="37">
      <c r="A37" s="3">
        <v>2014.0</v>
      </c>
      <c r="B37" s="3" t="s">
        <v>11</v>
      </c>
      <c r="C37" s="3" t="s">
        <v>8</v>
      </c>
      <c r="D37" s="3">
        <v>0.0</v>
      </c>
      <c r="E37" s="3">
        <v>0.0</v>
      </c>
      <c r="F37" s="3">
        <v>0.0</v>
      </c>
      <c r="G37" s="3">
        <v>0.0</v>
      </c>
    </row>
    <row r="38">
      <c r="A38" s="3">
        <v>2014.0</v>
      </c>
      <c r="B38" s="3" t="s">
        <v>11</v>
      </c>
      <c r="C38" s="3" t="s">
        <v>7</v>
      </c>
      <c r="D38" s="3">
        <v>2.0</v>
      </c>
      <c r="E38" s="3">
        <v>2.0</v>
      </c>
      <c r="F38" s="3">
        <v>3.0</v>
      </c>
      <c r="G38" s="3">
        <v>7.0</v>
      </c>
    </row>
    <row r="39">
      <c r="A39" s="3">
        <v>2014.0</v>
      </c>
      <c r="B39" s="3" t="s">
        <v>11</v>
      </c>
      <c r="C39" s="3" t="s">
        <v>17</v>
      </c>
      <c r="D39" s="3">
        <v>2.0</v>
      </c>
      <c r="E39" s="3">
        <v>5.0</v>
      </c>
      <c r="F39" s="3">
        <v>22.0</v>
      </c>
      <c r="G39" s="3">
        <v>29.0</v>
      </c>
    </row>
    <row r="40">
      <c r="A40" s="3">
        <v>2014.0</v>
      </c>
      <c r="B40" s="3" t="s">
        <v>11</v>
      </c>
      <c r="C40" s="3" t="s">
        <v>10</v>
      </c>
      <c r="D40" s="3">
        <v>1121.0</v>
      </c>
      <c r="E40" s="3">
        <v>984.0</v>
      </c>
      <c r="F40" s="3">
        <v>3855.0</v>
      </c>
      <c r="G40" s="3">
        <v>5960.0</v>
      </c>
    </row>
    <row r="41">
      <c r="A41" s="3">
        <v>2014.0</v>
      </c>
      <c r="B41" s="3" t="s">
        <v>11</v>
      </c>
      <c r="C41" s="3" t="s">
        <v>12</v>
      </c>
      <c r="D41" s="3">
        <v>4.0</v>
      </c>
      <c r="E41" s="3">
        <v>3.0</v>
      </c>
      <c r="F41" s="3">
        <v>19.0</v>
      </c>
      <c r="G41" s="3">
        <v>26.0</v>
      </c>
    </row>
    <row r="42">
      <c r="A42" s="3">
        <v>2014.0</v>
      </c>
      <c r="B42" s="3" t="s">
        <v>11</v>
      </c>
      <c r="C42" s="3" t="s">
        <v>23</v>
      </c>
      <c r="D42" s="3">
        <v>0.0</v>
      </c>
      <c r="E42" s="3">
        <v>2.0</v>
      </c>
      <c r="F42" s="3">
        <v>4.0</v>
      </c>
      <c r="G42" s="3">
        <v>6.0</v>
      </c>
    </row>
    <row r="43">
      <c r="A43" s="3">
        <v>2014.0</v>
      </c>
      <c r="B43" s="3" t="s">
        <v>11</v>
      </c>
      <c r="C43" s="3" t="s">
        <v>9</v>
      </c>
      <c r="D43" s="3">
        <v>1.0</v>
      </c>
      <c r="E43" s="3">
        <v>3.0</v>
      </c>
      <c r="F43" s="3">
        <v>11.0</v>
      </c>
      <c r="G43" s="3">
        <v>15.0</v>
      </c>
    </row>
    <row r="44">
      <c r="A44" s="3">
        <v>2014.0</v>
      </c>
      <c r="B44" s="3" t="s">
        <v>28</v>
      </c>
      <c r="C44" s="3" t="s">
        <v>14</v>
      </c>
      <c r="D44" s="3">
        <v>789.0</v>
      </c>
      <c r="E44" s="3">
        <v>714.0</v>
      </c>
      <c r="F44" s="3">
        <v>2734.0</v>
      </c>
      <c r="G44" s="3">
        <v>4237.0</v>
      </c>
    </row>
    <row r="45">
      <c r="A45" s="3">
        <v>2014.0</v>
      </c>
      <c r="B45" s="3" t="s">
        <v>28</v>
      </c>
      <c r="C45" s="3" t="s">
        <v>15</v>
      </c>
      <c r="D45" s="3">
        <v>187.0</v>
      </c>
      <c r="E45" s="3">
        <v>145.0</v>
      </c>
      <c r="F45" s="3">
        <v>639.0</v>
      </c>
      <c r="G45" s="3">
        <v>971.0</v>
      </c>
    </row>
    <row r="46">
      <c r="A46" s="3">
        <v>2014.0</v>
      </c>
      <c r="B46" s="3" t="s">
        <v>28</v>
      </c>
      <c r="C46" s="3" t="s">
        <v>16</v>
      </c>
      <c r="D46" s="3">
        <v>1.0</v>
      </c>
      <c r="E46" s="3">
        <v>1.0</v>
      </c>
      <c r="F46" s="3">
        <v>3.0</v>
      </c>
      <c r="G46" s="3">
        <v>5.0</v>
      </c>
    </row>
    <row r="47">
      <c r="A47" s="3">
        <v>2014.0</v>
      </c>
      <c r="B47" s="3" t="s">
        <v>28</v>
      </c>
      <c r="C47" s="3" t="s">
        <v>19</v>
      </c>
      <c r="D47" s="3">
        <v>10.0</v>
      </c>
      <c r="E47" s="3">
        <v>6.0</v>
      </c>
      <c r="F47" s="3">
        <v>55.0</v>
      </c>
      <c r="G47" s="3">
        <v>71.0</v>
      </c>
    </row>
    <row r="48">
      <c r="A48" s="3">
        <v>2014.0</v>
      </c>
      <c r="B48" s="3" t="s">
        <v>28</v>
      </c>
      <c r="C48" s="3" t="s">
        <v>20</v>
      </c>
      <c r="D48" s="3">
        <v>9.0</v>
      </c>
      <c r="E48" s="3">
        <v>5.0</v>
      </c>
      <c r="F48" s="3">
        <v>15.0</v>
      </c>
      <c r="G48" s="3">
        <v>29.0</v>
      </c>
    </row>
    <row r="49">
      <c r="A49" s="3">
        <v>2014.0</v>
      </c>
      <c r="B49" s="3" t="s">
        <v>28</v>
      </c>
      <c r="C49" s="3" t="s">
        <v>22</v>
      </c>
      <c r="D49" s="3">
        <v>2.0</v>
      </c>
      <c r="E49" s="3">
        <v>5.0</v>
      </c>
      <c r="F49" s="3">
        <v>18.0</v>
      </c>
      <c r="G49" s="3">
        <v>25.0</v>
      </c>
    </row>
    <row r="50">
      <c r="A50" s="3">
        <v>2014.0</v>
      </c>
      <c r="B50" s="3" t="s">
        <v>28</v>
      </c>
      <c r="C50" s="3" t="s">
        <v>21</v>
      </c>
      <c r="D50" s="3">
        <v>1.0</v>
      </c>
      <c r="E50" s="3">
        <v>0.0</v>
      </c>
      <c r="F50" s="3">
        <v>2.0</v>
      </c>
      <c r="G50" s="3">
        <v>3.0</v>
      </c>
    </row>
    <row r="51">
      <c r="A51" s="3">
        <v>2014.0</v>
      </c>
      <c r="B51" s="3" t="s">
        <v>28</v>
      </c>
      <c r="C51" s="3" t="s">
        <v>8</v>
      </c>
      <c r="D51" s="3">
        <v>0.0</v>
      </c>
      <c r="E51" s="3">
        <v>0.0</v>
      </c>
      <c r="F51" s="3">
        <v>0.0</v>
      </c>
      <c r="G51" s="3">
        <v>0.0</v>
      </c>
    </row>
    <row r="52">
      <c r="A52" s="3">
        <v>2014.0</v>
      </c>
      <c r="B52" s="3" t="s">
        <v>28</v>
      </c>
      <c r="C52" s="3" t="s">
        <v>7</v>
      </c>
      <c r="D52" s="3">
        <v>2.0</v>
      </c>
      <c r="E52" s="3">
        <v>0.0</v>
      </c>
      <c r="F52" s="3">
        <v>3.0</v>
      </c>
      <c r="G52" s="3">
        <v>5.0</v>
      </c>
    </row>
    <row r="53">
      <c r="A53" s="3">
        <v>2014.0</v>
      </c>
      <c r="B53" s="3" t="s">
        <v>28</v>
      </c>
      <c r="C53" s="3" t="s">
        <v>17</v>
      </c>
      <c r="D53" s="3">
        <v>2.0</v>
      </c>
      <c r="E53" s="3">
        <v>0.0</v>
      </c>
      <c r="F53" s="3">
        <v>22.0</v>
      </c>
      <c r="G53" s="3">
        <v>24.0</v>
      </c>
    </row>
    <row r="54">
      <c r="A54" s="3">
        <v>2014.0</v>
      </c>
      <c r="B54" s="3" t="s">
        <v>28</v>
      </c>
      <c r="C54" s="3" t="s">
        <v>10</v>
      </c>
      <c r="D54" s="3">
        <v>891.0</v>
      </c>
      <c r="E54" s="3">
        <v>718.0</v>
      </c>
      <c r="F54" s="3">
        <v>2886.0</v>
      </c>
      <c r="G54" s="3">
        <v>4495.0</v>
      </c>
    </row>
    <row r="55">
      <c r="A55" s="3">
        <v>2014.0</v>
      </c>
      <c r="B55" s="3" t="s">
        <v>28</v>
      </c>
      <c r="C55" s="3" t="s">
        <v>12</v>
      </c>
      <c r="D55" s="3">
        <v>2.0</v>
      </c>
      <c r="E55" s="3">
        <v>3.0</v>
      </c>
      <c r="F55" s="3">
        <v>14.0</v>
      </c>
      <c r="G55" s="3">
        <v>19.0</v>
      </c>
    </row>
    <row r="56">
      <c r="A56" s="3">
        <v>2014.0</v>
      </c>
      <c r="B56" s="3" t="s">
        <v>28</v>
      </c>
      <c r="C56" s="3" t="s">
        <v>23</v>
      </c>
      <c r="D56" s="3">
        <v>1.0</v>
      </c>
      <c r="E56" s="3">
        <v>0.0</v>
      </c>
      <c r="F56" s="3">
        <v>0.0</v>
      </c>
      <c r="G56" s="3">
        <v>1.0</v>
      </c>
    </row>
    <row r="57">
      <c r="A57" s="3">
        <v>2014.0</v>
      </c>
      <c r="B57" s="3" t="s">
        <v>28</v>
      </c>
      <c r="C57" s="3" t="s">
        <v>9</v>
      </c>
      <c r="D57" s="3">
        <v>1.0</v>
      </c>
      <c r="E57" s="3">
        <v>1.0</v>
      </c>
      <c r="F57" s="3">
        <v>11.0</v>
      </c>
      <c r="G57" s="3">
        <v>13.0</v>
      </c>
    </row>
    <row r="58">
      <c r="A58" s="3">
        <v>2014.0</v>
      </c>
      <c r="B58" s="3" t="s">
        <v>30</v>
      </c>
      <c r="C58" s="3" t="s">
        <v>14</v>
      </c>
      <c r="D58" s="3">
        <v>886.0</v>
      </c>
      <c r="E58" s="3">
        <v>829.0</v>
      </c>
      <c r="F58" s="3">
        <v>3279.0</v>
      </c>
      <c r="G58" s="3">
        <v>4994.0</v>
      </c>
    </row>
    <row r="59">
      <c r="A59" s="3">
        <v>2014.0</v>
      </c>
      <c r="B59" s="3" t="s">
        <v>30</v>
      </c>
      <c r="C59" s="3" t="s">
        <v>15</v>
      </c>
      <c r="D59" s="3">
        <v>194.0</v>
      </c>
      <c r="E59" s="3">
        <v>170.0</v>
      </c>
      <c r="F59" s="3">
        <v>786.0</v>
      </c>
      <c r="G59" s="3">
        <v>1150.0</v>
      </c>
    </row>
    <row r="60">
      <c r="A60" s="3">
        <v>2014.0</v>
      </c>
      <c r="B60" s="3" t="s">
        <v>30</v>
      </c>
      <c r="C60" s="3" t="s">
        <v>16</v>
      </c>
      <c r="D60" s="3">
        <v>1.0</v>
      </c>
      <c r="E60" s="3">
        <v>0.0</v>
      </c>
      <c r="F60" s="3">
        <v>10.0</v>
      </c>
      <c r="G60" s="3">
        <v>11.0</v>
      </c>
    </row>
    <row r="61">
      <c r="A61" s="3">
        <v>2014.0</v>
      </c>
      <c r="B61" s="3" t="s">
        <v>30</v>
      </c>
      <c r="C61" s="3" t="s">
        <v>19</v>
      </c>
      <c r="D61" s="3">
        <v>14.0</v>
      </c>
      <c r="E61" s="3">
        <v>14.0</v>
      </c>
      <c r="F61" s="3">
        <v>71.0</v>
      </c>
      <c r="G61" s="3">
        <v>99.0</v>
      </c>
    </row>
    <row r="62">
      <c r="A62" s="3">
        <v>2014.0</v>
      </c>
      <c r="B62" s="3" t="s">
        <v>30</v>
      </c>
      <c r="C62" s="3" t="s">
        <v>20</v>
      </c>
      <c r="D62" s="3">
        <v>11.0</v>
      </c>
      <c r="E62" s="3">
        <v>4.0</v>
      </c>
      <c r="F62" s="3">
        <v>18.0</v>
      </c>
      <c r="G62" s="3">
        <v>33.0</v>
      </c>
    </row>
    <row r="63">
      <c r="A63" s="3">
        <v>2014.0</v>
      </c>
      <c r="B63" s="3" t="s">
        <v>30</v>
      </c>
      <c r="C63" s="3" t="s">
        <v>22</v>
      </c>
      <c r="D63" s="3">
        <v>2.0</v>
      </c>
      <c r="E63" s="3">
        <v>6.0</v>
      </c>
      <c r="F63" s="3">
        <v>21.0</v>
      </c>
      <c r="G63" s="3">
        <v>29.0</v>
      </c>
    </row>
    <row r="64">
      <c r="A64" s="3">
        <v>2014.0</v>
      </c>
      <c r="B64" s="3" t="s">
        <v>30</v>
      </c>
      <c r="C64" s="3" t="s">
        <v>21</v>
      </c>
      <c r="D64" s="3">
        <v>1.0</v>
      </c>
      <c r="E64" s="3">
        <v>0.0</v>
      </c>
      <c r="F64" s="3">
        <v>3.0</v>
      </c>
      <c r="G64" s="3">
        <v>4.0</v>
      </c>
    </row>
    <row r="65">
      <c r="A65" s="3">
        <v>2014.0</v>
      </c>
      <c r="B65" s="3" t="s">
        <v>30</v>
      </c>
      <c r="C65" s="3" t="s">
        <v>8</v>
      </c>
      <c r="D65" s="3">
        <v>0.0</v>
      </c>
      <c r="E65" s="3">
        <v>0.0</v>
      </c>
      <c r="F65" s="3">
        <v>0.0</v>
      </c>
      <c r="G65" s="3">
        <v>0.0</v>
      </c>
    </row>
    <row r="66">
      <c r="A66" s="3">
        <v>2014.0</v>
      </c>
      <c r="B66" s="3" t="s">
        <v>30</v>
      </c>
      <c r="C66" s="3" t="s">
        <v>7</v>
      </c>
      <c r="D66" s="3">
        <v>1.0</v>
      </c>
      <c r="E66" s="3">
        <v>1.0</v>
      </c>
      <c r="F66" s="3">
        <v>5.0</v>
      </c>
      <c r="G66" s="3">
        <v>7.0</v>
      </c>
    </row>
    <row r="67">
      <c r="A67" s="3">
        <v>2014.0</v>
      </c>
      <c r="B67" s="3" t="s">
        <v>30</v>
      </c>
      <c r="C67" s="3" t="s">
        <v>17</v>
      </c>
      <c r="D67" s="3">
        <v>2.0</v>
      </c>
      <c r="E67" s="3">
        <v>1.0</v>
      </c>
      <c r="F67" s="3">
        <v>22.0</v>
      </c>
      <c r="G67" s="3">
        <v>25.0</v>
      </c>
    </row>
    <row r="68">
      <c r="A68" s="3">
        <v>2014.0</v>
      </c>
      <c r="B68" s="3" t="s">
        <v>30</v>
      </c>
      <c r="C68" s="3" t="s">
        <v>10</v>
      </c>
      <c r="D68" s="3">
        <v>1065.0</v>
      </c>
      <c r="E68" s="3">
        <v>854.0</v>
      </c>
      <c r="F68" s="3">
        <v>3364.0</v>
      </c>
      <c r="G68" s="3">
        <v>5283.0</v>
      </c>
    </row>
    <row r="69">
      <c r="A69" s="3">
        <v>2014.0</v>
      </c>
      <c r="B69" s="3" t="s">
        <v>30</v>
      </c>
      <c r="C69" s="3" t="s">
        <v>12</v>
      </c>
      <c r="D69" s="3">
        <v>3.0</v>
      </c>
      <c r="E69" s="3">
        <v>5.0</v>
      </c>
      <c r="F69" s="3">
        <v>17.0</v>
      </c>
      <c r="G69" s="3">
        <v>25.0</v>
      </c>
    </row>
    <row r="70">
      <c r="A70" s="3">
        <v>2014.0</v>
      </c>
      <c r="B70" s="3" t="s">
        <v>30</v>
      </c>
      <c r="C70" s="3" t="s">
        <v>23</v>
      </c>
      <c r="D70" s="3">
        <v>2.0</v>
      </c>
      <c r="E70" s="3">
        <v>2.0</v>
      </c>
      <c r="F70" s="3">
        <v>5.0</v>
      </c>
      <c r="G70" s="3">
        <v>9.0</v>
      </c>
    </row>
    <row r="71">
      <c r="A71" s="3">
        <v>2014.0</v>
      </c>
      <c r="B71" s="3" t="s">
        <v>30</v>
      </c>
      <c r="C71" s="3" t="s">
        <v>9</v>
      </c>
      <c r="D71" s="3">
        <v>4.0</v>
      </c>
      <c r="E71" s="3">
        <v>1.0</v>
      </c>
      <c r="F71" s="3">
        <v>14.0</v>
      </c>
      <c r="G71" s="3">
        <v>19.0</v>
      </c>
    </row>
    <row r="72">
      <c r="A72" s="3">
        <v>2014.0</v>
      </c>
      <c r="B72" s="3" t="s">
        <v>26</v>
      </c>
      <c r="C72" s="3" t="s">
        <v>14</v>
      </c>
      <c r="D72" s="3">
        <v>990.0</v>
      </c>
      <c r="E72" s="3">
        <v>900.0</v>
      </c>
      <c r="F72" s="3">
        <v>3615.0</v>
      </c>
      <c r="G72" s="3">
        <v>5505.0</v>
      </c>
    </row>
    <row r="73">
      <c r="A73" s="3">
        <v>2014.0</v>
      </c>
      <c r="B73" s="3" t="s">
        <v>26</v>
      </c>
      <c r="C73" s="3" t="s">
        <v>15</v>
      </c>
      <c r="D73" s="3">
        <v>216.0</v>
      </c>
      <c r="E73" s="3">
        <v>210.0</v>
      </c>
      <c r="F73" s="3">
        <v>809.0</v>
      </c>
      <c r="G73" s="3">
        <v>1235.0</v>
      </c>
    </row>
    <row r="74">
      <c r="A74" s="3">
        <v>2014.0</v>
      </c>
      <c r="B74" s="3" t="s">
        <v>26</v>
      </c>
      <c r="C74" s="3" t="s">
        <v>16</v>
      </c>
      <c r="D74" s="3">
        <v>2.0</v>
      </c>
      <c r="E74" s="3">
        <v>1.0</v>
      </c>
      <c r="F74" s="3">
        <v>4.0</v>
      </c>
      <c r="G74" s="3">
        <v>7.0</v>
      </c>
    </row>
    <row r="75">
      <c r="A75" s="3">
        <v>2014.0</v>
      </c>
      <c r="B75" s="3" t="s">
        <v>26</v>
      </c>
      <c r="C75" s="3" t="s">
        <v>19</v>
      </c>
      <c r="D75" s="3">
        <v>7.0</v>
      </c>
      <c r="E75" s="3">
        <v>10.0</v>
      </c>
      <c r="F75" s="3">
        <v>66.0</v>
      </c>
      <c r="G75" s="3">
        <v>83.0</v>
      </c>
    </row>
    <row r="76">
      <c r="A76" s="3">
        <v>2014.0</v>
      </c>
      <c r="B76" s="3" t="s">
        <v>26</v>
      </c>
      <c r="C76" s="3" t="s">
        <v>20</v>
      </c>
      <c r="D76" s="3">
        <v>17.0</v>
      </c>
      <c r="E76" s="3">
        <v>5.0</v>
      </c>
      <c r="F76" s="3">
        <v>25.0</v>
      </c>
      <c r="G76" s="3">
        <v>47.0</v>
      </c>
    </row>
    <row r="77">
      <c r="A77" s="3">
        <v>2014.0</v>
      </c>
      <c r="B77" s="3" t="s">
        <v>26</v>
      </c>
      <c r="C77" s="3" t="s">
        <v>22</v>
      </c>
      <c r="D77" s="3">
        <v>4.0</v>
      </c>
      <c r="E77" s="3">
        <v>6.0</v>
      </c>
      <c r="F77" s="3">
        <v>22.0</v>
      </c>
      <c r="G77" s="3">
        <v>32.0</v>
      </c>
    </row>
    <row r="78">
      <c r="A78" s="3">
        <v>2014.0</v>
      </c>
      <c r="B78" s="3" t="s">
        <v>26</v>
      </c>
      <c r="C78" s="3" t="s">
        <v>21</v>
      </c>
      <c r="D78" s="3">
        <v>0.0</v>
      </c>
      <c r="E78" s="3">
        <v>2.0</v>
      </c>
      <c r="F78" s="3">
        <v>1.0</v>
      </c>
      <c r="G78" s="3">
        <v>3.0</v>
      </c>
    </row>
    <row r="79">
      <c r="A79" s="3">
        <v>2014.0</v>
      </c>
      <c r="B79" s="3" t="s">
        <v>26</v>
      </c>
      <c r="C79" s="3" t="s">
        <v>8</v>
      </c>
      <c r="D79" s="3">
        <v>0.0</v>
      </c>
      <c r="E79" s="3">
        <v>0.0</v>
      </c>
      <c r="F79" s="3">
        <v>0.0</v>
      </c>
      <c r="G79" s="3">
        <v>0.0</v>
      </c>
    </row>
    <row r="80">
      <c r="A80" s="3">
        <v>2014.0</v>
      </c>
      <c r="B80" s="3" t="s">
        <v>26</v>
      </c>
      <c r="C80" s="3" t="s">
        <v>7</v>
      </c>
      <c r="D80" s="3">
        <v>2.0</v>
      </c>
      <c r="E80" s="3">
        <v>3.0</v>
      </c>
      <c r="F80" s="3">
        <v>11.0</v>
      </c>
      <c r="G80" s="3">
        <v>16.0</v>
      </c>
    </row>
    <row r="81">
      <c r="A81" s="3">
        <v>2014.0</v>
      </c>
      <c r="B81" s="3" t="s">
        <v>26</v>
      </c>
      <c r="C81" s="3" t="s">
        <v>17</v>
      </c>
      <c r="D81" s="3">
        <v>1.0</v>
      </c>
      <c r="E81" s="3">
        <v>0.0</v>
      </c>
      <c r="F81" s="3">
        <v>22.0</v>
      </c>
      <c r="G81" s="3">
        <v>23.0</v>
      </c>
    </row>
    <row r="82">
      <c r="A82" s="3">
        <v>2014.0</v>
      </c>
      <c r="B82" s="3" t="s">
        <v>26</v>
      </c>
      <c r="C82" s="3" t="s">
        <v>10</v>
      </c>
      <c r="D82" s="3">
        <v>1141.0</v>
      </c>
      <c r="E82" s="3">
        <v>992.0</v>
      </c>
      <c r="F82" s="3">
        <v>3806.0</v>
      </c>
      <c r="G82" s="3">
        <v>5939.0</v>
      </c>
    </row>
    <row r="83">
      <c r="A83" s="3">
        <v>2014.0</v>
      </c>
      <c r="B83" s="3" t="s">
        <v>26</v>
      </c>
      <c r="C83" s="3" t="s">
        <v>12</v>
      </c>
      <c r="D83" s="3">
        <v>4.0</v>
      </c>
      <c r="E83" s="3">
        <v>2.0</v>
      </c>
      <c r="F83" s="3">
        <v>30.0</v>
      </c>
      <c r="G83" s="3">
        <v>36.0</v>
      </c>
    </row>
    <row r="84">
      <c r="A84" s="3">
        <v>2014.0</v>
      </c>
      <c r="B84" s="3" t="s">
        <v>26</v>
      </c>
      <c r="C84" s="3" t="s">
        <v>23</v>
      </c>
      <c r="D84" s="3">
        <v>1.0</v>
      </c>
      <c r="E84" s="3">
        <v>0.0</v>
      </c>
      <c r="F84" s="3">
        <v>8.0</v>
      </c>
      <c r="G84" s="3">
        <v>9.0</v>
      </c>
    </row>
    <row r="85">
      <c r="A85" s="3">
        <v>2014.0</v>
      </c>
      <c r="B85" s="3" t="s">
        <v>26</v>
      </c>
      <c r="C85" s="3" t="s">
        <v>9</v>
      </c>
      <c r="D85" s="3">
        <v>0.0</v>
      </c>
      <c r="E85" s="3">
        <v>1.0</v>
      </c>
      <c r="F85" s="3">
        <v>13.0</v>
      </c>
      <c r="G85" s="3">
        <v>14.0</v>
      </c>
    </row>
    <row r="86">
      <c r="A86" s="4">
        <v>2014.0</v>
      </c>
      <c r="B86" s="5" t="s">
        <v>31</v>
      </c>
      <c r="C86" s="5" t="s">
        <v>14</v>
      </c>
      <c r="D86" s="4">
        <v>1.018</v>
      </c>
      <c r="E86" s="4">
        <v>886.0</v>
      </c>
      <c r="F86" s="4">
        <v>3.401</v>
      </c>
      <c r="G86" s="4">
        <v>5.305</v>
      </c>
    </row>
    <row r="87">
      <c r="A87" s="4">
        <v>2014.0</v>
      </c>
      <c r="B87" s="5" t="s">
        <v>31</v>
      </c>
      <c r="C87" s="5" t="s">
        <v>15</v>
      </c>
      <c r="D87" s="4">
        <v>216.0</v>
      </c>
      <c r="E87" s="4">
        <v>162.0</v>
      </c>
      <c r="F87" s="4">
        <v>797.0</v>
      </c>
      <c r="G87" s="4">
        <v>1.175</v>
      </c>
    </row>
    <row r="88">
      <c r="A88" s="4">
        <v>2014.0</v>
      </c>
      <c r="B88" s="5" t="s">
        <v>31</v>
      </c>
      <c r="C88" s="5" t="s">
        <v>16</v>
      </c>
      <c r="D88" s="4">
        <v>2.0</v>
      </c>
      <c r="E88" s="4">
        <v>1.0</v>
      </c>
      <c r="F88" s="4">
        <v>11.0</v>
      </c>
      <c r="G88" s="4">
        <v>14.0</v>
      </c>
    </row>
    <row r="89">
      <c r="A89" s="4">
        <v>2014.0</v>
      </c>
      <c r="B89" s="5" t="s">
        <v>31</v>
      </c>
      <c r="C89" s="5" t="s">
        <v>19</v>
      </c>
      <c r="D89" s="4">
        <v>11.0</v>
      </c>
      <c r="E89" s="4">
        <v>11.0</v>
      </c>
      <c r="F89" s="4">
        <v>70.0</v>
      </c>
      <c r="G89" s="4">
        <v>92.0</v>
      </c>
    </row>
    <row r="90">
      <c r="A90" s="4">
        <v>2014.0</v>
      </c>
      <c r="B90" s="5" t="s">
        <v>31</v>
      </c>
      <c r="C90" s="5" t="s">
        <v>20</v>
      </c>
      <c r="D90" s="4">
        <v>17.0</v>
      </c>
      <c r="E90" s="4">
        <v>8.0</v>
      </c>
      <c r="F90" s="4">
        <v>19.0</v>
      </c>
      <c r="G90" s="4">
        <v>44.0</v>
      </c>
    </row>
    <row r="91">
      <c r="A91" s="4">
        <v>2014.0</v>
      </c>
      <c r="B91" s="5" t="s">
        <v>31</v>
      </c>
      <c r="C91" s="5" t="s">
        <v>22</v>
      </c>
      <c r="D91" s="4">
        <v>5.0</v>
      </c>
      <c r="E91" s="4">
        <v>7.0</v>
      </c>
      <c r="F91" s="4">
        <v>21.0</v>
      </c>
      <c r="G91" s="4">
        <v>33.0</v>
      </c>
    </row>
    <row r="92">
      <c r="A92" s="4">
        <v>2014.0</v>
      </c>
      <c r="B92" s="5" t="s">
        <v>31</v>
      </c>
      <c r="C92" s="5" t="s">
        <v>21</v>
      </c>
      <c r="D92" s="4">
        <v>0.0</v>
      </c>
      <c r="E92" s="4">
        <v>0.0</v>
      </c>
      <c r="F92" s="4">
        <v>1.0</v>
      </c>
      <c r="G92" s="4">
        <v>1.0</v>
      </c>
    </row>
    <row r="93">
      <c r="A93" s="4">
        <v>2014.0</v>
      </c>
      <c r="B93" s="5" t="s">
        <v>31</v>
      </c>
      <c r="C93" s="5" t="s">
        <v>8</v>
      </c>
      <c r="D93" s="4">
        <v>0.0</v>
      </c>
      <c r="E93" s="4">
        <v>0.0</v>
      </c>
      <c r="F93" s="4">
        <v>0.0</v>
      </c>
      <c r="G93" s="4">
        <v>0.0</v>
      </c>
    </row>
    <row r="94">
      <c r="A94" s="4">
        <v>2014.0</v>
      </c>
      <c r="B94" s="5" t="s">
        <v>31</v>
      </c>
      <c r="C94" s="5" t="s">
        <v>7</v>
      </c>
      <c r="D94" s="4">
        <v>3.0</v>
      </c>
      <c r="E94" s="4">
        <v>1.0</v>
      </c>
      <c r="F94" s="4">
        <v>1.0</v>
      </c>
      <c r="G94" s="4">
        <v>5.0</v>
      </c>
    </row>
    <row r="95">
      <c r="A95" s="4">
        <v>2014.0</v>
      </c>
      <c r="B95" s="5" t="s">
        <v>31</v>
      </c>
      <c r="C95" s="5" t="s">
        <v>17</v>
      </c>
      <c r="D95" s="4">
        <v>0.0</v>
      </c>
      <c r="E95" s="4">
        <v>3.0</v>
      </c>
      <c r="F95" s="4">
        <v>13.0</v>
      </c>
      <c r="G95" s="4">
        <v>16.0</v>
      </c>
    </row>
    <row r="96">
      <c r="A96" s="4">
        <v>2014.0</v>
      </c>
      <c r="B96" s="5" t="s">
        <v>31</v>
      </c>
      <c r="C96" s="5" t="s">
        <v>10</v>
      </c>
      <c r="D96" s="4">
        <v>1.015</v>
      </c>
      <c r="E96" s="4">
        <v>848.0</v>
      </c>
      <c r="F96" s="4">
        <v>3.184</v>
      </c>
      <c r="G96" s="4">
        <v>5.047</v>
      </c>
    </row>
    <row r="97">
      <c r="A97" s="4">
        <v>2014.0</v>
      </c>
      <c r="B97" s="5" t="s">
        <v>31</v>
      </c>
      <c r="C97" s="5" t="s">
        <v>12</v>
      </c>
      <c r="D97" s="4">
        <v>5.0</v>
      </c>
      <c r="E97" s="4">
        <v>2.0</v>
      </c>
      <c r="F97" s="4">
        <v>21.0</v>
      </c>
      <c r="G97" s="4">
        <v>28.0</v>
      </c>
    </row>
    <row r="98">
      <c r="A98" s="4">
        <v>2014.0</v>
      </c>
      <c r="B98" s="5" t="s">
        <v>31</v>
      </c>
      <c r="C98" s="5" t="s">
        <v>23</v>
      </c>
      <c r="D98" s="4">
        <v>0.0</v>
      </c>
      <c r="E98" s="4">
        <v>0.0</v>
      </c>
      <c r="F98" s="4">
        <v>2.0</v>
      </c>
      <c r="G98" s="4">
        <v>2.0</v>
      </c>
    </row>
    <row r="99">
      <c r="A99" s="4">
        <v>2014.0</v>
      </c>
      <c r="B99" s="5" t="s">
        <v>31</v>
      </c>
      <c r="C99" s="5" t="s">
        <v>9</v>
      </c>
      <c r="D99" s="4">
        <v>4.0</v>
      </c>
      <c r="E99" s="4">
        <v>4.0</v>
      </c>
      <c r="F99" s="4">
        <v>13.0</v>
      </c>
      <c r="G99" s="4">
        <v>21.0</v>
      </c>
    </row>
    <row r="100">
      <c r="A100" s="4">
        <v>2014.0</v>
      </c>
      <c r="B100" s="5" t="s">
        <v>32</v>
      </c>
      <c r="C100" s="5" t="s">
        <v>14</v>
      </c>
      <c r="D100" s="4">
        <v>934.0</v>
      </c>
      <c r="E100" s="4">
        <v>813.0</v>
      </c>
      <c r="F100" s="4">
        <v>3.267</v>
      </c>
      <c r="G100" s="4">
        <v>5.014</v>
      </c>
    </row>
    <row r="101">
      <c r="A101" s="4">
        <v>2014.0</v>
      </c>
      <c r="B101" s="5" t="s">
        <v>32</v>
      </c>
      <c r="C101" s="5" t="s">
        <v>15</v>
      </c>
      <c r="D101" s="4">
        <v>209.0</v>
      </c>
      <c r="E101" s="4">
        <v>183.0</v>
      </c>
      <c r="F101" s="4">
        <v>863.0</v>
      </c>
      <c r="G101" s="4">
        <v>1.255</v>
      </c>
    </row>
    <row r="102">
      <c r="A102" s="4">
        <v>2014.0</v>
      </c>
      <c r="B102" s="5" t="s">
        <v>32</v>
      </c>
      <c r="C102" s="5" t="s">
        <v>16</v>
      </c>
      <c r="D102" s="4">
        <v>2.0</v>
      </c>
      <c r="E102" s="4">
        <v>1.0</v>
      </c>
      <c r="F102" s="4">
        <v>11.0</v>
      </c>
      <c r="G102" s="4">
        <v>14.0</v>
      </c>
    </row>
    <row r="103">
      <c r="A103" s="4">
        <v>2014.0</v>
      </c>
      <c r="B103" s="5" t="s">
        <v>32</v>
      </c>
      <c r="C103" s="5" t="s">
        <v>19</v>
      </c>
      <c r="D103" s="4">
        <v>14.0</v>
      </c>
      <c r="E103" s="4">
        <v>13.0</v>
      </c>
      <c r="F103" s="4">
        <v>76.0</v>
      </c>
      <c r="G103" s="4">
        <v>103.0</v>
      </c>
    </row>
    <row r="104">
      <c r="A104" s="4">
        <v>2014.0</v>
      </c>
      <c r="B104" s="5" t="s">
        <v>32</v>
      </c>
      <c r="C104" s="5" t="s">
        <v>20</v>
      </c>
      <c r="D104" s="4">
        <v>10.0</v>
      </c>
      <c r="E104" s="4">
        <v>3.0</v>
      </c>
      <c r="F104" s="4">
        <v>32.0</v>
      </c>
      <c r="G104" s="4">
        <v>45.0</v>
      </c>
    </row>
    <row r="105">
      <c r="A105" s="4">
        <v>2014.0</v>
      </c>
      <c r="B105" s="5" t="s">
        <v>32</v>
      </c>
      <c r="C105" s="5" t="s">
        <v>22</v>
      </c>
      <c r="D105" s="4">
        <v>5.0</v>
      </c>
      <c r="E105" s="4">
        <v>4.0</v>
      </c>
      <c r="F105" s="4">
        <v>29.0</v>
      </c>
      <c r="G105" s="4">
        <v>38.0</v>
      </c>
    </row>
    <row r="106">
      <c r="A106" s="4">
        <v>2014.0</v>
      </c>
      <c r="B106" s="5" t="s">
        <v>32</v>
      </c>
      <c r="C106" s="5" t="s">
        <v>21</v>
      </c>
      <c r="D106" s="4">
        <v>0.0</v>
      </c>
      <c r="E106" s="4">
        <v>1.0</v>
      </c>
      <c r="F106" s="4">
        <v>3.0</v>
      </c>
      <c r="G106" s="4">
        <v>4.0</v>
      </c>
    </row>
    <row r="107">
      <c r="A107" s="4">
        <v>2014.0</v>
      </c>
      <c r="B107" s="5" t="s">
        <v>32</v>
      </c>
      <c r="C107" s="5" t="s">
        <v>8</v>
      </c>
      <c r="D107" s="4">
        <v>0.0</v>
      </c>
      <c r="E107" s="4">
        <v>0.0</v>
      </c>
      <c r="F107" s="4">
        <v>0.0</v>
      </c>
      <c r="G107" s="4">
        <v>0.0</v>
      </c>
    </row>
    <row r="108">
      <c r="A108" s="4">
        <v>2014.0</v>
      </c>
      <c r="B108" s="5" t="s">
        <v>32</v>
      </c>
      <c r="C108" s="5" t="s">
        <v>7</v>
      </c>
      <c r="D108" s="4">
        <v>1.0</v>
      </c>
      <c r="E108" s="4">
        <v>1.0</v>
      </c>
      <c r="F108" s="4">
        <v>4.0</v>
      </c>
      <c r="G108" s="4">
        <v>6.0</v>
      </c>
    </row>
    <row r="109">
      <c r="A109" s="4">
        <v>2014.0</v>
      </c>
      <c r="B109" s="5" t="s">
        <v>32</v>
      </c>
      <c r="C109" s="5" t="s">
        <v>17</v>
      </c>
      <c r="D109" s="4">
        <v>1.0</v>
      </c>
      <c r="E109" s="4">
        <v>2.0</v>
      </c>
      <c r="F109" s="4">
        <v>21.0</v>
      </c>
      <c r="G109" s="4">
        <v>24.0</v>
      </c>
    </row>
    <row r="110">
      <c r="A110" s="4">
        <v>2014.0</v>
      </c>
      <c r="B110" s="5" t="s">
        <v>32</v>
      </c>
      <c r="C110" s="5" t="s">
        <v>10</v>
      </c>
      <c r="D110" s="4">
        <v>964.0</v>
      </c>
      <c r="E110" s="4">
        <v>834.0</v>
      </c>
      <c r="F110" s="4">
        <v>3.293</v>
      </c>
      <c r="G110" s="4">
        <v>5.091</v>
      </c>
    </row>
    <row r="111">
      <c r="A111" s="4">
        <v>2014.0</v>
      </c>
      <c r="B111" s="5" t="s">
        <v>32</v>
      </c>
      <c r="C111" s="5" t="s">
        <v>12</v>
      </c>
      <c r="D111" s="4">
        <v>2.0</v>
      </c>
      <c r="E111" s="4">
        <v>3.0</v>
      </c>
      <c r="F111" s="4">
        <v>17.0</v>
      </c>
      <c r="G111" s="4">
        <v>22.0</v>
      </c>
    </row>
    <row r="112">
      <c r="A112" s="4">
        <v>2014.0</v>
      </c>
      <c r="B112" s="5" t="s">
        <v>32</v>
      </c>
      <c r="C112" s="5" t="s">
        <v>23</v>
      </c>
      <c r="D112" s="4">
        <v>1.0</v>
      </c>
      <c r="E112" s="4">
        <v>0.0</v>
      </c>
      <c r="F112" s="4">
        <v>3.0</v>
      </c>
      <c r="G112" s="4">
        <v>4.0</v>
      </c>
    </row>
    <row r="113">
      <c r="A113" s="4">
        <v>2014.0</v>
      </c>
      <c r="B113" s="5" t="s">
        <v>32</v>
      </c>
      <c r="C113" s="5" t="s">
        <v>9</v>
      </c>
      <c r="D113" s="4">
        <v>1.0</v>
      </c>
      <c r="E113" s="4">
        <v>2.0</v>
      </c>
      <c r="F113" s="4">
        <v>16.0</v>
      </c>
      <c r="G113" s="4">
        <v>19.0</v>
      </c>
    </row>
    <row r="114">
      <c r="A114" s="4">
        <v>2014.0</v>
      </c>
      <c r="B114" s="5" t="s">
        <v>18</v>
      </c>
      <c r="C114" s="5" t="s">
        <v>14</v>
      </c>
      <c r="D114" s="4">
        <v>990.0</v>
      </c>
      <c r="E114" s="4">
        <v>832.0</v>
      </c>
      <c r="F114" s="4">
        <v>3.219</v>
      </c>
      <c r="G114" s="4">
        <v>5.041</v>
      </c>
    </row>
    <row r="115">
      <c r="A115" s="4">
        <v>2014.0</v>
      </c>
      <c r="B115" s="5" t="s">
        <v>18</v>
      </c>
      <c r="C115" s="5" t="s">
        <v>15</v>
      </c>
      <c r="D115" s="4">
        <v>193.0</v>
      </c>
      <c r="E115" s="4">
        <v>178.0</v>
      </c>
      <c r="F115" s="4">
        <v>806.0</v>
      </c>
      <c r="G115" s="4">
        <v>1.177</v>
      </c>
    </row>
    <row r="116">
      <c r="A116" s="4">
        <v>2014.0</v>
      </c>
      <c r="B116" s="5" t="s">
        <v>18</v>
      </c>
      <c r="C116" s="5" t="s">
        <v>16</v>
      </c>
      <c r="D116" s="4">
        <v>2.0</v>
      </c>
      <c r="E116" s="4">
        <v>1.0</v>
      </c>
      <c r="F116" s="4">
        <v>10.0</v>
      </c>
      <c r="G116" s="4">
        <v>13.0</v>
      </c>
    </row>
    <row r="117">
      <c r="A117" s="4">
        <v>2014.0</v>
      </c>
      <c r="B117" s="5" t="s">
        <v>18</v>
      </c>
      <c r="C117" s="5" t="s">
        <v>19</v>
      </c>
      <c r="D117" s="4">
        <v>12.0</v>
      </c>
      <c r="E117" s="4">
        <v>12.0</v>
      </c>
      <c r="F117" s="4">
        <v>65.0</v>
      </c>
      <c r="G117" s="4">
        <v>89.0</v>
      </c>
    </row>
    <row r="118">
      <c r="A118" s="4">
        <v>2014.0</v>
      </c>
      <c r="B118" s="5" t="s">
        <v>18</v>
      </c>
      <c r="C118" s="5" t="s">
        <v>20</v>
      </c>
      <c r="D118" s="4">
        <v>15.0</v>
      </c>
      <c r="E118" s="4">
        <v>6.0</v>
      </c>
      <c r="F118" s="4">
        <v>27.0</v>
      </c>
      <c r="G118" s="4">
        <v>48.0</v>
      </c>
    </row>
    <row r="119">
      <c r="A119" s="4">
        <v>2014.0</v>
      </c>
      <c r="B119" s="5" t="s">
        <v>18</v>
      </c>
      <c r="C119" s="5" t="s">
        <v>22</v>
      </c>
      <c r="D119" s="4">
        <v>5.0</v>
      </c>
      <c r="E119" s="4">
        <v>7.0</v>
      </c>
      <c r="F119" s="4">
        <v>24.0</v>
      </c>
      <c r="G119" s="4">
        <v>36.0</v>
      </c>
    </row>
    <row r="120">
      <c r="A120" s="4">
        <v>2014.0</v>
      </c>
      <c r="B120" s="5" t="s">
        <v>18</v>
      </c>
      <c r="C120" s="5" t="s">
        <v>21</v>
      </c>
      <c r="D120" s="4">
        <v>0.0</v>
      </c>
      <c r="E120" s="4">
        <v>1.0</v>
      </c>
      <c r="F120" s="4">
        <v>2.0</v>
      </c>
      <c r="G120" s="4">
        <v>3.0</v>
      </c>
    </row>
    <row r="121">
      <c r="A121" s="4">
        <v>2014.0</v>
      </c>
      <c r="B121" s="5" t="s">
        <v>18</v>
      </c>
      <c r="C121" s="5" t="s">
        <v>8</v>
      </c>
      <c r="D121" s="4">
        <v>0.0</v>
      </c>
      <c r="E121" s="4">
        <v>0.0</v>
      </c>
      <c r="F121" s="4">
        <v>0.0</v>
      </c>
      <c r="G121" s="4">
        <v>0.0</v>
      </c>
    </row>
    <row r="122">
      <c r="A122" s="4">
        <v>2014.0</v>
      </c>
      <c r="B122" s="5" t="s">
        <v>18</v>
      </c>
      <c r="C122" s="5" t="s">
        <v>7</v>
      </c>
      <c r="D122" s="4">
        <v>0.0</v>
      </c>
      <c r="E122" s="4">
        <v>1.0</v>
      </c>
      <c r="F122" s="4">
        <v>3.0</v>
      </c>
      <c r="G122" s="4">
        <v>4.0</v>
      </c>
    </row>
    <row r="123">
      <c r="A123" s="4">
        <v>2014.0</v>
      </c>
      <c r="B123" s="5" t="s">
        <v>18</v>
      </c>
      <c r="C123" s="5" t="s">
        <v>17</v>
      </c>
      <c r="D123" s="4">
        <v>2.0</v>
      </c>
      <c r="E123" s="4">
        <v>2.0</v>
      </c>
      <c r="F123" s="4">
        <v>16.0</v>
      </c>
      <c r="G123" s="4">
        <v>20.0</v>
      </c>
    </row>
    <row r="124">
      <c r="A124" s="4">
        <v>2014.0</v>
      </c>
      <c r="B124" s="5" t="s">
        <v>18</v>
      </c>
      <c r="C124" s="5" t="s">
        <v>10</v>
      </c>
      <c r="D124" s="4">
        <v>966.0</v>
      </c>
      <c r="E124" s="4">
        <v>846.0</v>
      </c>
      <c r="F124" s="4">
        <v>3.158</v>
      </c>
      <c r="G124" s="4">
        <v>4.97</v>
      </c>
    </row>
    <row r="125">
      <c r="A125" s="4">
        <v>2014.0</v>
      </c>
      <c r="B125" s="5" t="s">
        <v>18</v>
      </c>
      <c r="C125" s="5" t="s">
        <v>12</v>
      </c>
      <c r="D125" s="4">
        <v>2.0</v>
      </c>
      <c r="E125" s="4">
        <v>2.0</v>
      </c>
      <c r="F125" s="4">
        <v>17.0</v>
      </c>
      <c r="G125" s="4">
        <v>21.0</v>
      </c>
    </row>
    <row r="126">
      <c r="A126" s="4">
        <v>2014.0</v>
      </c>
      <c r="B126" s="5" t="s">
        <v>18</v>
      </c>
      <c r="C126" s="5" t="s">
        <v>23</v>
      </c>
      <c r="D126" s="4">
        <v>0.0</v>
      </c>
      <c r="E126" s="4">
        <v>0.0</v>
      </c>
      <c r="F126" s="4">
        <v>4.0</v>
      </c>
      <c r="G126" s="4">
        <v>4.0</v>
      </c>
    </row>
    <row r="127">
      <c r="A127" s="4">
        <v>2014.0</v>
      </c>
      <c r="B127" s="5" t="s">
        <v>18</v>
      </c>
      <c r="C127" s="5" t="s">
        <v>9</v>
      </c>
      <c r="D127" s="4">
        <v>3.0</v>
      </c>
      <c r="E127" s="4">
        <v>2.0</v>
      </c>
      <c r="F127" s="4">
        <v>14.0</v>
      </c>
      <c r="G127" s="4">
        <v>19.0</v>
      </c>
    </row>
    <row r="128">
      <c r="A128" s="4">
        <v>2014.0</v>
      </c>
      <c r="B128" s="5" t="s">
        <v>25</v>
      </c>
      <c r="C128" s="5" t="s">
        <v>14</v>
      </c>
      <c r="D128" s="4">
        <v>1.011</v>
      </c>
      <c r="E128" s="4">
        <v>885.0</v>
      </c>
      <c r="F128" s="4">
        <v>3.539</v>
      </c>
      <c r="G128" s="4">
        <v>5.435</v>
      </c>
    </row>
    <row r="129">
      <c r="A129" s="4">
        <v>2014.0</v>
      </c>
      <c r="B129" s="5" t="s">
        <v>25</v>
      </c>
      <c r="C129" s="5" t="s">
        <v>15</v>
      </c>
      <c r="D129" s="4">
        <v>228.0</v>
      </c>
      <c r="E129" s="4">
        <v>211.0</v>
      </c>
      <c r="F129" s="4">
        <v>894.0</v>
      </c>
      <c r="G129" s="4">
        <v>1.333</v>
      </c>
    </row>
    <row r="130">
      <c r="A130" s="4">
        <v>2014.0</v>
      </c>
      <c r="B130" s="5" t="s">
        <v>25</v>
      </c>
      <c r="C130" s="5" t="s">
        <v>16</v>
      </c>
      <c r="D130" s="4">
        <v>2.0</v>
      </c>
      <c r="E130" s="4">
        <v>1.0</v>
      </c>
      <c r="F130" s="4">
        <v>10.0</v>
      </c>
      <c r="G130" s="4">
        <v>13.0</v>
      </c>
    </row>
    <row r="131">
      <c r="A131" s="4">
        <v>2014.0</v>
      </c>
      <c r="B131" s="5" t="s">
        <v>25</v>
      </c>
      <c r="C131" s="5" t="s">
        <v>19</v>
      </c>
      <c r="D131" s="4">
        <v>14.0</v>
      </c>
      <c r="E131" s="4">
        <v>15.0</v>
      </c>
      <c r="F131" s="4">
        <v>77.0</v>
      </c>
      <c r="G131" s="4">
        <v>106.0</v>
      </c>
    </row>
    <row r="132">
      <c r="A132" s="4">
        <v>2014.0</v>
      </c>
      <c r="B132" s="5" t="s">
        <v>25</v>
      </c>
      <c r="C132" s="5" t="s">
        <v>20</v>
      </c>
      <c r="D132" s="4">
        <v>14.0</v>
      </c>
      <c r="E132" s="4">
        <v>8.0</v>
      </c>
      <c r="F132" s="4">
        <v>22.0</v>
      </c>
      <c r="G132" s="4">
        <v>44.0</v>
      </c>
    </row>
    <row r="133">
      <c r="A133" s="4">
        <v>2014.0</v>
      </c>
      <c r="B133" s="5" t="s">
        <v>25</v>
      </c>
      <c r="C133" s="5" t="s">
        <v>22</v>
      </c>
      <c r="D133" s="4">
        <v>4.0</v>
      </c>
      <c r="E133" s="4">
        <v>5.0</v>
      </c>
      <c r="F133" s="4">
        <v>26.0</v>
      </c>
      <c r="G133" s="4">
        <v>35.0</v>
      </c>
    </row>
    <row r="134">
      <c r="A134" s="4">
        <v>2014.0</v>
      </c>
      <c r="B134" s="5" t="s">
        <v>25</v>
      </c>
      <c r="C134" s="5" t="s">
        <v>21</v>
      </c>
      <c r="D134" s="4">
        <v>1.0</v>
      </c>
      <c r="E134" s="4">
        <v>0.0</v>
      </c>
      <c r="F134" s="4">
        <v>3.0</v>
      </c>
      <c r="G134" s="4">
        <v>4.0</v>
      </c>
    </row>
    <row r="135">
      <c r="A135" s="4">
        <v>2014.0</v>
      </c>
      <c r="B135" s="5" t="s">
        <v>25</v>
      </c>
      <c r="C135" s="5" t="s">
        <v>8</v>
      </c>
      <c r="D135" s="4">
        <v>0.0</v>
      </c>
      <c r="E135" s="4">
        <v>0.0</v>
      </c>
      <c r="F135" s="4">
        <v>0.0</v>
      </c>
      <c r="G135" s="4">
        <v>0.0</v>
      </c>
    </row>
    <row r="136">
      <c r="A136" s="4">
        <v>2014.0</v>
      </c>
      <c r="B136" s="5" t="s">
        <v>25</v>
      </c>
      <c r="C136" s="5" t="s">
        <v>7</v>
      </c>
      <c r="D136" s="4">
        <v>3.0</v>
      </c>
      <c r="E136" s="4">
        <v>1.0</v>
      </c>
      <c r="F136" s="4">
        <v>5.0</v>
      </c>
      <c r="G136" s="4">
        <v>9.0</v>
      </c>
    </row>
    <row r="137">
      <c r="A137" s="4">
        <v>2014.0</v>
      </c>
      <c r="B137" s="5" t="s">
        <v>25</v>
      </c>
      <c r="C137" s="5" t="s">
        <v>17</v>
      </c>
      <c r="D137" s="4">
        <v>0.0</v>
      </c>
      <c r="E137" s="4">
        <v>3.0</v>
      </c>
      <c r="F137" s="4">
        <v>19.0</v>
      </c>
      <c r="G137" s="4">
        <v>22.0</v>
      </c>
    </row>
    <row r="138">
      <c r="A138" s="4">
        <v>2014.0</v>
      </c>
      <c r="B138" s="5" t="s">
        <v>25</v>
      </c>
      <c r="C138" s="5" t="s">
        <v>10</v>
      </c>
      <c r="D138" s="4">
        <v>1.073</v>
      </c>
      <c r="E138" s="4">
        <v>927.0</v>
      </c>
      <c r="F138" s="4">
        <v>3.536</v>
      </c>
      <c r="G138" s="4">
        <v>5.536</v>
      </c>
    </row>
    <row r="139">
      <c r="A139" s="4">
        <v>2014.0</v>
      </c>
      <c r="B139" s="5" t="s">
        <v>25</v>
      </c>
      <c r="C139" s="5" t="s">
        <v>12</v>
      </c>
      <c r="D139" s="4">
        <v>6.0</v>
      </c>
      <c r="E139" s="4">
        <v>4.0</v>
      </c>
      <c r="F139" s="4">
        <v>21.0</v>
      </c>
      <c r="G139" s="4">
        <v>31.0</v>
      </c>
    </row>
    <row r="140">
      <c r="A140" s="4">
        <v>2014.0</v>
      </c>
      <c r="B140" s="5" t="s">
        <v>25</v>
      </c>
      <c r="C140" s="5" t="s">
        <v>23</v>
      </c>
      <c r="D140" s="4">
        <v>0.0</v>
      </c>
      <c r="E140" s="4">
        <v>1.0</v>
      </c>
      <c r="F140" s="4">
        <v>3.0</v>
      </c>
      <c r="G140" s="4">
        <v>4.0</v>
      </c>
    </row>
    <row r="141">
      <c r="A141" s="4">
        <v>2014.0</v>
      </c>
      <c r="B141" s="5" t="s">
        <v>25</v>
      </c>
      <c r="C141" s="5" t="s">
        <v>9</v>
      </c>
      <c r="D141" s="4">
        <v>2.0</v>
      </c>
      <c r="E141" s="4">
        <v>3.0</v>
      </c>
      <c r="F141" s="4">
        <v>15.0</v>
      </c>
      <c r="G141" s="4">
        <v>20.0</v>
      </c>
    </row>
    <row r="142">
      <c r="A142" s="4">
        <v>2014.0</v>
      </c>
      <c r="B142" s="5" t="s">
        <v>27</v>
      </c>
      <c r="C142" s="5" t="s">
        <v>14</v>
      </c>
      <c r="D142" s="4">
        <v>932.0</v>
      </c>
      <c r="E142" s="4">
        <v>836.0</v>
      </c>
      <c r="F142" s="4">
        <v>3.316</v>
      </c>
      <c r="G142" s="4">
        <v>5.084</v>
      </c>
    </row>
    <row r="143">
      <c r="A143" s="4">
        <v>2014.0</v>
      </c>
      <c r="B143" s="5" t="s">
        <v>27</v>
      </c>
      <c r="C143" s="5" t="s">
        <v>15</v>
      </c>
      <c r="D143" s="4">
        <v>199.0</v>
      </c>
      <c r="E143" s="4">
        <v>165.0</v>
      </c>
      <c r="F143" s="4">
        <v>752.0</v>
      </c>
      <c r="G143" s="4">
        <v>1.116</v>
      </c>
    </row>
    <row r="144">
      <c r="A144" s="4">
        <v>2014.0</v>
      </c>
      <c r="B144" s="5" t="s">
        <v>27</v>
      </c>
      <c r="C144" s="5" t="s">
        <v>16</v>
      </c>
      <c r="D144" s="4">
        <v>1.0</v>
      </c>
      <c r="E144" s="4">
        <v>0.0</v>
      </c>
      <c r="F144" s="4">
        <v>8.0</v>
      </c>
      <c r="G144" s="4">
        <v>9.0</v>
      </c>
    </row>
    <row r="145">
      <c r="A145" s="4">
        <v>2014.0</v>
      </c>
      <c r="B145" s="5" t="s">
        <v>27</v>
      </c>
      <c r="C145" s="5" t="s">
        <v>19</v>
      </c>
      <c r="D145" s="4">
        <v>10.0</v>
      </c>
      <c r="E145" s="4">
        <v>12.0</v>
      </c>
      <c r="F145" s="4">
        <v>65.0</v>
      </c>
      <c r="G145" s="4">
        <v>87.0</v>
      </c>
    </row>
    <row r="146">
      <c r="A146" s="4">
        <v>2014.0</v>
      </c>
      <c r="B146" s="5" t="s">
        <v>27</v>
      </c>
      <c r="C146" s="5" t="s">
        <v>20</v>
      </c>
      <c r="D146" s="4">
        <v>12.0</v>
      </c>
      <c r="E146" s="4">
        <v>7.0</v>
      </c>
      <c r="F146" s="4">
        <v>24.0</v>
      </c>
      <c r="G146" s="4">
        <v>43.0</v>
      </c>
    </row>
    <row r="147">
      <c r="A147" s="4">
        <v>2014.0</v>
      </c>
      <c r="B147" s="5" t="s">
        <v>27</v>
      </c>
      <c r="C147" s="5" t="s">
        <v>22</v>
      </c>
      <c r="D147" s="4">
        <v>3.0</v>
      </c>
      <c r="E147" s="4">
        <v>7.0</v>
      </c>
      <c r="F147" s="4">
        <v>21.0</v>
      </c>
      <c r="G147" s="4">
        <v>31.0</v>
      </c>
    </row>
    <row r="148">
      <c r="A148" s="4">
        <v>2014.0</v>
      </c>
      <c r="B148" s="5" t="s">
        <v>27</v>
      </c>
      <c r="C148" s="5" t="s">
        <v>21</v>
      </c>
      <c r="D148" s="4">
        <v>0.0</v>
      </c>
      <c r="E148" s="4">
        <v>0.0</v>
      </c>
      <c r="F148" s="4">
        <v>2.0</v>
      </c>
      <c r="G148" s="4">
        <v>2.0</v>
      </c>
    </row>
    <row r="149">
      <c r="A149" s="4">
        <v>2014.0</v>
      </c>
      <c r="B149" s="5" t="s">
        <v>27</v>
      </c>
      <c r="C149" s="5" t="s">
        <v>8</v>
      </c>
      <c r="D149" s="4">
        <v>0.0</v>
      </c>
      <c r="E149" s="4">
        <v>0.0</v>
      </c>
      <c r="F149" s="4">
        <v>0.0</v>
      </c>
      <c r="G149" s="4">
        <v>0.0</v>
      </c>
    </row>
    <row r="150">
      <c r="A150" s="4">
        <v>2014.0</v>
      </c>
      <c r="B150" s="5" t="s">
        <v>27</v>
      </c>
      <c r="C150" s="5" t="s">
        <v>7</v>
      </c>
      <c r="D150" s="4">
        <v>1.0</v>
      </c>
      <c r="E150" s="4">
        <v>1.0</v>
      </c>
      <c r="F150" s="4">
        <v>4.0</v>
      </c>
      <c r="G150" s="4">
        <v>6.0</v>
      </c>
    </row>
    <row r="151">
      <c r="A151" s="4">
        <v>2014.0</v>
      </c>
      <c r="B151" s="5" t="s">
        <v>27</v>
      </c>
      <c r="C151" s="5" t="s">
        <v>17</v>
      </c>
      <c r="D151" s="4">
        <v>1.0</v>
      </c>
      <c r="E151" s="4">
        <v>2.0</v>
      </c>
      <c r="F151" s="4">
        <v>16.0</v>
      </c>
      <c r="G151" s="4">
        <v>19.0</v>
      </c>
    </row>
    <row r="152">
      <c r="A152" s="4">
        <v>2014.0</v>
      </c>
      <c r="B152" s="5" t="s">
        <v>27</v>
      </c>
      <c r="C152" s="5" t="s">
        <v>10</v>
      </c>
      <c r="D152" s="4">
        <v>965.0</v>
      </c>
      <c r="E152" s="4">
        <v>849.0</v>
      </c>
      <c r="F152" s="4">
        <v>3.33</v>
      </c>
      <c r="G152" s="4">
        <v>5.144</v>
      </c>
    </row>
    <row r="153">
      <c r="A153" s="4">
        <v>2014.0</v>
      </c>
      <c r="B153" s="5" t="s">
        <v>27</v>
      </c>
      <c r="C153" s="5" t="s">
        <v>12</v>
      </c>
      <c r="D153" s="4">
        <v>2.0</v>
      </c>
      <c r="E153" s="4">
        <v>3.0</v>
      </c>
      <c r="F153" s="4">
        <v>15.0</v>
      </c>
      <c r="G153" s="4">
        <v>20.0</v>
      </c>
    </row>
    <row r="154">
      <c r="A154" s="4">
        <v>2014.0</v>
      </c>
      <c r="B154" s="5" t="s">
        <v>27</v>
      </c>
      <c r="C154" s="5" t="s">
        <v>23</v>
      </c>
      <c r="D154" s="4">
        <v>0.0</v>
      </c>
      <c r="E154" s="4">
        <v>0.0</v>
      </c>
      <c r="F154" s="4">
        <v>3.0</v>
      </c>
      <c r="G154" s="4">
        <v>3.0</v>
      </c>
    </row>
    <row r="155">
      <c r="A155" s="4">
        <v>2014.0</v>
      </c>
      <c r="B155" s="5" t="s">
        <v>27</v>
      </c>
      <c r="C155" s="5" t="s">
        <v>9</v>
      </c>
      <c r="D155" s="4">
        <v>2.0</v>
      </c>
      <c r="E155" s="4">
        <v>2.0</v>
      </c>
      <c r="F155" s="4">
        <v>13.0</v>
      </c>
      <c r="G155" s="4">
        <v>17.0</v>
      </c>
    </row>
    <row r="156">
      <c r="A156" s="4">
        <v>2014.0</v>
      </c>
      <c r="B156" s="5" t="s">
        <v>29</v>
      </c>
      <c r="C156" s="5" t="s">
        <v>14</v>
      </c>
      <c r="D156" s="4">
        <v>1.032</v>
      </c>
      <c r="E156" s="4">
        <v>947.0</v>
      </c>
      <c r="F156" s="4">
        <v>3.516</v>
      </c>
      <c r="G156" s="4">
        <v>5.495</v>
      </c>
    </row>
    <row r="157">
      <c r="A157" s="4">
        <v>2014.0</v>
      </c>
      <c r="B157" s="5" t="s">
        <v>29</v>
      </c>
      <c r="C157" s="5" t="s">
        <v>15</v>
      </c>
      <c r="D157" s="4">
        <v>214.0</v>
      </c>
      <c r="E157" s="4">
        <v>178.0</v>
      </c>
      <c r="F157" s="4">
        <v>795.0</v>
      </c>
      <c r="G157" s="4">
        <v>1.187</v>
      </c>
    </row>
    <row r="158">
      <c r="A158" s="4">
        <v>2014.0</v>
      </c>
      <c r="B158" s="5" t="s">
        <v>29</v>
      </c>
      <c r="C158" s="5" t="s">
        <v>16</v>
      </c>
      <c r="D158" s="4">
        <v>2.0</v>
      </c>
      <c r="E158" s="4">
        <v>1.0</v>
      </c>
      <c r="F158" s="4">
        <v>9.0</v>
      </c>
      <c r="G158" s="4">
        <v>12.0</v>
      </c>
    </row>
    <row r="159">
      <c r="A159" s="4">
        <v>2014.0</v>
      </c>
      <c r="B159" s="5" t="s">
        <v>29</v>
      </c>
      <c r="C159" s="5" t="s">
        <v>19</v>
      </c>
      <c r="D159" s="4">
        <v>12.0</v>
      </c>
      <c r="E159" s="4">
        <v>13.0</v>
      </c>
      <c r="F159" s="4">
        <v>69.0</v>
      </c>
      <c r="G159" s="4">
        <v>94.0</v>
      </c>
    </row>
    <row r="160">
      <c r="A160" s="4">
        <v>2014.0</v>
      </c>
      <c r="B160" s="5" t="s">
        <v>29</v>
      </c>
      <c r="C160" s="5" t="s">
        <v>20</v>
      </c>
      <c r="D160" s="4">
        <v>11.0</v>
      </c>
      <c r="E160" s="4">
        <v>6.0</v>
      </c>
      <c r="F160" s="4">
        <v>21.0</v>
      </c>
      <c r="G160" s="4">
        <v>38.0</v>
      </c>
    </row>
    <row r="161">
      <c r="A161" s="4">
        <v>2014.0</v>
      </c>
      <c r="B161" s="5" t="s">
        <v>29</v>
      </c>
      <c r="C161" s="5" t="s">
        <v>22</v>
      </c>
      <c r="D161" s="4">
        <v>4.0</v>
      </c>
      <c r="E161" s="4">
        <v>5.0</v>
      </c>
      <c r="F161" s="4">
        <v>19.0</v>
      </c>
      <c r="G161" s="4">
        <v>28.0</v>
      </c>
    </row>
    <row r="162">
      <c r="A162" s="4">
        <v>2014.0</v>
      </c>
      <c r="B162" s="5" t="s">
        <v>29</v>
      </c>
      <c r="C162" s="5" t="s">
        <v>21</v>
      </c>
      <c r="D162" s="4">
        <v>1.0</v>
      </c>
      <c r="E162" s="4">
        <v>0.0</v>
      </c>
      <c r="F162" s="4">
        <v>2.0</v>
      </c>
      <c r="G162" s="4">
        <v>3.0</v>
      </c>
    </row>
    <row r="163">
      <c r="A163" s="4">
        <v>2014.0</v>
      </c>
      <c r="B163" s="5" t="s">
        <v>29</v>
      </c>
      <c r="C163" s="5" t="s">
        <v>8</v>
      </c>
      <c r="D163" s="4">
        <v>0.0</v>
      </c>
      <c r="E163" s="4">
        <v>0.0</v>
      </c>
      <c r="F163" s="4">
        <v>0.0</v>
      </c>
      <c r="G163" s="4">
        <v>0.0</v>
      </c>
    </row>
    <row r="164">
      <c r="A164" s="4">
        <v>2014.0</v>
      </c>
      <c r="B164" s="5" t="s">
        <v>29</v>
      </c>
      <c r="C164" s="5" t="s">
        <v>7</v>
      </c>
      <c r="D164" s="4">
        <v>2.0</v>
      </c>
      <c r="E164" s="4">
        <v>1.0</v>
      </c>
      <c r="F164" s="4">
        <v>6.0</v>
      </c>
      <c r="G164" s="4">
        <v>9.0</v>
      </c>
    </row>
    <row r="165">
      <c r="A165" s="4">
        <v>2014.0</v>
      </c>
      <c r="B165" s="5" t="s">
        <v>29</v>
      </c>
      <c r="C165" s="5" t="s">
        <v>17</v>
      </c>
      <c r="D165" s="4">
        <v>1.0</v>
      </c>
      <c r="E165" s="4">
        <v>2.0</v>
      </c>
      <c r="F165" s="4">
        <v>18.0</v>
      </c>
      <c r="G165" s="4">
        <v>21.0</v>
      </c>
    </row>
    <row r="166">
      <c r="A166" s="4">
        <v>2014.0</v>
      </c>
      <c r="B166" s="5" t="s">
        <v>29</v>
      </c>
      <c r="C166" s="5" t="s">
        <v>10</v>
      </c>
      <c r="D166" s="4">
        <v>1.142</v>
      </c>
      <c r="E166" s="4">
        <v>997.0</v>
      </c>
      <c r="F166" s="4">
        <v>3.758</v>
      </c>
      <c r="G166" s="4">
        <v>5.897</v>
      </c>
    </row>
    <row r="167">
      <c r="A167" s="4">
        <v>2014.0</v>
      </c>
      <c r="B167" s="5" t="s">
        <v>29</v>
      </c>
      <c r="C167" s="5" t="s">
        <v>12</v>
      </c>
      <c r="D167" s="4">
        <v>4.0</v>
      </c>
      <c r="E167" s="4">
        <v>3.0</v>
      </c>
      <c r="F167" s="4">
        <v>18.0</v>
      </c>
      <c r="G167" s="4">
        <v>25.0</v>
      </c>
    </row>
    <row r="168">
      <c r="A168" s="4">
        <v>2014.0</v>
      </c>
      <c r="B168" s="5" t="s">
        <v>29</v>
      </c>
      <c r="C168" s="5" t="s">
        <v>23</v>
      </c>
      <c r="D168" s="4">
        <v>0.0</v>
      </c>
      <c r="E168" s="4">
        <v>0.0</v>
      </c>
      <c r="F168" s="4">
        <v>3.0</v>
      </c>
      <c r="G168" s="4">
        <v>3.0</v>
      </c>
    </row>
    <row r="169">
      <c r="A169" s="4">
        <v>2014.0</v>
      </c>
      <c r="B169" s="5" t="s">
        <v>29</v>
      </c>
      <c r="C169" s="5" t="s">
        <v>9</v>
      </c>
      <c r="D169" s="4">
        <v>3.0</v>
      </c>
      <c r="E169" s="4">
        <v>3.0</v>
      </c>
      <c r="F169" s="4">
        <v>15.0</v>
      </c>
      <c r="G169" s="4">
        <v>21.0</v>
      </c>
    </row>
  </sheetData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2015.0</v>
      </c>
      <c r="B2" s="2" t="s">
        <v>11</v>
      </c>
      <c r="C2" s="2" t="s">
        <v>7</v>
      </c>
      <c r="D2" s="2">
        <v>1.0</v>
      </c>
      <c r="E2" s="2">
        <v>0.0</v>
      </c>
      <c r="F2" s="2">
        <v>0.0</v>
      </c>
      <c r="G2" s="2">
        <v>1.0</v>
      </c>
    </row>
    <row r="3">
      <c r="A3" s="2">
        <v>2015.0</v>
      </c>
      <c r="B3" s="2" t="s">
        <v>11</v>
      </c>
      <c r="C3" s="2" t="s">
        <v>33</v>
      </c>
      <c r="D3" s="2">
        <v>0.0</v>
      </c>
      <c r="E3" s="2">
        <v>0.0</v>
      </c>
      <c r="F3" s="2">
        <v>0.0</v>
      </c>
      <c r="G3" s="2">
        <v>0.0</v>
      </c>
    </row>
    <row r="4">
      <c r="A4" s="2">
        <v>2015.0</v>
      </c>
      <c r="B4" s="2" t="s">
        <v>11</v>
      </c>
      <c r="C4" s="2" t="s">
        <v>8</v>
      </c>
      <c r="D4" s="2">
        <v>0.0</v>
      </c>
      <c r="E4" s="2">
        <v>0.0</v>
      </c>
      <c r="F4" s="2">
        <v>0.0</v>
      </c>
      <c r="G4" s="2">
        <v>0.0</v>
      </c>
    </row>
    <row r="5">
      <c r="A5" s="2">
        <v>2015.0</v>
      </c>
      <c r="B5" s="2" t="s">
        <v>11</v>
      </c>
      <c r="C5" s="2" t="s">
        <v>9</v>
      </c>
      <c r="D5" s="2">
        <v>1.0</v>
      </c>
      <c r="E5" s="2">
        <v>2.0</v>
      </c>
      <c r="F5" s="2">
        <v>14.0</v>
      </c>
      <c r="G5" s="2">
        <v>17.0</v>
      </c>
    </row>
    <row r="6">
      <c r="A6" s="2">
        <v>2015.0</v>
      </c>
      <c r="B6" s="2" t="s">
        <v>11</v>
      </c>
      <c r="C6" s="2" t="s">
        <v>10</v>
      </c>
      <c r="D6" s="2">
        <v>1142.0</v>
      </c>
      <c r="E6" s="2">
        <v>967.0</v>
      </c>
      <c r="F6" s="2">
        <v>3706.0</v>
      </c>
      <c r="G6" s="2">
        <v>5815.0</v>
      </c>
    </row>
    <row r="7">
      <c r="A7" s="2">
        <v>2015.0</v>
      </c>
      <c r="B7" s="2" t="s">
        <v>11</v>
      </c>
      <c r="C7" s="2" t="s">
        <v>12</v>
      </c>
      <c r="D7" s="2">
        <v>4.0</v>
      </c>
      <c r="E7" s="2">
        <v>2.0</v>
      </c>
      <c r="F7" s="2">
        <v>23.0</v>
      </c>
      <c r="G7" s="2">
        <v>29.0</v>
      </c>
    </row>
    <row r="8">
      <c r="A8" s="2">
        <v>2015.0</v>
      </c>
      <c r="B8" s="2" t="s">
        <v>11</v>
      </c>
      <c r="C8" s="2" t="s">
        <v>15</v>
      </c>
      <c r="D8" s="2">
        <v>239.0</v>
      </c>
      <c r="E8" s="2">
        <v>196.0</v>
      </c>
      <c r="F8" s="2">
        <v>823.0</v>
      </c>
      <c r="G8" s="2">
        <v>1258.0</v>
      </c>
    </row>
    <row r="9">
      <c r="A9" s="2">
        <v>2015.0</v>
      </c>
      <c r="B9" s="2" t="s">
        <v>11</v>
      </c>
      <c r="C9" s="2" t="s">
        <v>16</v>
      </c>
      <c r="D9" s="2">
        <v>2.0</v>
      </c>
      <c r="E9" s="2">
        <v>0.0</v>
      </c>
      <c r="F9" s="2">
        <v>6.0</v>
      </c>
      <c r="G9" s="2">
        <v>8.0</v>
      </c>
    </row>
    <row r="10">
      <c r="A10" s="2">
        <v>2015.0</v>
      </c>
      <c r="B10" s="2" t="s">
        <v>11</v>
      </c>
      <c r="C10" s="2" t="s">
        <v>14</v>
      </c>
      <c r="D10" s="2">
        <v>1134.0</v>
      </c>
      <c r="E10" s="2">
        <v>1022.0</v>
      </c>
      <c r="F10" s="2">
        <v>3986.0</v>
      </c>
      <c r="G10" s="2">
        <v>6142.0</v>
      </c>
    </row>
    <row r="11">
      <c r="A11" s="2">
        <v>2015.0</v>
      </c>
      <c r="B11" s="2" t="s">
        <v>11</v>
      </c>
      <c r="C11" s="2" t="s">
        <v>17</v>
      </c>
      <c r="D11" s="2">
        <v>3.0</v>
      </c>
      <c r="E11" s="2">
        <v>5.0</v>
      </c>
      <c r="F11" s="2">
        <v>16.0</v>
      </c>
      <c r="G11" s="2">
        <v>24.0</v>
      </c>
    </row>
    <row r="12">
      <c r="A12" s="2">
        <v>2015.0</v>
      </c>
      <c r="B12" s="2" t="s">
        <v>11</v>
      </c>
      <c r="C12" s="2" t="s">
        <v>19</v>
      </c>
      <c r="D12" s="2">
        <v>16.0</v>
      </c>
      <c r="E12" s="2">
        <v>13.0</v>
      </c>
      <c r="F12" s="2">
        <v>79.0</v>
      </c>
      <c r="G12" s="2">
        <v>108.0</v>
      </c>
    </row>
    <row r="13">
      <c r="A13" s="2">
        <v>2015.0</v>
      </c>
      <c r="B13" s="2" t="s">
        <v>11</v>
      </c>
      <c r="C13" s="2" t="s">
        <v>20</v>
      </c>
      <c r="D13" s="2">
        <v>13.0</v>
      </c>
      <c r="E13" s="2">
        <v>11.0</v>
      </c>
      <c r="F13" s="2">
        <v>26.0</v>
      </c>
      <c r="G13" s="2">
        <v>50.0</v>
      </c>
    </row>
    <row r="14">
      <c r="A14" s="2">
        <v>2015.0</v>
      </c>
      <c r="B14" s="2" t="s">
        <v>11</v>
      </c>
      <c r="C14" s="2" t="s">
        <v>21</v>
      </c>
      <c r="D14" s="2">
        <v>1.0</v>
      </c>
      <c r="E14" s="2">
        <v>1.0</v>
      </c>
      <c r="F14" s="2">
        <v>3.0</v>
      </c>
      <c r="G14" s="2">
        <v>5.0</v>
      </c>
    </row>
    <row r="15">
      <c r="A15" s="2">
        <v>2015.0</v>
      </c>
      <c r="B15" s="2" t="s">
        <v>11</v>
      </c>
      <c r="C15" s="2" t="s">
        <v>22</v>
      </c>
      <c r="D15" s="2">
        <v>3.0</v>
      </c>
      <c r="E15" s="2">
        <v>5.0</v>
      </c>
      <c r="F15" s="2">
        <v>24.0</v>
      </c>
      <c r="G15" s="2">
        <v>32.0</v>
      </c>
    </row>
    <row r="16">
      <c r="A16" s="2">
        <v>2015.0</v>
      </c>
      <c r="B16" s="2" t="s">
        <v>11</v>
      </c>
      <c r="C16" s="2" t="s">
        <v>23</v>
      </c>
      <c r="D16" s="2">
        <v>0.0</v>
      </c>
      <c r="E16" s="2">
        <v>0.0</v>
      </c>
      <c r="F16" s="2">
        <v>3.0</v>
      </c>
      <c r="G16" s="2">
        <v>3.0</v>
      </c>
    </row>
    <row r="17">
      <c r="A17" s="2">
        <v>2015.0</v>
      </c>
      <c r="B17" s="2" t="s">
        <v>24</v>
      </c>
      <c r="C17" s="2" t="s">
        <v>7</v>
      </c>
      <c r="D17" s="2">
        <v>3.0</v>
      </c>
      <c r="E17" s="2">
        <v>1.0</v>
      </c>
      <c r="F17" s="2">
        <v>2.0</v>
      </c>
      <c r="G17" s="2">
        <v>6.0</v>
      </c>
    </row>
    <row r="18">
      <c r="A18" s="2">
        <v>2015.0</v>
      </c>
      <c r="B18" s="2" t="s">
        <v>24</v>
      </c>
      <c r="C18" s="2" t="s">
        <v>33</v>
      </c>
      <c r="D18" s="2">
        <v>0.0</v>
      </c>
      <c r="E18" s="2">
        <v>0.0</v>
      </c>
      <c r="F18" s="2">
        <v>0.0</v>
      </c>
      <c r="G18" s="2">
        <v>0.0</v>
      </c>
    </row>
    <row r="19">
      <c r="A19" s="2">
        <v>2015.0</v>
      </c>
      <c r="B19" s="2" t="s">
        <v>24</v>
      </c>
      <c r="C19" s="2" t="s">
        <v>8</v>
      </c>
      <c r="D19" s="2">
        <v>0.0</v>
      </c>
      <c r="E19" s="2">
        <v>0.0</v>
      </c>
      <c r="F19" s="2">
        <v>0.0</v>
      </c>
      <c r="G19" s="2">
        <v>0.0</v>
      </c>
    </row>
    <row r="20">
      <c r="A20" s="2">
        <v>2015.0</v>
      </c>
      <c r="B20" s="2" t="s">
        <v>24</v>
      </c>
      <c r="C20" s="2" t="s">
        <v>9</v>
      </c>
      <c r="D20" s="2">
        <v>1.0</v>
      </c>
      <c r="E20" s="2">
        <v>2.0</v>
      </c>
      <c r="F20" s="2">
        <v>12.0</v>
      </c>
      <c r="G20" s="2">
        <v>15.0</v>
      </c>
    </row>
    <row r="21">
      <c r="A21" s="2">
        <v>2015.0</v>
      </c>
      <c r="B21" s="2" t="s">
        <v>24</v>
      </c>
      <c r="C21" s="2" t="s">
        <v>10</v>
      </c>
      <c r="D21" s="2">
        <v>974.0</v>
      </c>
      <c r="E21" s="2">
        <v>824.0</v>
      </c>
      <c r="F21" s="2">
        <v>3137.0</v>
      </c>
      <c r="G21" s="2">
        <v>4935.0</v>
      </c>
    </row>
    <row r="22">
      <c r="A22" s="2">
        <v>2015.0</v>
      </c>
      <c r="B22" s="2" t="s">
        <v>24</v>
      </c>
      <c r="C22" s="2" t="s">
        <v>12</v>
      </c>
      <c r="D22" s="2">
        <v>3.0</v>
      </c>
      <c r="E22" s="2">
        <v>2.0</v>
      </c>
      <c r="F22" s="2">
        <v>19.0</v>
      </c>
      <c r="G22" s="2">
        <v>24.0</v>
      </c>
    </row>
    <row r="23">
      <c r="A23" s="2">
        <v>2015.0</v>
      </c>
      <c r="B23" s="2" t="s">
        <v>24</v>
      </c>
      <c r="C23" s="2" t="s">
        <v>15</v>
      </c>
      <c r="D23" s="2">
        <v>185.0</v>
      </c>
      <c r="E23" s="2">
        <v>174.0</v>
      </c>
      <c r="F23" s="2">
        <v>722.0</v>
      </c>
      <c r="G23" s="2">
        <v>1081.0</v>
      </c>
    </row>
    <row r="24">
      <c r="A24" s="2">
        <v>2015.0</v>
      </c>
      <c r="B24" s="2" t="s">
        <v>24</v>
      </c>
      <c r="C24" s="2" t="s">
        <v>16</v>
      </c>
      <c r="D24" s="2">
        <v>1.0</v>
      </c>
      <c r="E24" s="2">
        <v>1.0</v>
      </c>
      <c r="F24" s="2">
        <v>8.0</v>
      </c>
      <c r="G24" s="2">
        <v>10.0</v>
      </c>
    </row>
    <row r="25">
      <c r="A25" s="2">
        <v>2015.0</v>
      </c>
      <c r="B25" s="2" t="s">
        <v>24</v>
      </c>
      <c r="C25" s="2" t="s">
        <v>14</v>
      </c>
      <c r="D25" s="2">
        <v>895.0</v>
      </c>
      <c r="E25" s="2">
        <v>811.0</v>
      </c>
      <c r="F25" s="2">
        <v>3350.0</v>
      </c>
      <c r="G25" s="2">
        <v>5056.0</v>
      </c>
    </row>
    <row r="26">
      <c r="A26" s="2">
        <v>2015.0</v>
      </c>
      <c r="B26" s="2" t="s">
        <v>24</v>
      </c>
      <c r="C26" s="2" t="s">
        <v>17</v>
      </c>
      <c r="D26" s="2">
        <v>1.0</v>
      </c>
      <c r="E26" s="2">
        <v>2.0</v>
      </c>
      <c r="F26" s="2">
        <v>13.0</v>
      </c>
      <c r="G26" s="2">
        <v>16.0</v>
      </c>
    </row>
    <row r="27">
      <c r="A27" s="2">
        <v>2015.0</v>
      </c>
      <c r="B27" s="2" t="s">
        <v>24</v>
      </c>
      <c r="C27" s="2" t="s">
        <v>19</v>
      </c>
      <c r="D27" s="2">
        <v>12.0</v>
      </c>
      <c r="E27" s="2">
        <v>12.0</v>
      </c>
      <c r="F27" s="2">
        <v>63.0</v>
      </c>
      <c r="G27" s="2">
        <v>87.0</v>
      </c>
    </row>
    <row r="28">
      <c r="A28" s="2">
        <v>2015.0</v>
      </c>
      <c r="B28" s="2" t="s">
        <v>24</v>
      </c>
      <c r="C28" s="2" t="s">
        <v>20</v>
      </c>
      <c r="D28" s="2">
        <v>10.0</v>
      </c>
      <c r="E28" s="2">
        <v>8.0</v>
      </c>
      <c r="F28" s="2">
        <v>21.0</v>
      </c>
      <c r="G28" s="2">
        <v>39.0</v>
      </c>
    </row>
    <row r="29">
      <c r="A29" s="2">
        <v>2015.0</v>
      </c>
      <c r="B29" s="2" t="s">
        <v>24</v>
      </c>
      <c r="C29" s="2" t="s">
        <v>21</v>
      </c>
      <c r="D29" s="2">
        <v>0.0</v>
      </c>
      <c r="E29" s="2">
        <v>0.0</v>
      </c>
      <c r="F29" s="2">
        <v>1.0</v>
      </c>
      <c r="G29" s="2">
        <v>1.0</v>
      </c>
    </row>
    <row r="30">
      <c r="A30" s="2">
        <v>2015.0</v>
      </c>
      <c r="B30" s="2" t="s">
        <v>24</v>
      </c>
      <c r="C30" s="2" t="s">
        <v>22</v>
      </c>
      <c r="D30" s="2">
        <v>5.0</v>
      </c>
      <c r="E30" s="2">
        <v>5.0</v>
      </c>
      <c r="F30" s="2">
        <v>21.0</v>
      </c>
      <c r="G30" s="2">
        <v>31.0</v>
      </c>
    </row>
    <row r="31">
      <c r="A31" s="2">
        <v>2015.0</v>
      </c>
      <c r="B31" s="2" t="s">
        <v>24</v>
      </c>
      <c r="C31" s="2" t="s">
        <v>23</v>
      </c>
      <c r="D31" s="2">
        <v>0.0</v>
      </c>
      <c r="E31" s="2">
        <v>0.0</v>
      </c>
      <c r="F31" s="2">
        <v>2.0</v>
      </c>
      <c r="G31" s="2">
        <v>2.0</v>
      </c>
    </row>
    <row r="32">
      <c r="A32" s="2">
        <v>2015.0</v>
      </c>
      <c r="B32" s="2" t="s">
        <v>26</v>
      </c>
      <c r="C32" s="2" t="s">
        <v>7</v>
      </c>
      <c r="D32" s="2">
        <v>0.0</v>
      </c>
      <c r="E32" s="2">
        <v>1.0</v>
      </c>
      <c r="F32" s="2">
        <v>5.0</v>
      </c>
      <c r="G32" s="2">
        <v>6.0</v>
      </c>
    </row>
    <row r="33">
      <c r="A33" s="2">
        <v>2015.0</v>
      </c>
      <c r="B33" s="2" t="s">
        <v>26</v>
      </c>
      <c r="C33" s="2" t="s">
        <v>33</v>
      </c>
      <c r="D33" s="2">
        <v>1.0</v>
      </c>
      <c r="E33" s="2">
        <v>0.0</v>
      </c>
      <c r="F33" s="2">
        <v>0.0</v>
      </c>
      <c r="G33" s="2">
        <v>1.0</v>
      </c>
    </row>
    <row r="34">
      <c r="A34" s="2">
        <v>2015.0</v>
      </c>
      <c r="B34" s="2" t="s">
        <v>26</v>
      </c>
      <c r="C34" s="2" t="s">
        <v>8</v>
      </c>
      <c r="D34" s="2">
        <v>0.0</v>
      </c>
      <c r="E34" s="2">
        <v>0.0</v>
      </c>
      <c r="F34" s="2">
        <v>0.0</v>
      </c>
      <c r="G34" s="2">
        <v>0.0</v>
      </c>
    </row>
    <row r="35">
      <c r="A35" s="2">
        <v>2015.0</v>
      </c>
      <c r="B35" s="2" t="s">
        <v>26</v>
      </c>
      <c r="C35" s="2" t="s">
        <v>9</v>
      </c>
      <c r="D35" s="2">
        <v>1.0</v>
      </c>
      <c r="E35" s="2">
        <v>3.0</v>
      </c>
      <c r="F35" s="2">
        <v>16.0</v>
      </c>
      <c r="G35" s="2">
        <v>20.0</v>
      </c>
    </row>
    <row r="36">
      <c r="A36" s="2">
        <v>2015.0</v>
      </c>
      <c r="B36" s="2" t="s">
        <v>26</v>
      </c>
      <c r="C36" s="2" t="s">
        <v>10</v>
      </c>
      <c r="D36" s="2">
        <v>1024.0</v>
      </c>
      <c r="E36" s="2">
        <v>892.0</v>
      </c>
      <c r="F36" s="2">
        <v>3291.0</v>
      </c>
      <c r="G36" s="2">
        <v>5207.0</v>
      </c>
    </row>
    <row r="37">
      <c r="A37" s="2">
        <v>2015.0</v>
      </c>
      <c r="B37" s="2" t="s">
        <v>26</v>
      </c>
      <c r="C37" s="2" t="s">
        <v>12</v>
      </c>
      <c r="D37" s="2">
        <v>5.0</v>
      </c>
      <c r="E37" s="2">
        <v>4.0</v>
      </c>
      <c r="F37" s="2">
        <v>24.0</v>
      </c>
      <c r="G37" s="2">
        <v>33.0</v>
      </c>
    </row>
    <row r="38">
      <c r="A38" s="2">
        <v>2015.0</v>
      </c>
      <c r="B38" s="2" t="s">
        <v>26</v>
      </c>
      <c r="C38" s="2" t="s">
        <v>15</v>
      </c>
      <c r="D38" s="2">
        <v>214.0</v>
      </c>
      <c r="E38" s="2">
        <v>198.0</v>
      </c>
      <c r="F38" s="2">
        <v>832.0</v>
      </c>
      <c r="G38" s="2">
        <v>1244.0</v>
      </c>
    </row>
    <row r="39">
      <c r="A39" s="2">
        <v>2015.0</v>
      </c>
      <c r="B39" s="2" t="s">
        <v>26</v>
      </c>
      <c r="C39" s="2" t="s">
        <v>16</v>
      </c>
      <c r="D39" s="2">
        <v>2.0</v>
      </c>
      <c r="E39" s="2">
        <v>1.0</v>
      </c>
      <c r="F39" s="2">
        <v>10.0</v>
      </c>
      <c r="G39" s="2">
        <v>13.0</v>
      </c>
    </row>
    <row r="40">
      <c r="A40" s="2">
        <v>2015.0</v>
      </c>
      <c r="B40" s="2" t="s">
        <v>26</v>
      </c>
      <c r="C40" s="2" t="s">
        <v>14</v>
      </c>
      <c r="D40" s="2">
        <v>1018.0</v>
      </c>
      <c r="E40" s="2">
        <v>913.0</v>
      </c>
      <c r="F40" s="2">
        <v>3418.0</v>
      </c>
      <c r="G40" s="2">
        <v>5349.0</v>
      </c>
    </row>
    <row r="41">
      <c r="A41" s="2">
        <v>2015.0</v>
      </c>
      <c r="B41" s="2" t="s">
        <v>26</v>
      </c>
      <c r="C41" s="2" t="s">
        <v>17</v>
      </c>
      <c r="D41" s="2">
        <v>2.0</v>
      </c>
      <c r="E41" s="2">
        <v>3.0</v>
      </c>
      <c r="F41" s="2">
        <v>18.0</v>
      </c>
      <c r="G41" s="2">
        <v>23.0</v>
      </c>
    </row>
    <row r="42">
      <c r="A42" s="2">
        <v>2015.0</v>
      </c>
      <c r="B42" s="2" t="s">
        <v>26</v>
      </c>
      <c r="C42" s="2" t="s">
        <v>19</v>
      </c>
      <c r="D42" s="2">
        <v>14.0</v>
      </c>
      <c r="E42" s="2">
        <v>13.0</v>
      </c>
      <c r="F42" s="2">
        <v>72.0</v>
      </c>
      <c r="G42" s="2">
        <v>99.0</v>
      </c>
    </row>
    <row r="43">
      <c r="A43" s="2">
        <v>2015.0</v>
      </c>
      <c r="B43" s="2" t="s">
        <v>26</v>
      </c>
      <c r="C43" s="2" t="s">
        <v>20</v>
      </c>
      <c r="D43" s="2">
        <v>12.0</v>
      </c>
      <c r="E43" s="2">
        <v>9.0</v>
      </c>
      <c r="F43" s="2">
        <v>24.0</v>
      </c>
      <c r="G43" s="2">
        <v>45.0</v>
      </c>
    </row>
    <row r="44">
      <c r="A44" s="2">
        <v>2015.0</v>
      </c>
      <c r="B44" s="2" t="s">
        <v>26</v>
      </c>
      <c r="C44" s="2" t="s">
        <v>21</v>
      </c>
      <c r="D44" s="2">
        <v>1.0</v>
      </c>
      <c r="E44" s="2">
        <v>0.0</v>
      </c>
      <c r="F44" s="2">
        <v>2.0</v>
      </c>
      <c r="G44" s="2">
        <v>3.0</v>
      </c>
    </row>
    <row r="45">
      <c r="A45" s="2">
        <v>2015.0</v>
      </c>
      <c r="B45" s="2" t="s">
        <v>26</v>
      </c>
      <c r="C45" s="2" t="s">
        <v>22</v>
      </c>
      <c r="D45" s="2">
        <v>4.0</v>
      </c>
      <c r="E45" s="2">
        <v>6.0</v>
      </c>
      <c r="F45" s="2">
        <v>22.0</v>
      </c>
      <c r="G45" s="2">
        <v>32.0</v>
      </c>
    </row>
    <row r="46">
      <c r="A46" s="2">
        <v>2015.0</v>
      </c>
      <c r="B46" s="2" t="s">
        <v>26</v>
      </c>
      <c r="C46" s="2" t="s">
        <v>23</v>
      </c>
      <c r="D46" s="2">
        <v>0.0</v>
      </c>
      <c r="E46" s="2">
        <v>1.0</v>
      </c>
      <c r="F46" s="2">
        <v>3.0</v>
      </c>
      <c r="G46" s="2">
        <v>4.0</v>
      </c>
    </row>
    <row r="47">
      <c r="A47" s="2">
        <v>2015.0</v>
      </c>
      <c r="B47" s="2" t="s">
        <v>13</v>
      </c>
      <c r="C47" s="2" t="s">
        <v>7</v>
      </c>
      <c r="D47" s="2">
        <v>1.0</v>
      </c>
      <c r="E47" s="2">
        <v>0.0</v>
      </c>
      <c r="F47" s="2">
        <v>3.0</v>
      </c>
      <c r="G47" s="2">
        <v>4.0</v>
      </c>
    </row>
    <row r="48">
      <c r="A48" s="2">
        <v>2015.0</v>
      </c>
      <c r="B48" s="2" t="s">
        <v>13</v>
      </c>
      <c r="C48" s="2" t="s">
        <v>33</v>
      </c>
      <c r="D48" s="2">
        <v>1.0</v>
      </c>
      <c r="E48" s="2">
        <v>0.0</v>
      </c>
      <c r="F48" s="2">
        <v>1.0</v>
      </c>
      <c r="G48" s="2">
        <v>2.0</v>
      </c>
    </row>
    <row r="49">
      <c r="A49" s="2">
        <v>2015.0</v>
      </c>
      <c r="B49" s="2" t="s">
        <v>13</v>
      </c>
      <c r="C49" s="2" t="s">
        <v>8</v>
      </c>
      <c r="D49" s="2">
        <v>0.0</v>
      </c>
      <c r="E49" s="2">
        <v>0.0</v>
      </c>
      <c r="F49" s="2">
        <v>0.0</v>
      </c>
      <c r="G49" s="2">
        <v>0.0</v>
      </c>
    </row>
    <row r="50">
      <c r="A50" s="2">
        <v>2015.0</v>
      </c>
      <c r="B50" s="2" t="s">
        <v>13</v>
      </c>
      <c r="C50" s="2" t="s">
        <v>9</v>
      </c>
      <c r="D50" s="2">
        <v>1.0</v>
      </c>
      <c r="E50" s="2">
        <v>2.0</v>
      </c>
      <c r="F50" s="2">
        <v>11.0</v>
      </c>
      <c r="G50" s="2">
        <v>14.0</v>
      </c>
    </row>
    <row r="51">
      <c r="A51" s="2">
        <v>2015.0</v>
      </c>
      <c r="B51" s="2" t="s">
        <v>13</v>
      </c>
      <c r="C51" s="2" t="s">
        <v>10</v>
      </c>
      <c r="D51" s="2">
        <v>935.0</v>
      </c>
      <c r="E51" s="2">
        <v>811.0</v>
      </c>
      <c r="F51" s="2">
        <v>3105.0</v>
      </c>
      <c r="G51" s="2">
        <v>4851.0</v>
      </c>
    </row>
    <row r="52">
      <c r="A52" s="2">
        <v>2015.0</v>
      </c>
      <c r="B52" s="2" t="s">
        <v>13</v>
      </c>
      <c r="C52" s="2" t="s">
        <v>12</v>
      </c>
      <c r="D52" s="2">
        <v>2.0</v>
      </c>
      <c r="E52" s="2">
        <v>3.0</v>
      </c>
      <c r="F52" s="2">
        <v>18.0</v>
      </c>
      <c r="G52" s="2">
        <v>23.0</v>
      </c>
    </row>
    <row r="53">
      <c r="A53" s="2">
        <v>2015.0</v>
      </c>
      <c r="B53" s="2" t="s">
        <v>13</v>
      </c>
      <c r="C53" s="2" t="s">
        <v>15</v>
      </c>
      <c r="D53" s="2">
        <v>184.0</v>
      </c>
      <c r="E53" s="2">
        <v>162.0</v>
      </c>
      <c r="F53" s="2">
        <v>711.0</v>
      </c>
      <c r="G53" s="2">
        <v>1057.0</v>
      </c>
    </row>
    <row r="54">
      <c r="A54" s="2">
        <v>2015.0</v>
      </c>
      <c r="B54" s="2" t="s">
        <v>13</v>
      </c>
      <c r="C54" s="2" t="s">
        <v>16</v>
      </c>
      <c r="D54" s="2">
        <v>1.0</v>
      </c>
      <c r="E54" s="2">
        <v>0.0</v>
      </c>
      <c r="F54" s="2">
        <v>6.0</v>
      </c>
      <c r="G54" s="2">
        <v>7.0</v>
      </c>
    </row>
    <row r="55">
      <c r="A55" s="2">
        <v>2015.0</v>
      </c>
      <c r="B55" s="2" t="s">
        <v>13</v>
      </c>
      <c r="C55" s="2" t="s">
        <v>14</v>
      </c>
      <c r="D55" s="2">
        <v>896.0</v>
      </c>
      <c r="E55" s="2">
        <v>804.0</v>
      </c>
      <c r="F55" s="2">
        <v>3118.0</v>
      </c>
      <c r="G55" s="2">
        <v>4818.0</v>
      </c>
    </row>
    <row r="56">
      <c r="A56" s="2">
        <v>2015.0</v>
      </c>
      <c r="B56" s="2" t="s">
        <v>13</v>
      </c>
      <c r="C56" s="2" t="s">
        <v>17</v>
      </c>
      <c r="D56" s="2">
        <v>1.0</v>
      </c>
      <c r="E56" s="2">
        <v>2.0</v>
      </c>
      <c r="F56" s="2">
        <v>14.0</v>
      </c>
      <c r="G56" s="2">
        <v>17.0</v>
      </c>
    </row>
    <row r="57">
      <c r="A57" s="2">
        <v>2015.0</v>
      </c>
      <c r="B57" s="2" t="s">
        <v>13</v>
      </c>
      <c r="C57" s="2" t="s">
        <v>19</v>
      </c>
      <c r="D57" s="2">
        <v>10.0</v>
      </c>
      <c r="E57" s="2">
        <v>10.0</v>
      </c>
      <c r="F57" s="2">
        <v>58.0</v>
      </c>
      <c r="G57" s="2">
        <v>78.0</v>
      </c>
    </row>
    <row r="58">
      <c r="A58" s="2">
        <v>2015.0</v>
      </c>
      <c r="B58" s="2" t="s">
        <v>13</v>
      </c>
      <c r="C58" s="2" t="s">
        <v>20</v>
      </c>
      <c r="D58" s="2">
        <v>10.0</v>
      </c>
      <c r="E58" s="2">
        <v>7.0</v>
      </c>
      <c r="F58" s="2">
        <v>19.0</v>
      </c>
      <c r="G58" s="2">
        <v>36.0</v>
      </c>
    </row>
    <row r="59">
      <c r="A59" s="2">
        <v>2015.0</v>
      </c>
      <c r="B59" s="2" t="s">
        <v>13</v>
      </c>
      <c r="C59" s="2" t="s">
        <v>21</v>
      </c>
      <c r="D59" s="2">
        <v>0.0</v>
      </c>
      <c r="E59" s="2">
        <v>0.0</v>
      </c>
      <c r="F59" s="2">
        <v>1.0</v>
      </c>
      <c r="G59" s="2">
        <v>1.0</v>
      </c>
    </row>
    <row r="60">
      <c r="A60" s="2">
        <v>2015.0</v>
      </c>
      <c r="B60" s="2" t="s">
        <v>13</v>
      </c>
      <c r="C60" s="2" t="s">
        <v>22</v>
      </c>
      <c r="D60" s="2">
        <v>3.0</v>
      </c>
      <c r="E60" s="2">
        <v>5.0</v>
      </c>
      <c r="F60" s="2">
        <v>18.0</v>
      </c>
      <c r="G60" s="2">
        <v>26.0</v>
      </c>
    </row>
    <row r="61">
      <c r="A61" s="2">
        <v>2015.0</v>
      </c>
      <c r="B61" s="2" t="s">
        <v>13</v>
      </c>
      <c r="C61" s="2" t="s">
        <v>23</v>
      </c>
      <c r="D61" s="2">
        <v>0.0</v>
      </c>
      <c r="E61" s="2">
        <v>0.0</v>
      </c>
      <c r="F61" s="2">
        <v>2.0</v>
      </c>
      <c r="G61" s="2">
        <v>2.0</v>
      </c>
    </row>
    <row r="62">
      <c r="A62" s="2">
        <v>2015.0</v>
      </c>
      <c r="B62" s="2" t="s">
        <v>30</v>
      </c>
      <c r="C62" s="2" t="s">
        <v>7</v>
      </c>
      <c r="D62" s="2">
        <v>0.0</v>
      </c>
      <c r="E62" s="2">
        <v>1.0</v>
      </c>
      <c r="F62" s="2">
        <v>2.0</v>
      </c>
      <c r="G62" s="2">
        <v>3.0</v>
      </c>
    </row>
    <row r="63">
      <c r="A63" s="2">
        <v>2015.0</v>
      </c>
      <c r="B63" s="2" t="s">
        <v>30</v>
      </c>
      <c r="C63" s="2" t="s">
        <v>33</v>
      </c>
      <c r="D63" s="2">
        <v>1.0</v>
      </c>
      <c r="E63" s="2">
        <v>1.0</v>
      </c>
      <c r="F63" s="2">
        <v>3.0</v>
      </c>
      <c r="G63" s="2">
        <v>5.0</v>
      </c>
    </row>
    <row r="64">
      <c r="A64" s="2">
        <v>2015.0</v>
      </c>
      <c r="B64" s="2" t="s">
        <v>30</v>
      </c>
      <c r="C64" s="2" t="s">
        <v>8</v>
      </c>
      <c r="D64" s="2">
        <v>0.0</v>
      </c>
      <c r="E64" s="2">
        <v>0.0</v>
      </c>
      <c r="F64" s="2">
        <v>0.0</v>
      </c>
      <c r="G64" s="2">
        <v>0.0</v>
      </c>
    </row>
    <row r="65">
      <c r="A65" s="2">
        <v>2015.0</v>
      </c>
      <c r="B65" s="2" t="s">
        <v>30</v>
      </c>
      <c r="C65" s="2" t="s">
        <v>9</v>
      </c>
      <c r="D65" s="2">
        <v>1.0</v>
      </c>
      <c r="E65" s="2">
        <v>3.0</v>
      </c>
      <c r="F65" s="2">
        <v>15.0</v>
      </c>
      <c r="G65" s="2">
        <v>19.0</v>
      </c>
    </row>
    <row r="66">
      <c r="A66" s="2">
        <v>2015.0</v>
      </c>
      <c r="B66" s="2" t="s">
        <v>30</v>
      </c>
      <c r="C66" s="2" t="s">
        <v>10</v>
      </c>
      <c r="D66" s="2">
        <v>967.0</v>
      </c>
      <c r="E66" s="2">
        <v>832.0</v>
      </c>
      <c r="F66" s="2">
        <v>3159.0</v>
      </c>
      <c r="G66" s="2">
        <v>4958.0</v>
      </c>
    </row>
    <row r="67">
      <c r="A67" s="2">
        <v>2015.0</v>
      </c>
      <c r="B67" s="2" t="s">
        <v>30</v>
      </c>
      <c r="C67" s="2" t="s">
        <v>12</v>
      </c>
      <c r="D67" s="2">
        <v>4.0</v>
      </c>
      <c r="E67" s="2">
        <v>2.0</v>
      </c>
      <c r="F67" s="2">
        <v>19.0</v>
      </c>
      <c r="G67" s="2">
        <v>25.0</v>
      </c>
    </row>
    <row r="68">
      <c r="A68" s="2">
        <v>2015.0</v>
      </c>
      <c r="B68" s="2" t="s">
        <v>30</v>
      </c>
      <c r="C68" s="2" t="s">
        <v>15</v>
      </c>
      <c r="D68" s="2">
        <v>206.0</v>
      </c>
      <c r="E68" s="2">
        <v>184.0</v>
      </c>
      <c r="F68" s="2">
        <v>794.0</v>
      </c>
      <c r="G68" s="2">
        <v>1184.0</v>
      </c>
    </row>
    <row r="69">
      <c r="A69" s="2">
        <v>2015.0</v>
      </c>
      <c r="B69" s="2" t="s">
        <v>30</v>
      </c>
      <c r="C69" s="2" t="s">
        <v>16</v>
      </c>
      <c r="D69" s="2">
        <v>2.0</v>
      </c>
      <c r="E69" s="2">
        <v>1.0</v>
      </c>
      <c r="F69" s="2">
        <v>9.0</v>
      </c>
      <c r="G69" s="2">
        <v>12.0</v>
      </c>
    </row>
    <row r="70">
      <c r="A70" s="2">
        <v>2015.0</v>
      </c>
      <c r="B70" s="2" t="s">
        <v>30</v>
      </c>
      <c r="C70" s="2" t="s">
        <v>14</v>
      </c>
      <c r="D70" s="2">
        <v>915.0</v>
      </c>
      <c r="E70" s="2">
        <v>834.0</v>
      </c>
      <c r="F70" s="2">
        <v>3216.0</v>
      </c>
      <c r="G70" s="2">
        <v>4965.0</v>
      </c>
    </row>
    <row r="71">
      <c r="A71" s="2">
        <v>2015.0</v>
      </c>
      <c r="B71" s="2" t="s">
        <v>30</v>
      </c>
      <c r="C71" s="2" t="s">
        <v>17</v>
      </c>
      <c r="D71" s="2">
        <v>1.0</v>
      </c>
      <c r="E71" s="2">
        <v>2.0</v>
      </c>
      <c r="F71" s="2">
        <v>16.0</v>
      </c>
      <c r="G71" s="2">
        <v>19.0</v>
      </c>
    </row>
    <row r="72">
      <c r="A72" s="2">
        <v>2015.0</v>
      </c>
      <c r="B72" s="2" t="s">
        <v>30</v>
      </c>
      <c r="C72" s="2" t="s">
        <v>19</v>
      </c>
      <c r="D72" s="2">
        <v>12.0</v>
      </c>
      <c r="E72" s="2">
        <v>11.0</v>
      </c>
      <c r="F72" s="2">
        <v>64.0</v>
      </c>
      <c r="G72" s="2">
        <v>87.0</v>
      </c>
    </row>
    <row r="73">
      <c r="A73" s="2">
        <v>2015.0</v>
      </c>
      <c r="B73" s="2" t="s">
        <v>30</v>
      </c>
      <c r="C73" s="2" t="s">
        <v>20</v>
      </c>
      <c r="D73" s="2">
        <v>11.0</v>
      </c>
      <c r="E73" s="2">
        <v>8.0</v>
      </c>
      <c r="F73" s="2">
        <v>21.0</v>
      </c>
      <c r="G73" s="2">
        <v>40.0</v>
      </c>
    </row>
    <row r="74">
      <c r="A74" s="2">
        <v>2015.0</v>
      </c>
      <c r="B74" s="2" t="s">
        <v>30</v>
      </c>
      <c r="C74" s="2" t="s">
        <v>21</v>
      </c>
      <c r="D74" s="2">
        <v>1.0</v>
      </c>
      <c r="E74" s="2">
        <v>0.0</v>
      </c>
      <c r="F74" s="2">
        <v>2.0</v>
      </c>
      <c r="G74" s="2">
        <v>3.0</v>
      </c>
    </row>
    <row r="75">
      <c r="A75" s="2">
        <v>2015.0</v>
      </c>
      <c r="B75" s="2" t="s">
        <v>30</v>
      </c>
      <c r="C75" s="2" t="s">
        <v>22</v>
      </c>
      <c r="D75" s="2">
        <v>4.0</v>
      </c>
      <c r="E75" s="2">
        <v>5.0</v>
      </c>
      <c r="F75" s="2">
        <v>20.0</v>
      </c>
      <c r="G75" s="2">
        <v>29.0</v>
      </c>
    </row>
    <row r="76">
      <c r="A76" s="2">
        <v>2015.0</v>
      </c>
      <c r="B76" s="2" t="s">
        <v>30</v>
      </c>
      <c r="C76" s="2" t="s">
        <v>23</v>
      </c>
      <c r="D76" s="2">
        <v>0.0</v>
      </c>
      <c r="E76" s="2">
        <v>0.0</v>
      </c>
      <c r="F76" s="2">
        <v>3.0</v>
      </c>
      <c r="G76" s="2">
        <v>3.0</v>
      </c>
    </row>
    <row r="77">
      <c r="A77" s="2">
        <v>2015.0</v>
      </c>
      <c r="B77" s="2" t="s">
        <v>28</v>
      </c>
      <c r="C77" s="2" t="s">
        <v>7</v>
      </c>
      <c r="D77" s="2">
        <v>1.0</v>
      </c>
      <c r="E77" s="2">
        <v>0.0</v>
      </c>
      <c r="F77" s="2">
        <v>2.0</v>
      </c>
      <c r="G77" s="2">
        <v>3.0</v>
      </c>
    </row>
    <row r="78">
      <c r="A78" s="2">
        <v>2015.0</v>
      </c>
      <c r="B78" s="2" t="s">
        <v>28</v>
      </c>
      <c r="C78" s="2" t="s">
        <v>33</v>
      </c>
      <c r="D78" s="2">
        <v>1.0</v>
      </c>
      <c r="E78" s="2">
        <v>1.0</v>
      </c>
      <c r="F78" s="2">
        <v>2.0</v>
      </c>
      <c r="G78" s="2">
        <v>4.0</v>
      </c>
    </row>
    <row r="79">
      <c r="A79" s="2">
        <v>2015.0</v>
      </c>
      <c r="B79" s="2" t="s">
        <v>28</v>
      </c>
      <c r="C79" s="2" t="s">
        <v>8</v>
      </c>
      <c r="D79" s="2">
        <v>0.0</v>
      </c>
      <c r="E79" s="2">
        <v>0.0</v>
      </c>
      <c r="F79" s="2">
        <v>0.0</v>
      </c>
      <c r="G79" s="2">
        <v>0.0</v>
      </c>
    </row>
    <row r="80">
      <c r="A80" s="2">
        <v>2015.0</v>
      </c>
      <c r="B80" s="2" t="s">
        <v>28</v>
      </c>
      <c r="C80" s="2" t="s">
        <v>9</v>
      </c>
      <c r="D80" s="2">
        <v>1.0</v>
      </c>
      <c r="E80" s="2">
        <v>2.0</v>
      </c>
      <c r="F80" s="2">
        <v>11.0</v>
      </c>
      <c r="G80" s="2">
        <v>14.0</v>
      </c>
    </row>
    <row r="81">
      <c r="A81" s="2">
        <v>2015.0</v>
      </c>
      <c r="B81" s="2" t="s">
        <v>28</v>
      </c>
      <c r="C81" s="2" t="s">
        <v>10</v>
      </c>
      <c r="D81" s="2">
        <v>842.0</v>
      </c>
      <c r="E81" s="2">
        <v>741.0</v>
      </c>
      <c r="F81" s="2">
        <v>2831.0</v>
      </c>
      <c r="G81" s="2">
        <v>4414.0</v>
      </c>
    </row>
    <row r="82">
      <c r="A82" s="2">
        <v>2015.0</v>
      </c>
      <c r="B82" s="2" t="s">
        <v>28</v>
      </c>
      <c r="C82" s="2" t="s">
        <v>12</v>
      </c>
      <c r="D82" s="2">
        <v>2.0</v>
      </c>
      <c r="E82" s="2">
        <v>2.0</v>
      </c>
      <c r="F82" s="2">
        <v>15.0</v>
      </c>
      <c r="G82" s="2">
        <v>19.0</v>
      </c>
    </row>
    <row r="83">
      <c r="A83" s="2">
        <v>2015.0</v>
      </c>
      <c r="B83" s="2" t="s">
        <v>28</v>
      </c>
      <c r="C83" s="2" t="s">
        <v>15</v>
      </c>
      <c r="D83" s="2">
        <v>172.0</v>
      </c>
      <c r="E83" s="2">
        <v>151.0</v>
      </c>
      <c r="F83" s="2">
        <v>649.0</v>
      </c>
      <c r="G83" s="2">
        <v>972.0</v>
      </c>
    </row>
    <row r="84">
      <c r="A84" s="2">
        <v>2015.0</v>
      </c>
      <c r="B84" s="2" t="s">
        <v>28</v>
      </c>
      <c r="C84" s="2" t="s">
        <v>16</v>
      </c>
      <c r="D84" s="2">
        <v>1.0</v>
      </c>
      <c r="E84" s="2">
        <v>0.0</v>
      </c>
      <c r="F84" s="2">
        <v>5.0</v>
      </c>
      <c r="G84" s="2">
        <v>6.0</v>
      </c>
    </row>
    <row r="85">
      <c r="A85" s="2">
        <v>2015.0</v>
      </c>
      <c r="B85" s="2" t="s">
        <v>28</v>
      </c>
      <c r="C85" s="2" t="s">
        <v>14</v>
      </c>
      <c r="D85" s="2">
        <v>811.0</v>
      </c>
      <c r="E85" s="2">
        <v>743.0</v>
      </c>
      <c r="F85" s="2">
        <v>2894.0</v>
      </c>
      <c r="G85" s="2">
        <v>4448.0</v>
      </c>
    </row>
    <row r="86">
      <c r="A86" s="2">
        <v>2015.0</v>
      </c>
      <c r="B86" s="2" t="s">
        <v>28</v>
      </c>
      <c r="C86" s="2" t="s">
        <v>17</v>
      </c>
      <c r="D86" s="2">
        <v>1.0</v>
      </c>
      <c r="E86" s="2">
        <v>2.0</v>
      </c>
      <c r="F86" s="2">
        <v>12.0</v>
      </c>
      <c r="G86" s="2">
        <v>15.0</v>
      </c>
    </row>
    <row r="87">
      <c r="A87" s="2">
        <v>2015.0</v>
      </c>
      <c r="B87" s="2" t="s">
        <v>28</v>
      </c>
      <c r="C87" s="2" t="s">
        <v>19</v>
      </c>
      <c r="D87" s="2">
        <v>9.0</v>
      </c>
      <c r="E87" s="2">
        <v>9.0</v>
      </c>
      <c r="F87" s="2">
        <v>51.0</v>
      </c>
      <c r="G87" s="2">
        <v>69.0</v>
      </c>
    </row>
    <row r="88">
      <c r="A88" s="2">
        <v>2015.0</v>
      </c>
      <c r="B88" s="2" t="s">
        <v>28</v>
      </c>
      <c r="C88" s="2" t="s">
        <v>20</v>
      </c>
      <c r="D88" s="2">
        <v>9.0</v>
      </c>
      <c r="E88" s="2">
        <v>6.0</v>
      </c>
      <c r="F88" s="2">
        <v>17.0</v>
      </c>
      <c r="G88" s="2">
        <v>32.0</v>
      </c>
    </row>
    <row r="89">
      <c r="A89" s="2">
        <v>2015.0</v>
      </c>
      <c r="B89" s="2" t="s">
        <v>28</v>
      </c>
      <c r="C89" s="2" t="s">
        <v>21</v>
      </c>
      <c r="D89" s="2">
        <v>0.0</v>
      </c>
      <c r="E89" s="2">
        <v>0.0</v>
      </c>
      <c r="F89" s="2">
        <v>1.0</v>
      </c>
      <c r="G89" s="2">
        <v>1.0</v>
      </c>
    </row>
    <row r="90">
      <c r="A90" s="2">
        <v>2015.0</v>
      </c>
      <c r="B90" s="2" t="s">
        <v>28</v>
      </c>
      <c r="C90" s="2" t="s">
        <v>22</v>
      </c>
      <c r="D90" s="2">
        <v>3.0</v>
      </c>
      <c r="E90" s="2">
        <v>4.0</v>
      </c>
      <c r="F90" s="2">
        <v>16.0</v>
      </c>
      <c r="G90" s="2">
        <v>23.0</v>
      </c>
    </row>
    <row r="91">
      <c r="A91" s="2">
        <v>2015.0</v>
      </c>
      <c r="B91" s="2" t="s">
        <v>28</v>
      </c>
      <c r="C91" s="2" t="s">
        <v>23</v>
      </c>
      <c r="D91" s="2">
        <v>0.0</v>
      </c>
      <c r="E91" s="2">
        <v>0.0</v>
      </c>
      <c r="F91" s="2">
        <v>2.0</v>
      </c>
      <c r="G91" s="2">
        <v>2.0</v>
      </c>
    </row>
    <row r="92">
      <c r="A92" s="2">
        <v>2015.0</v>
      </c>
      <c r="B92" s="2" t="s">
        <v>31</v>
      </c>
      <c r="C92" s="2" t="s">
        <v>7</v>
      </c>
      <c r="D92" s="2">
        <v>2.0</v>
      </c>
      <c r="E92" s="2">
        <v>0.0</v>
      </c>
      <c r="F92" s="2">
        <v>1.0</v>
      </c>
      <c r="G92" s="2">
        <v>3.0</v>
      </c>
    </row>
    <row r="93">
      <c r="A93" s="2">
        <v>2015.0</v>
      </c>
      <c r="B93" s="2" t="s">
        <v>31</v>
      </c>
      <c r="C93" s="2" t="s">
        <v>33</v>
      </c>
      <c r="D93" s="2">
        <v>1.0</v>
      </c>
      <c r="E93" s="2">
        <v>0.0</v>
      </c>
      <c r="F93" s="2">
        <v>2.0</v>
      </c>
      <c r="G93" s="2">
        <v>3.0</v>
      </c>
    </row>
    <row r="94">
      <c r="A94" s="2">
        <v>2015.0</v>
      </c>
      <c r="B94" s="2" t="s">
        <v>31</v>
      </c>
      <c r="C94" s="2" t="s">
        <v>8</v>
      </c>
      <c r="D94" s="2">
        <v>0.0</v>
      </c>
      <c r="E94" s="2">
        <v>0.0</v>
      </c>
      <c r="F94" s="2">
        <v>0.0</v>
      </c>
      <c r="G94" s="2">
        <v>0.0</v>
      </c>
    </row>
    <row r="95">
      <c r="A95" s="2">
        <v>2015.0</v>
      </c>
      <c r="B95" s="2" t="s">
        <v>31</v>
      </c>
      <c r="C95" s="2" t="s">
        <v>9</v>
      </c>
      <c r="D95" s="2">
        <v>2.0</v>
      </c>
      <c r="E95" s="2">
        <v>3.0</v>
      </c>
      <c r="F95" s="2">
        <v>12.0</v>
      </c>
      <c r="G95" s="2">
        <v>17.0</v>
      </c>
    </row>
    <row r="96">
      <c r="A96" s="2">
        <v>2015.0</v>
      </c>
      <c r="B96" s="2" t="s">
        <v>31</v>
      </c>
      <c r="C96" s="2" t="s">
        <v>10</v>
      </c>
      <c r="D96" s="2">
        <v>913.0</v>
      </c>
      <c r="E96" s="2">
        <v>805.0</v>
      </c>
      <c r="F96" s="2">
        <v>2914.0</v>
      </c>
      <c r="G96" s="2">
        <v>4632.0</v>
      </c>
    </row>
    <row r="97">
      <c r="A97" s="2">
        <v>2015.0</v>
      </c>
      <c r="B97" s="2" t="s">
        <v>31</v>
      </c>
      <c r="C97" s="2" t="s">
        <v>12</v>
      </c>
      <c r="D97" s="2">
        <v>3.0</v>
      </c>
      <c r="E97" s="2">
        <v>2.0</v>
      </c>
      <c r="F97" s="2">
        <v>17.0</v>
      </c>
      <c r="G97" s="2">
        <v>22.0</v>
      </c>
    </row>
    <row r="98">
      <c r="A98" s="2">
        <v>2015.0</v>
      </c>
      <c r="B98" s="2" t="s">
        <v>31</v>
      </c>
      <c r="C98" s="2" t="s">
        <v>15</v>
      </c>
      <c r="D98" s="2">
        <v>191.0</v>
      </c>
      <c r="E98" s="2">
        <v>168.0</v>
      </c>
      <c r="F98" s="2">
        <v>702.0</v>
      </c>
      <c r="G98" s="2">
        <v>1061.0</v>
      </c>
    </row>
    <row r="99">
      <c r="A99" s="2">
        <v>2015.0</v>
      </c>
      <c r="B99" s="2" t="s">
        <v>31</v>
      </c>
      <c r="C99" s="2" t="s">
        <v>16</v>
      </c>
      <c r="D99" s="2">
        <v>1.0</v>
      </c>
      <c r="E99" s="2">
        <v>0.0</v>
      </c>
      <c r="F99" s="2">
        <v>6.0</v>
      </c>
      <c r="G99" s="2">
        <v>7.0</v>
      </c>
    </row>
    <row r="100">
      <c r="A100" s="2">
        <v>2015.0</v>
      </c>
      <c r="B100" s="2" t="s">
        <v>31</v>
      </c>
      <c r="C100" s="2" t="s">
        <v>14</v>
      </c>
      <c r="D100" s="2">
        <v>884.0</v>
      </c>
      <c r="E100" s="2">
        <v>812.0</v>
      </c>
      <c r="F100" s="2">
        <v>3012.0</v>
      </c>
      <c r="G100" s="2">
        <v>4708.0</v>
      </c>
    </row>
    <row r="101">
      <c r="A101" s="2">
        <v>2015.0</v>
      </c>
      <c r="B101" s="2" t="s">
        <v>31</v>
      </c>
      <c r="C101" s="2" t="s">
        <v>17</v>
      </c>
      <c r="D101" s="2">
        <v>1.0</v>
      </c>
      <c r="E101" s="2">
        <v>2.0</v>
      </c>
      <c r="F101" s="2">
        <v>13.0</v>
      </c>
      <c r="G101" s="2">
        <v>16.0</v>
      </c>
    </row>
    <row r="102">
      <c r="A102" s="2">
        <v>2015.0</v>
      </c>
      <c r="B102" s="2" t="s">
        <v>31</v>
      </c>
      <c r="C102" s="2" t="s">
        <v>19</v>
      </c>
      <c r="D102" s="2">
        <v>11.0</v>
      </c>
      <c r="E102" s="2">
        <v>10.0</v>
      </c>
      <c r="F102" s="2">
        <v>56.0</v>
      </c>
      <c r="G102" s="2">
        <v>77.0</v>
      </c>
    </row>
    <row r="103">
      <c r="A103" s="2">
        <v>2015.0</v>
      </c>
      <c r="B103" s="2" t="s">
        <v>31</v>
      </c>
      <c r="C103" s="2" t="s">
        <v>20</v>
      </c>
      <c r="D103" s="2">
        <v>10.0</v>
      </c>
      <c r="E103" s="2">
        <v>7.0</v>
      </c>
      <c r="F103" s="2">
        <v>18.0</v>
      </c>
      <c r="G103" s="2">
        <v>35.0</v>
      </c>
    </row>
    <row r="104">
      <c r="A104" s="2">
        <v>2015.0</v>
      </c>
      <c r="B104" s="2" t="s">
        <v>31</v>
      </c>
      <c r="C104" s="2" t="s">
        <v>21</v>
      </c>
      <c r="D104" s="2">
        <v>0.0</v>
      </c>
      <c r="E104" s="2">
        <v>0.0</v>
      </c>
      <c r="F104" s="2">
        <v>1.0</v>
      </c>
      <c r="G104" s="2">
        <v>1.0</v>
      </c>
    </row>
    <row r="105">
      <c r="A105" s="2">
        <v>2015.0</v>
      </c>
      <c r="B105" s="2" t="s">
        <v>31</v>
      </c>
      <c r="C105" s="2" t="s">
        <v>22</v>
      </c>
      <c r="D105" s="2">
        <v>3.0</v>
      </c>
      <c r="E105" s="2">
        <v>4.0</v>
      </c>
      <c r="F105" s="2">
        <v>18.0</v>
      </c>
      <c r="G105" s="2">
        <v>25.0</v>
      </c>
    </row>
    <row r="106">
      <c r="A106" s="2">
        <v>2015.0</v>
      </c>
      <c r="B106" s="2" t="s">
        <v>31</v>
      </c>
      <c r="C106" s="2" t="s">
        <v>23</v>
      </c>
      <c r="D106" s="2">
        <v>0.0</v>
      </c>
      <c r="E106" s="2">
        <v>0.0</v>
      </c>
      <c r="F106" s="2">
        <v>2.0</v>
      </c>
      <c r="G106" s="2">
        <v>2.0</v>
      </c>
    </row>
    <row r="107">
      <c r="A107" s="2">
        <v>2015.0</v>
      </c>
      <c r="B107" s="2" t="s">
        <v>32</v>
      </c>
      <c r="C107" s="2" t="s">
        <v>7</v>
      </c>
      <c r="D107" s="2">
        <v>1.0</v>
      </c>
      <c r="E107" s="2">
        <v>0.0</v>
      </c>
      <c r="F107" s="2">
        <v>1.0</v>
      </c>
      <c r="G107" s="2">
        <v>2.0</v>
      </c>
    </row>
    <row r="108">
      <c r="A108" s="2">
        <v>2015.0</v>
      </c>
      <c r="B108" s="2" t="s">
        <v>32</v>
      </c>
      <c r="C108" s="2" t="s">
        <v>33</v>
      </c>
      <c r="D108" s="2">
        <v>1.0</v>
      </c>
      <c r="E108" s="2">
        <v>0.0</v>
      </c>
      <c r="F108" s="2">
        <v>2.0</v>
      </c>
      <c r="G108" s="2">
        <v>3.0</v>
      </c>
    </row>
    <row r="109">
      <c r="A109" s="2">
        <v>2015.0</v>
      </c>
      <c r="B109" s="2" t="s">
        <v>32</v>
      </c>
      <c r="C109" s="2" t="s">
        <v>8</v>
      </c>
      <c r="D109" s="2">
        <v>0.0</v>
      </c>
      <c r="E109" s="2">
        <v>0.0</v>
      </c>
      <c r="F109" s="2">
        <v>0.0</v>
      </c>
      <c r="G109" s="2">
        <v>0.0</v>
      </c>
    </row>
    <row r="110">
      <c r="A110" s="2">
        <v>2015.0</v>
      </c>
      <c r="B110" s="2" t="s">
        <v>32</v>
      </c>
      <c r="C110" s="2" t="s">
        <v>9</v>
      </c>
      <c r="D110" s="2">
        <v>1.0</v>
      </c>
      <c r="E110" s="2">
        <v>2.0</v>
      </c>
      <c r="F110" s="2">
        <v>11.0</v>
      </c>
      <c r="G110" s="2">
        <v>14.0</v>
      </c>
    </row>
    <row r="111">
      <c r="A111" s="2">
        <v>2015.0</v>
      </c>
      <c r="B111" s="2" t="s">
        <v>32</v>
      </c>
      <c r="C111" s="2" t="s">
        <v>10</v>
      </c>
      <c r="D111" s="2">
        <v>967.0</v>
      </c>
      <c r="E111" s="2">
        <v>812.0</v>
      </c>
      <c r="F111" s="2">
        <v>2998.0</v>
      </c>
      <c r="G111" s="2">
        <v>4777.0</v>
      </c>
    </row>
    <row r="112">
      <c r="A112" s="2">
        <v>2015.0</v>
      </c>
      <c r="B112" s="2" t="s">
        <v>32</v>
      </c>
      <c r="C112" s="2" t="s">
        <v>12</v>
      </c>
      <c r="D112" s="2">
        <v>3.0</v>
      </c>
      <c r="E112" s="2">
        <v>2.0</v>
      </c>
      <c r="F112" s="2">
        <v>16.0</v>
      </c>
      <c r="G112" s="2">
        <v>21.0</v>
      </c>
    </row>
    <row r="113">
      <c r="A113" s="2">
        <v>2015.0</v>
      </c>
      <c r="B113" s="2" t="s">
        <v>32</v>
      </c>
      <c r="C113" s="2" t="s">
        <v>15</v>
      </c>
      <c r="D113" s="2">
        <v>184.0</v>
      </c>
      <c r="E113" s="2">
        <v>165.0</v>
      </c>
      <c r="F113" s="2">
        <v>711.0</v>
      </c>
      <c r="G113" s="2">
        <v>1060.0</v>
      </c>
    </row>
    <row r="114">
      <c r="A114" s="2">
        <v>2015.0</v>
      </c>
      <c r="B114" s="2" t="s">
        <v>32</v>
      </c>
      <c r="C114" s="2" t="s">
        <v>16</v>
      </c>
      <c r="D114" s="2">
        <v>1.0</v>
      </c>
      <c r="E114" s="2">
        <v>0.0</v>
      </c>
      <c r="F114" s="2">
        <v>5.0</v>
      </c>
      <c r="G114" s="2">
        <v>6.0</v>
      </c>
    </row>
    <row r="115">
      <c r="A115" s="2">
        <v>2015.0</v>
      </c>
      <c r="B115" s="2" t="s">
        <v>32</v>
      </c>
      <c r="C115" s="2" t="s">
        <v>14</v>
      </c>
      <c r="D115" s="2">
        <v>895.0</v>
      </c>
      <c r="E115" s="2">
        <v>804.0</v>
      </c>
      <c r="F115" s="2">
        <v>3112.0</v>
      </c>
      <c r="G115" s="2">
        <v>4811.0</v>
      </c>
    </row>
    <row r="116">
      <c r="A116" s="2">
        <v>2015.0</v>
      </c>
      <c r="B116" s="2" t="s">
        <v>32</v>
      </c>
      <c r="C116" s="2" t="s">
        <v>17</v>
      </c>
      <c r="D116" s="2">
        <v>1.0</v>
      </c>
      <c r="E116" s="2">
        <v>2.0</v>
      </c>
      <c r="F116" s="2">
        <v>14.0</v>
      </c>
      <c r="G116" s="2">
        <v>17.0</v>
      </c>
    </row>
    <row r="117">
      <c r="A117" s="2">
        <v>2015.0</v>
      </c>
      <c r="B117" s="2" t="s">
        <v>32</v>
      </c>
      <c r="C117" s="2" t="s">
        <v>19</v>
      </c>
      <c r="D117" s="2">
        <v>10.0</v>
      </c>
      <c r="E117" s="2">
        <v>10.0</v>
      </c>
      <c r="F117" s="2">
        <v>58.0</v>
      </c>
      <c r="G117" s="2">
        <v>78.0</v>
      </c>
    </row>
    <row r="118">
      <c r="A118" s="2">
        <v>2015.0</v>
      </c>
      <c r="B118" s="2" t="s">
        <v>32</v>
      </c>
      <c r="C118" s="2" t="s">
        <v>20</v>
      </c>
      <c r="D118" s="2">
        <v>10.0</v>
      </c>
      <c r="E118" s="2">
        <v>7.0</v>
      </c>
      <c r="F118" s="2">
        <v>18.0</v>
      </c>
      <c r="G118" s="2">
        <v>35.0</v>
      </c>
    </row>
    <row r="119">
      <c r="A119" s="2">
        <v>2015.0</v>
      </c>
      <c r="B119" s="2" t="s">
        <v>32</v>
      </c>
      <c r="C119" s="2" t="s">
        <v>21</v>
      </c>
      <c r="D119" s="2">
        <v>0.0</v>
      </c>
      <c r="E119" s="2">
        <v>0.0</v>
      </c>
      <c r="F119" s="2">
        <v>1.0</v>
      </c>
      <c r="G119" s="2">
        <v>1.0</v>
      </c>
    </row>
    <row r="120">
      <c r="A120" s="2">
        <v>2015.0</v>
      </c>
      <c r="B120" s="2" t="s">
        <v>32</v>
      </c>
      <c r="C120" s="2" t="s">
        <v>22</v>
      </c>
      <c r="D120" s="2">
        <v>3.0</v>
      </c>
      <c r="E120" s="2">
        <v>4.0</v>
      </c>
      <c r="F120" s="2">
        <v>18.0</v>
      </c>
      <c r="G120" s="2">
        <v>25.0</v>
      </c>
    </row>
    <row r="121">
      <c r="A121" s="2">
        <v>2015.0</v>
      </c>
      <c r="B121" s="2" t="s">
        <v>32</v>
      </c>
      <c r="C121" s="2" t="s">
        <v>23</v>
      </c>
      <c r="D121" s="2">
        <v>0.0</v>
      </c>
      <c r="E121" s="2">
        <v>0.0</v>
      </c>
      <c r="F121" s="2">
        <v>2.0</v>
      </c>
      <c r="G121" s="2">
        <v>2.0</v>
      </c>
    </row>
    <row r="122">
      <c r="A122" s="2">
        <v>2015.0</v>
      </c>
      <c r="B122" s="2" t="s">
        <v>18</v>
      </c>
      <c r="C122" s="2" t="s">
        <v>7</v>
      </c>
      <c r="D122" s="2">
        <v>1.0</v>
      </c>
      <c r="E122" s="2">
        <v>0.0</v>
      </c>
      <c r="F122" s="2">
        <v>2.0</v>
      </c>
      <c r="G122" s="2">
        <v>3.0</v>
      </c>
    </row>
    <row r="123">
      <c r="A123" s="2">
        <v>2015.0</v>
      </c>
      <c r="B123" s="2" t="s">
        <v>18</v>
      </c>
      <c r="C123" s="2" t="s">
        <v>33</v>
      </c>
      <c r="D123" s="2">
        <v>1.0</v>
      </c>
      <c r="E123" s="2">
        <v>1.0</v>
      </c>
      <c r="F123" s="2">
        <v>2.0</v>
      </c>
      <c r="G123" s="2">
        <v>4.0</v>
      </c>
    </row>
    <row r="124">
      <c r="A124" s="2">
        <v>2015.0</v>
      </c>
      <c r="B124" s="2" t="s">
        <v>18</v>
      </c>
      <c r="C124" s="2" t="s">
        <v>8</v>
      </c>
      <c r="D124" s="2">
        <v>0.0</v>
      </c>
      <c r="E124" s="2">
        <v>0.0</v>
      </c>
      <c r="F124" s="2">
        <v>0.0</v>
      </c>
      <c r="G124" s="2">
        <v>0.0</v>
      </c>
    </row>
    <row r="125">
      <c r="A125" s="2">
        <v>2015.0</v>
      </c>
      <c r="B125" s="2" t="s">
        <v>18</v>
      </c>
      <c r="C125" s="2" t="s">
        <v>9</v>
      </c>
      <c r="D125" s="2">
        <v>1.0</v>
      </c>
      <c r="E125" s="2">
        <v>2.0</v>
      </c>
      <c r="F125" s="2">
        <v>11.0</v>
      </c>
      <c r="G125" s="2">
        <v>14.0</v>
      </c>
    </row>
    <row r="126">
      <c r="A126" s="2">
        <v>2015.0</v>
      </c>
      <c r="B126" s="2" t="s">
        <v>18</v>
      </c>
      <c r="C126" s="2" t="s">
        <v>10</v>
      </c>
      <c r="D126" s="2">
        <v>842.0</v>
      </c>
      <c r="E126" s="2">
        <v>741.0</v>
      </c>
      <c r="F126" s="2">
        <v>2831.0</v>
      </c>
      <c r="G126" s="2">
        <v>4414.0</v>
      </c>
    </row>
    <row r="127">
      <c r="A127" s="2">
        <v>2015.0</v>
      </c>
      <c r="B127" s="2" t="s">
        <v>18</v>
      </c>
      <c r="C127" s="2" t="s">
        <v>12</v>
      </c>
      <c r="D127" s="2">
        <v>2.0</v>
      </c>
      <c r="E127" s="2">
        <v>2.0</v>
      </c>
      <c r="F127" s="2">
        <v>15.0</v>
      </c>
      <c r="G127" s="2">
        <v>19.0</v>
      </c>
    </row>
    <row r="128">
      <c r="A128" s="2">
        <v>2015.0</v>
      </c>
      <c r="B128" s="2" t="s">
        <v>18</v>
      </c>
      <c r="C128" s="2" t="s">
        <v>15</v>
      </c>
      <c r="D128" s="2">
        <v>172.0</v>
      </c>
      <c r="E128" s="2">
        <v>151.0</v>
      </c>
      <c r="F128" s="2">
        <v>649.0</v>
      </c>
      <c r="G128" s="2">
        <v>972.0</v>
      </c>
    </row>
    <row r="129">
      <c r="A129" s="2">
        <v>2015.0</v>
      </c>
      <c r="B129" s="2" t="s">
        <v>18</v>
      </c>
      <c r="C129" s="2" t="s">
        <v>16</v>
      </c>
      <c r="D129" s="2">
        <v>1.0</v>
      </c>
      <c r="E129" s="2">
        <v>0.0</v>
      </c>
      <c r="F129" s="2">
        <v>5.0</v>
      </c>
      <c r="G129" s="2">
        <v>6.0</v>
      </c>
    </row>
    <row r="130">
      <c r="A130" s="2">
        <v>2015.0</v>
      </c>
      <c r="B130" s="2" t="s">
        <v>18</v>
      </c>
      <c r="C130" s="2" t="s">
        <v>14</v>
      </c>
      <c r="D130" s="2">
        <v>811.0</v>
      </c>
      <c r="E130" s="2">
        <v>743.0</v>
      </c>
      <c r="F130" s="2">
        <v>2894.0</v>
      </c>
      <c r="G130" s="2">
        <v>4448.0</v>
      </c>
    </row>
    <row r="131">
      <c r="A131" s="2">
        <v>2015.0</v>
      </c>
      <c r="B131" s="2" t="s">
        <v>18</v>
      </c>
      <c r="C131" s="2" t="s">
        <v>17</v>
      </c>
      <c r="D131" s="2">
        <v>1.0</v>
      </c>
      <c r="E131" s="2">
        <v>2.0</v>
      </c>
      <c r="F131" s="2">
        <v>12.0</v>
      </c>
      <c r="G131" s="2">
        <v>15.0</v>
      </c>
    </row>
    <row r="132">
      <c r="A132" s="2">
        <v>2015.0</v>
      </c>
      <c r="B132" s="2" t="s">
        <v>18</v>
      </c>
      <c r="C132" s="2" t="s">
        <v>19</v>
      </c>
      <c r="D132" s="2">
        <v>9.0</v>
      </c>
      <c r="E132" s="2">
        <v>9.0</v>
      </c>
      <c r="F132" s="2">
        <v>51.0</v>
      </c>
      <c r="G132" s="2">
        <v>69.0</v>
      </c>
    </row>
    <row r="133">
      <c r="A133" s="2">
        <v>2015.0</v>
      </c>
      <c r="B133" s="2" t="s">
        <v>18</v>
      </c>
      <c r="C133" s="2" t="s">
        <v>20</v>
      </c>
      <c r="D133" s="2">
        <v>9.0</v>
      </c>
      <c r="E133" s="2">
        <v>6.0</v>
      </c>
      <c r="F133" s="2">
        <v>17.0</v>
      </c>
      <c r="G133" s="2">
        <v>32.0</v>
      </c>
    </row>
    <row r="134">
      <c r="A134" s="2">
        <v>2015.0</v>
      </c>
      <c r="B134" s="2" t="s">
        <v>18</v>
      </c>
      <c r="C134" s="2" t="s">
        <v>21</v>
      </c>
      <c r="D134" s="2">
        <v>0.0</v>
      </c>
      <c r="E134" s="2">
        <v>0.0</v>
      </c>
      <c r="F134" s="2">
        <v>1.0</v>
      </c>
      <c r="G134" s="2">
        <v>1.0</v>
      </c>
    </row>
    <row r="135">
      <c r="A135" s="2">
        <v>2015.0</v>
      </c>
      <c r="B135" s="2" t="s">
        <v>18</v>
      </c>
      <c r="C135" s="2" t="s">
        <v>22</v>
      </c>
      <c r="D135" s="2">
        <v>3.0</v>
      </c>
      <c r="E135" s="2">
        <v>4.0</v>
      </c>
      <c r="F135" s="2">
        <v>16.0</v>
      </c>
      <c r="G135" s="2">
        <v>23.0</v>
      </c>
    </row>
    <row r="136">
      <c r="A136" s="2">
        <v>2015.0</v>
      </c>
      <c r="B136" s="2" t="s">
        <v>18</v>
      </c>
      <c r="C136" s="2" t="s">
        <v>23</v>
      </c>
      <c r="D136" s="2">
        <v>0.0</v>
      </c>
      <c r="E136" s="2">
        <v>0.0</v>
      </c>
      <c r="F136" s="2">
        <v>2.0</v>
      </c>
      <c r="G136" s="2">
        <v>2.0</v>
      </c>
    </row>
    <row r="137">
      <c r="A137" s="2">
        <v>2015.0</v>
      </c>
      <c r="B137" s="2" t="s">
        <v>25</v>
      </c>
      <c r="C137" s="2" t="s">
        <v>7</v>
      </c>
      <c r="D137" s="2">
        <v>2.0</v>
      </c>
      <c r="E137" s="2">
        <v>0.0</v>
      </c>
      <c r="F137" s="2">
        <v>1.0</v>
      </c>
      <c r="G137" s="2">
        <v>3.0</v>
      </c>
    </row>
    <row r="138">
      <c r="A138" s="2">
        <v>2015.0</v>
      </c>
      <c r="B138" s="2" t="s">
        <v>25</v>
      </c>
      <c r="C138" s="2" t="s">
        <v>33</v>
      </c>
      <c r="D138" s="2">
        <v>1.0</v>
      </c>
      <c r="E138" s="2">
        <v>0.0</v>
      </c>
      <c r="F138" s="2">
        <v>2.0</v>
      </c>
      <c r="G138" s="2">
        <v>3.0</v>
      </c>
    </row>
    <row r="139">
      <c r="A139" s="2">
        <v>2015.0</v>
      </c>
      <c r="B139" s="2" t="s">
        <v>25</v>
      </c>
      <c r="C139" s="2" t="s">
        <v>8</v>
      </c>
      <c r="D139" s="2">
        <v>0.0</v>
      </c>
      <c r="E139" s="2">
        <v>0.0</v>
      </c>
      <c r="F139" s="2">
        <v>0.0</v>
      </c>
      <c r="G139" s="2">
        <v>0.0</v>
      </c>
    </row>
    <row r="140">
      <c r="A140" s="2">
        <v>2015.0</v>
      </c>
      <c r="B140" s="2" t="s">
        <v>25</v>
      </c>
      <c r="C140" s="2" t="s">
        <v>9</v>
      </c>
      <c r="D140" s="2">
        <v>2.0</v>
      </c>
      <c r="E140" s="2">
        <v>3.0</v>
      </c>
      <c r="F140" s="2">
        <v>12.0</v>
      </c>
      <c r="G140" s="2">
        <v>17.0</v>
      </c>
    </row>
    <row r="141">
      <c r="A141" s="2">
        <v>2015.0</v>
      </c>
      <c r="B141" s="2" t="s">
        <v>25</v>
      </c>
      <c r="C141" s="2" t="s">
        <v>10</v>
      </c>
      <c r="D141" s="2">
        <v>913.0</v>
      </c>
      <c r="E141" s="2">
        <v>805.0</v>
      </c>
      <c r="F141" s="2">
        <v>2914.0</v>
      </c>
      <c r="G141" s="2">
        <v>4632.0</v>
      </c>
    </row>
    <row r="142">
      <c r="A142" s="2">
        <v>2015.0</v>
      </c>
      <c r="B142" s="2" t="s">
        <v>25</v>
      </c>
      <c r="C142" s="2" t="s">
        <v>12</v>
      </c>
      <c r="D142" s="2">
        <v>3.0</v>
      </c>
      <c r="E142" s="2">
        <v>2.0</v>
      </c>
      <c r="F142" s="2">
        <v>17.0</v>
      </c>
      <c r="G142" s="2">
        <v>22.0</v>
      </c>
    </row>
    <row r="143">
      <c r="A143" s="2">
        <v>2015.0</v>
      </c>
      <c r="B143" s="2" t="s">
        <v>25</v>
      </c>
      <c r="C143" s="2" t="s">
        <v>15</v>
      </c>
      <c r="D143" s="2">
        <v>191.0</v>
      </c>
      <c r="E143" s="2">
        <v>168.0</v>
      </c>
      <c r="F143" s="2">
        <v>702.0</v>
      </c>
      <c r="G143" s="2">
        <v>1061.0</v>
      </c>
    </row>
    <row r="144">
      <c r="A144" s="2">
        <v>2015.0</v>
      </c>
      <c r="B144" s="2" t="s">
        <v>25</v>
      </c>
      <c r="C144" s="2" t="s">
        <v>16</v>
      </c>
      <c r="D144" s="2">
        <v>1.0</v>
      </c>
      <c r="E144" s="2">
        <v>0.0</v>
      </c>
      <c r="F144" s="2">
        <v>6.0</v>
      </c>
      <c r="G144" s="2">
        <v>7.0</v>
      </c>
    </row>
    <row r="145">
      <c r="A145" s="2">
        <v>2015.0</v>
      </c>
      <c r="B145" s="2" t="s">
        <v>25</v>
      </c>
      <c r="C145" s="2" t="s">
        <v>14</v>
      </c>
      <c r="D145" s="2">
        <v>884.0</v>
      </c>
      <c r="E145" s="2">
        <v>812.0</v>
      </c>
      <c r="F145" s="2">
        <v>3012.0</v>
      </c>
      <c r="G145" s="2">
        <v>4708.0</v>
      </c>
    </row>
    <row r="146">
      <c r="A146" s="2">
        <v>2015.0</v>
      </c>
      <c r="B146" s="2" t="s">
        <v>25</v>
      </c>
      <c r="C146" s="2" t="s">
        <v>17</v>
      </c>
      <c r="D146" s="2">
        <v>1.0</v>
      </c>
      <c r="E146" s="2">
        <v>2.0</v>
      </c>
      <c r="F146" s="2">
        <v>13.0</v>
      </c>
      <c r="G146" s="2">
        <v>16.0</v>
      </c>
    </row>
    <row r="147">
      <c r="A147" s="2">
        <v>2015.0</v>
      </c>
      <c r="B147" s="2" t="s">
        <v>25</v>
      </c>
      <c r="C147" s="2" t="s">
        <v>19</v>
      </c>
      <c r="D147" s="2">
        <v>11.0</v>
      </c>
      <c r="E147" s="2">
        <v>10.0</v>
      </c>
      <c r="F147" s="2">
        <v>56.0</v>
      </c>
      <c r="G147" s="2">
        <v>77.0</v>
      </c>
    </row>
    <row r="148">
      <c r="A148" s="2">
        <v>2015.0</v>
      </c>
      <c r="B148" s="2" t="s">
        <v>25</v>
      </c>
      <c r="C148" s="2" t="s">
        <v>20</v>
      </c>
      <c r="D148" s="2">
        <v>10.0</v>
      </c>
      <c r="E148" s="2">
        <v>7.0</v>
      </c>
      <c r="F148" s="2">
        <v>18.0</v>
      </c>
      <c r="G148" s="2">
        <v>35.0</v>
      </c>
    </row>
    <row r="149">
      <c r="A149" s="2">
        <v>2015.0</v>
      </c>
      <c r="B149" s="2" t="s">
        <v>25</v>
      </c>
      <c r="C149" s="2" t="s">
        <v>21</v>
      </c>
      <c r="D149" s="2">
        <v>0.0</v>
      </c>
      <c r="E149" s="2">
        <v>0.0</v>
      </c>
      <c r="F149" s="2">
        <v>1.0</v>
      </c>
      <c r="G149" s="2">
        <v>1.0</v>
      </c>
    </row>
    <row r="150">
      <c r="A150" s="2">
        <v>2015.0</v>
      </c>
      <c r="B150" s="2" t="s">
        <v>25</v>
      </c>
      <c r="C150" s="2" t="s">
        <v>22</v>
      </c>
      <c r="D150" s="2">
        <v>3.0</v>
      </c>
      <c r="E150" s="2">
        <v>4.0</v>
      </c>
      <c r="F150" s="2">
        <v>18.0</v>
      </c>
      <c r="G150" s="2">
        <v>25.0</v>
      </c>
    </row>
    <row r="151">
      <c r="A151" s="2">
        <v>2015.0</v>
      </c>
      <c r="B151" s="2" t="s">
        <v>25</v>
      </c>
      <c r="C151" s="2" t="s">
        <v>23</v>
      </c>
      <c r="D151" s="2">
        <v>0.0</v>
      </c>
      <c r="E151" s="2">
        <v>0.0</v>
      </c>
      <c r="F151" s="2">
        <v>2.0</v>
      </c>
      <c r="G151" s="2">
        <v>2.0</v>
      </c>
    </row>
    <row r="152">
      <c r="A152" s="2">
        <v>2015.0</v>
      </c>
      <c r="B152" s="2" t="s">
        <v>27</v>
      </c>
      <c r="C152" s="2" t="s">
        <v>7</v>
      </c>
      <c r="D152" s="2">
        <v>1.0</v>
      </c>
      <c r="E152" s="2">
        <v>1.0</v>
      </c>
      <c r="F152" s="2">
        <v>2.0</v>
      </c>
      <c r="G152" s="2">
        <v>4.0</v>
      </c>
    </row>
    <row r="153">
      <c r="A153" s="2">
        <v>2015.0</v>
      </c>
      <c r="B153" s="2" t="s">
        <v>27</v>
      </c>
      <c r="C153" s="2" t="s">
        <v>33</v>
      </c>
      <c r="D153" s="2">
        <v>1.0</v>
      </c>
      <c r="E153" s="2">
        <v>0.0</v>
      </c>
      <c r="F153" s="2">
        <v>1.0</v>
      </c>
      <c r="G153" s="2">
        <v>2.0</v>
      </c>
    </row>
    <row r="154">
      <c r="A154" s="2">
        <v>2015.0</v>
      </c>
      <c r="B154" s="2" t="s">
        <v>27</v>
      </c>
      <c r="C154" s="2" t="s">
        <v>8</v>
      </c>
      <c r="D154" s="2">
        <v>0.0</v>
      </c>
      <c r="E154" s="2">
        <v>0.0</v>
      </c>
      <c r="F154" s="2">
        <v>0.0</v>
      </c>
      <c r="G154" s="2">
        <v>0.0</v>
      </c>
    </row>
    <row r="155">
      <c r="A155" s="2">
        <v>2015.0</v>
      </c>
      <c r="B155" s="2" t="s">
        <v>27</v>
      </c>
      <c r="C155" s="2" t="s">
        <v>9</v>
      </c>
      <c r="D155" s="2">
        <v>1.0</v>
      </c>
      <c r="E155" s="2">
        <v>1.0</v>
      </c>
      <c r="F155" s="2">
        <v>13.0</v>
      </c>
      <c r="G155" s="2">
        <v>15.0</v>
      </c>
    </row>
    <row r="156">
      <c r="A156" s="2">
        <v>2015.0</v>
      </c>
      <c r="B156" s="2" t="s">
        <v>27</v>
      </c>
      <c r="C156" s="2" t="s">
        <v>10</v>
      </c>
      <c r="D156" s="2">
        <v>934.0</v>
      </c>
      <c r="E156" s="2">
        <v>821.0</v>
      </c>
      <c r="F156" s="2">
        <v>3012.0</v>
      </c>
      <c r="G156" s="2">
        <v>4767.0</v>
      </c>
    </row>
    <row r="157">
      <c r="A157" s="2">
        <v>2015.0</v>
      </c>
      <c r="B157" s="2" t="s">
        <v>27</v>
      </c>
      <c r="C157" s="2" t="s">
        <v>12</v>
      </c>
      <c r="D157" s="2">
        <v>2.0</v>
      </c>
      <c r="E157" s="2">
        <v>3.0</v>
      </c>
      <c r="F157" s="2">
        <v>15.0</v>
      </c>
      <c r="G157" s="2">
        <v>20.0</v>
      </c>
    </row>
    <row r="158">
      <c r="A158" s="2">
        <v>2015.0</v>
      </c>
      <c r="B158" s="2" t="s">
        <v>27</v>
      </c>
      <c r="C158" s="2" t="s">
        <v>15</v>
      </c>
      <c r="D158" s="2">
        <v>182.0</v>
      </c>
      <c r="E158" s="2">
        <v>159.0</v>
      </c>
      <c r="F158" s="2">
        <v>688.0</v>
      </c>
      <c r="G158" s="2">
        <v>1029.0</v>
      </c>
    </row>
    <row r="159">
      <c r="A159" s="2">
        <v>2015.0</v>
      </c>
      <c r="B159" s="2" t="s">
        <v>27</v>
      </c>
      <c r="C159" s="2" t="s">
        <v>16</v>
      </c>
      <c r="D159" s="2">
        <v>1.0</v>
      </c>
      <c r="E159" s="2">
        <v>0.0</v>
      </c>
      <c r="F159" s="2">
        <v>5.0</v>
      </c>
      <c r="G159" s="2">
        <v>6.0</v>
      </c>
    </row>
    <row r="160">
      <c r="A160" s="2">
        <v>2015.0</v>
      </c>
      <c r="B160" s="2" t="s">
        <v>27</v>
      </c>
      <c r="C160" s="2" t="s">
        <v>14</v>
      </c>
      <c r="D160" s="2">
        <v>865.0</v>
      </c>
      <c r="E160" s="2">
        <v>788.0</v>
      </c>
      <c r="F160" s="2">
        <v>2964.0</v>
      </c>
      <c r="G160" s="2">
        <v>4617.0</v>
      </c>
    </row>
    <row r="161">
      <c r="A161" s="2">
        <v>2015.0</v>
      </c>
      <c r="B161" s="2" t="s">
        <v>27</v>
      </c>
      <c r="C161" s="2" t="s">
        <v>17</v>
      </c>
      <c r="D161" s="2">
        <v>1.0</v>
      </c>
      <c r="E161" s="2">
        <v>1.0</v>
      </c>
      <c r="F161" s="2">
        <v>11.0</v>
      </c>
      <c r="G161" s="2">
        <v>13.0</v>
      </c>
    </row>
    <row r="162">
      <c r="A162" s="2">
        <v>2015.0</v>
      </c>
      <c r="B162" s="2" t="s">
        <v>27</v>
      </c>
      <c r="C162" s="2" t="s">
        <v>19</v>
      </c>
      <c r="D162" s="2">
        <v>10.0</v>
      </c>
      <c r="E162" s="2">
        <v>9.0</v>
      </c>
      <c r="F162" s="2">
        <v>53.0</v>
      </c>
      <c r="G162" s="2">
        <v>72.0</v>
      </c>
    </row>
    <row r="163">
      <c r="A163" s="2">
        <v>2015.0</v>
      </c>
      <c r="B163" s="2" t="s">
        <v>27</v>
      </c>
      <c r="C163" s="2" t="s">
        <v>20</v>
      </c>
      <c r="D163" s="2">
        <v>9.0</v>
      </c>
      <c r="E163" s="2">
        <v>6.0</v>
      </c>
      <c r="F163" s="2">
        <v>16.0</v>
      </c>
      <c r="G163" s="2">
        <v>31.0</v>
      </c>
    </row>
    <row r="164">
      <c r="A164" s="2">
        <v>2015.0</v>
      </c>
      <c r="B164" s="2" t="s">
        <v>27</v>
      </c>
      <c r="C164" s="2" t="s">
        <v>21</v>
      </c>
      <c r="D164" s="2">
        <v>0.0</v>
      </c>
      <c r="E164" s="2">
        <v>0.0</v>
      </c>
      <c r="F164" s="2">
        <v>1.0</v>
      </c>
      <c r="G164" s="2">
        <v>1.0</v>
      </c>
    </row>
    <row r="165">
      <c r="A165" s="2">
        <v>2015.0</v>
      </c>
      <c r="B165" s="2" t="s">
        <v>27</v>
      </c>
      <c r="C165" s="2" t="s">
        <v>22</v>
      </c>
      <c r="D165" s="2">
        <v>2.0</v>
      </c>
      <c r="E165" s="2">
        <v>3.0</v>
      </c>
      <c r="F165" s="2">
        <v>15.0</v>
      </c>
      <c r="G165" s="2">
        <v>20.0</v>
      </c>
    </row>
    <row r="166">
      <c r="A166" s="2">
        <v>2015.0</v>
      </c>
      <c r="B166" s="2" t="s">
        <v>27</v>
      </c>
      <c r="C166" s="2" t="s">
        <v>23</v>
      </c>
      <c r="D166" s="2">
        <v>0.0</v>
      </c>
      <c r="E166" s="2">
        <v>0.0</v>
      </c>
      <c r="F166" s="2">
        <v>1.0</v>
      </c>
      <c r="G166" s="2">
        <v>1.0</v>
      </c>
    </row>
    <row r="167">
      <c r="A167" s="2">
        <v>2015.0</v>
      </c>
      <c r="B167" s="2" t="s">
        <v>29</v>
      </c>
      <c r="C167" s="2" t="s">
        <v>7</v>
      </c>
      <c r="D167" s="2">
        <v>2.0</v>
      </c>
      <c r="E167" s="2">
        <v>1.0</v>
      </c>
      <c r="F167" s="2">
        <v>4.0</v>
      </c>
      <c r="G167" s="2">
        <v>7.0</v>
      </c>
    </row>
    <row r="168">
      <c r="A168" s="2">
        <v>2015.0</v>
      </c>
      <c r="B168" s="2" t="s">
        <v>29</v>
      </c>
      <c r="C168" s="2" t="s">
        <v>33</v>
      </c>
      <c r="D168" s="2">
        <v>2.0</v>
      </c>
      <c r="E168" s="2">
        <v>1.0</v>
      </c>
      <c r="F168" s="2">
        <v>1.0</v>
      </c>
      <c r="G168" s="2">
        <v>4.0</v>
      </c>
    </row>
    <row r="169">
      <c r="A169" s="2">
        <v>2015.0</v>
      </c>
      <c r="B169" s="2" t="s">
        <v>29</v>
      </c>
      <c r="C169" s="2" t="s">
        <v>8</v>
      </c>
      <c r="D169" s="2">
        <v>0.0</v>
      </c>
      <c r="E169" s="2">
        <v>0.0</v>
      </c>
      <c r="F169" s="2">
        <v>0.0</v>
      </c>
      <c r="G169" s="2">
        <v>0.0</v>
      </c>
    </row>
    <row r="170">
      <c r="A170" s="2">
        <v>2015.0</v>
      </c>
      <c r="B170" s="2" t="s">
        <v>29</v>
      </c>
      <c r="C170" s="2" t="s">
        <v>9</v>
      </c>
      <c r="D170" s="2">
        <v>2.0</v>
      </c>
      <c r="E170" s="2">
        <v>2.0</v>
      </c>
      <c r="F170" s="2">
        <v>15.0</v>
      </c>
      <c r="G170" s="2">
        <v>19.0</v>
      </c>
    </row>
    <row r="171">
      <c r="A171" s="2">
        <v>2015.0</v>
      </c>
      <c r="B171" s="2" t="s">
        <v>29</v>
      </c>
      <c r="C171" s="2" t="s">
        <v>10</v>
      </c>
      <c r="D171" s="2">
        <v>1114.0</v>
      </c>
      <c r="E171" s="2">
        <v>916.0</v>
      </c>
      <c r="F171" s="2">
        <v>3418.0</v>
      </c>
      <c r="G171" s="2">
        <v>5448.0</v>
      </c>
    </row>
    <row r="172">
      <c r="A172" s="2">
        <v>2015.0</v>
      </c>
      <c r="B172" s="2" t="s">
        <v>29</v>
      </c>
      <c r="C172" s="2" t="s">
        <v>12</v>
      </c>
      <c r="D172" s="2">
        <v>4.0</v>
      </c>
      <c r="E172" s="2">
        <v>2.0</v>
      </c>
      <c r="F172" s="2">
        <v>21.0</v>
      </c>
      <c r="G172" s="2">
        <v>27.0</v>
      </c>
    </row>
    <row r="173">
      <c r="A173" s="2">
        <v>2015.0</v>
      </c>
      <c r="B173" s="2" t="s">
        <v>29</v>
      </c>
      <c r="C173" s="2" t="s">
        <v>15</v>
      </c>
      <c r="D173" s="2">
        <v>211.0</v>
      </c>
      <c r="E173" s="2">
        <v>184.0</v>
      </c>
      <c r="F173" s="2">
        <v>794.0</v>
      </c>
      <c r="G173" s="2">
        <v>1189.0</v>
      </c>
    </row>
    <row r="174">
      <c r="A174" s="2">
        <v>2015.0</v>
      </c>
      <c r="B174" s="2" t="s">
        <v>29</v>
      </c>
      <c r="C174" s="2" t="s">
        <v>16</v>
      </c>
      <c r="D174" s="2">
        <v>2.0</v>
      </c>
      <c r="E174" s="2">
        <v>1.0</v>
      </c>
      <c r="F174" s="2">
        <v>8.0</v>
      </c>
      <c r="G174" s="2">
        <v>11.0</v>
      </c>
    </row>
    <row r="175">
      <c r="A175" s="2">
        <v>2015.0</v>
      </c>
      <c r="B175" s="2" t="s">
        <v>29</v>
      </c>
      <c r="C175" s="2" t="s">
        <v>14</v>
      </c>
      <c r="D175" s="2">
        <v>1084.0</v>
      </c>
      <c r="E175" s="2">
        <v>942.0</v>
      </c>
      <c r="F175" s="2">
        <v>3658.0</v>
      </c>
      <c r="G175" s="2">
        <v>5684.0</v>
      </c>
    </row>
    <row r="176">
      <c r="A176" s="2">
        <v>2015.0</v>
      </c>
      <c r="B176" s="2" t="s">
        <v>29</v>
      </c>
      <c r="C176" s="2" t="s">
        <v>17</v>
      </c>
      <c r="D176" s="2">
        <v>2.0</v>
      </c>
      <c r="E176" s="2">
        <v>3.0</v>
      </c>
      <c r="F176" s="2">
        <v>15.0</v>
      </c>
      <c r="G176" s="2">
        <v>20.0</v>
      </c>
    </row>
    <row r="177">
      <c r="A177" s="2">
        <v>2015.0</v>
      </c>
      <c r="B177" s="2" t="s">
        <v>29</v>
      </c>
      <c r="C177" s="2" t="s">
        <v>19</v>
      </c>
      <c r="D177" s="2">
        <v>14.0</v>
      </c>
      <c r="E177" s="2">
        <v>12.0</v>
      </c>
      <c r="F177" s="2">
        <v>71.0</v>
      </c>
      <c r="G177" s="2">
        <v>97.0</v>
      </c>
    </row>
    <row r="178">
      <c r="A178" s="2">
        <v>2015.0</v>
      </c>
      <c r="B178" s="2" t="s">
        <v>29</v>
      </c>
      <c r="C178" s="2" t="s">
        <v>20</v>
      </c>
      <c r="D178" s="2">
        <v>11.0</v>
      </c>
      <c r="E178" s="2">
        <v>8.0</v>
      </c>
      <c r="F178" s="2">
        <v>22.0</v>
      </c>
      <c r="G178" s="2">
        <v>41.0</v>
      </c>
    </row>
    <row r="179">
      <c r="A179" s="2">
        <v>2015.0</v>
      </c>
      <c r="B179" s="2" t="s">
        <v>29</v>
      </c>
      <c r="C179" s="2" t="s">
        <v>21</v>
      </c>
      <c r="D179" s="2">
        <v>1.0</v>
      </c>
      <c r="E179" s="2">
        <v>0.0</v>
      </c>
      <c r="F179" s="2">
        <v>2.0</v>
      </c>
      <c r="G179" s="2">
        <v>3.0</v>
      </c>
    </row>
    <row r="180">
      <c r="A180" s="2">
        <v>2015.0</v>
      </c>
      <c r="B180" s="2" t="s">
        <v>29</v>
      </c>
      <c r="C180" s="2" t="s">
        <v>22</v>
      </c>
      <c r="D180" s="2">
        <v>4.0</v>
      </c>
      <c r="E180" s="2">
        <v>5.0</v>
      </c>
      <c r="F180" s="2">
        <v>20.0</v>
      </c>
      <c r="G180" s="2">
        <v>29.0</v>
      </c>
    </row>
    <row r="181">
      <c r="A181" s="2">
        <v>2015.0</v>
      </c>
      <c r="B181" s="2" t="s">
        <v>29</v>
      </c>
      <c r="C181" s="2" t="s">
        <v>23</v>
      </c>
      <c r="D181" s="2">
        <v>0.0</v>
      </c>
      <c r="E181" s="2">
        <v>1.0</v>
      </c>
      <c r="F181" s="2">
        <v>2.0</v>
      </c>
      <c r="G181" s="2">
        <v>3.0</v>
      </c>
    </row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>
      <c r="A2" s="2">
        <v>2016.0</v>
      </c>
      <c r="B2" s="2" t="s">
        <v>11</v>
      </c>
      <c r="C2" s="2" t="s">
        <v>7</v>
      </c>
      <c r="D2" s="2">
        <v>0.0</v>
      </c>
      <c r="E2" s="2">
        <v>2.0</v>
      </c>
      <c r="F2" s="2">
        <v>2.0</v>
      </c>
      <c r="G2" s="2">
        <v>4.0</v>
      </c>
    </row>
    <row r="3">
      <c r="A3" s="2">
        <v>2016.0</v>
      </c>
      <c r="B3" s="2" t="s">
        <v>11</v>
      </c>
      <c r="C3" s="2" t="s">
        <v>33</v>
      </c>
      <c r="D3" s="2">
        <v>0.0</v>
      </c>
      <c r="E3" s="2">
        <v>1.0</v>
      </c>
      <c r="F3" s="2">
        <v>3.0</v>
      </c>
      <c r="G3" s="2">
        <v>4.0</v>
      </c>
    </row>
    <row r="4">
      <c r="A4" s="2">
        <v>2016.0</v>
      </c>
      <c r="B4" s="2" t="s">
        <v>11</v>
      </c>
      <c r="C4" s="2" t="s">
        <v>8</v>
      </c>
      <c r="D4" s="2">
        <v>0.0</v>
      </c>
      <c r="E4" s="2">
        <v>0.0</v>
      </c>
      <c r="F4" s="2">
        <v>0.0</v>
      </c>
      <c r="G4" s="2">
        <v>0.0</v>
      </c>
    </row>
    <row r="5">
      <c r="A5" s="2">
        <v>2016.0</v>
      </c>
      <c r="B5" s="2" t="s">
        <v>11</v>
      </c>
      <c r="C5" s="2" t="s">
        <v>9</v>
      </c>
      <c r="D5" s="2">
        <v>3.0</v>
      </c>
      <c r="E5" s="2">
        <v>1.0</v>
      </c>
      <c r="F5" s="2">
        <v>14.0</v>
      </c>
      <c r="G5" s="2">
        <v>18.0</v>
      </c>
    </row>
    <row r="6">
      <c r="A6" s="2">
        <v>2016.0</v>
      </c>
      <c r="B6" s="2" t="s">
        <v>11</v>
      </c>
      <c r="C6" s="2" t="s">
        <v>10</v>
      </c>
      <c r="D6" s="2">
        <v>1146.0</v>
      </c>
      <c r="E6" s="2">
        <v>913.0</v>
      </c>
      <c r="F6" s="2">
        <v>3447.0</v>
      </c>
      <c r="G6" s="2">
        <v>5506.0</v>
      </c>
    </row>
    <row r="7">
      <c r="A7" s="2">
        <v>2016.0</v>
      </c>
      <c r="B7" s="2" t="s">
        <v>11</v>
      </c>
      <c r="C7" s="2" t="s">
        <v>12</v>
      </c>
      <c r="D7" s="2">
        <v>4.0</v>
      </c>
      <c r="E7" s="2">
        <v>2.0</v>
      </c>
      <c r="F7" s="2">
        <v>21.0</v>
      </c>
      <c r="G7" s="2">
        <v>27.0</v>
      </c>
    </row>
    <row r="8">
      <c r="A8" s="2">
        <v>2016.0</v>
      </c>
      <c r="B8" s="2" t="s">
        <v>11</v>
      </c>
      <c r="C8" s="2" t="s">
        <v>15</v>
      </c>
      <c r="D8" s="2">
        <v>214.0</v>
      </c>
      <c r="E8" s="2">
        <v>181.0</v>
      </c>
      <c r="F8" s="2">
        <v>794.0</v>
      </c>
      <c r="G8" s="2">
        <v>1189.0</v>
      </c>
    </row>
    <row r="9">
      <c r="A9" s="2">
        <v>2016.0</v>
      </c>
      <c r="B9" s="2" t="s">
        <v>11</v>
      </c>
      <c r="C9" s="2" t="s">
        <v>16</v>
      </c>
      <c r="D9" s="2">
        <v>2.0</v>
      </c>
      <c r="E9" s="2">
        <v>1.0</v>
      </c>
      <c r="F9" s="2">
        <v>8.0</v>
      </c>
      <c r="G9" s="2">
        <v>11.0</v>
      </c>
    </row>
    <row r="10">
      <c r="A10" s="2">
        <v>2016.0</v>
      </c>
      <c r="B10" s="2" t="s">
        <v>11</v>
      </c>
      <c r="C10" s="2" t="s">
        <v>14</v>
      </c>
      <c r="D10" s="2">
        <v>1086.0</v>
      </c>
      <c r="E10" s="2">
        <v>942.0</v>
      </c>
      <c r="F10" s="2">
        <v>3687.0</v>
      </c>
      <c r="G10" s="2">
        <v>5715.0</v>
      </c>
    </row>
    <row r="11">
      <c r="A11" s="2">
        <v>2016.0</v>
      </c>
      <c r="B11" s="2" t="s">
        <v>11</v>
      </c>
      <c r="C11" s="2" t="s">
        <v>17</v>
      </c>
      <c r="D11" s="2">
        <v>2.0</v>
      </c>
      <c r="E11" s="2">
        <v>3.0</v>
      </c>
      <c r="F11" s="2">
        <v>15.0</v>
      </c>
      <c r="G11" s="2">
        <v>20.0</v>
      </c>
    </row>
    <row r="12">
      <c r="A12" s="2">
        <v>2016.0</v>
      </c>
      <c r="B12" s="2" t="s">
        <v>11</v>
      </c>
      <c r="C12" s="2" t="s">
        <v>19</v>
      </c>
      <c r="D12" s="2">
        <v>14.0</v>
      </c>
      <c r="E12" s="2">
        <v>12.0</v>
      </c>
      <c r="F12" s="2">
        <v>71.0</v>
      </c>
      <c r="G12" s="2">
        <v>97.0</v>
      </c>
    </row>
    <row r="13">
      <c r="A13" s="2">
        <v>2016.0</v>
      </c>
      <c r="B13" s="2" t="s">
        <v>11</v>
      </c>
      <c r="C13" s="2" t="s">
        <v>20</v>
      </c>
      <c r="D13" s="2">
        <v>11.0</v>
      </c>
      <c r="E13" s="2">
        <v>8.0</v>
      </c>
      <c r="F13" s="2">
        <v>22.0</v>
      </c>
      <c r="G13" s="2">
        <v>41.0</v>
      </c>
    </row>
    <row r="14">
      <c r="A14" s="2">
        <v>2016.0</v>
      </c>
      <c r="B14" s="2" t="s">
        <v>11</v>
      </c>
      <c r="C14" s="2" t="s">
        <v>21</v>
      </c>
      <c r="D14" s="2">
        <v>1.0</v>
      </c>
      <c r="E14" s="2">
        <v>0.0</v>
      </c>
      <c r="F14" s="2">
        <v>2.0</v>
      </c>
      <c r="G14" s="2">
        <v>3.0</v>
      </c>
    </row>
    <row r="15">
      <c r="A15" s="2">
        <v>2016.0</v>
      </c>
      <c r="B15" s="2" t="s">
        <v>11</v>
      </c>
      <c r="C15" s="2" t="s">
        <v>22</v>
      </c>
      <c r="D15" s="2">
        <v>4.0</v>
      </c>
      <c r="E15" s="2">
        <v>5.0</v>
      </c>
      <c r="F15" s="2">
        <v>20.0</v>
      </c>
      <c r="G15" s="2">
        <v>29.0</v>
      </c>
    </row>
    <row r="16">
      <c r="A16" s="2">
        <v>2016.0</v>
      </c>
      <c r="B16" s="2" t="s">
        <v>11</v>
      </c>
      <c r="C16" s="2" t="s">
        <v>23</v>
      </c>
      <c r="D16" s="2">
        <v>0.0</v>
      </c>
      <c r="E16" s="2">
        <v>1.0</v>
      </c>
      <c r="F16" s="2">
        <v>2.0</v>
      </c>
      <c r="G16" s="2">
        <v>3.0</v>
      </c>
    </row>
    <row r="17">
      <c r="A17" s="2">
        <v>2016.0</v>
      </c>
      <c r="B17" s="2" t="s">
        <v>24</v>
      </c>
      <c r="C17" s="2" t="s">
        <v>7</v>
      </c>
      <c r="D17" s="2">
        <v>1.0</v>
      </c>
      <c r="E17" s="2">
        <v>0.0</v>
      </c>
      <c r="F17" s="2">
        <v>3.0</v>
      </c>
      <c r="G17" s="2">
        <v>4.0</v>
      </c>
    </row>
    <row r="18">
      <c r="A18" s="2">
        <v>2016.0</v>
      </c>
      <c r="B18" s="2" t="s">
        <v>24</v>
      </c>
      <c r="C18" s="2" t="s">
        <v>33</v>
      </c>
      <c r="D18" s="2">
        <v>1.0</v>
      </c>
      <c r="E18" s="2">
        <v>1.0</v>
      </c>
      <c r="F18" s="2">
        <v>1.0</v>
      </c>
      <c r="G18" s="2">
        <v>3.0</v>
      </c>
    </row>
    <row r="19">
      <c r="A19" s="2">
        <v>2016.0</v>
      </c>
      <c r="B19" s="2" t="s">
        <v>24</v>
      </c>
      <c r="C19" s="2" t="s">
        <v>8</v>
      </c>
      <c r="D19" s="2">
        <v>0.0</v>
      </c>
      <c r="E19" s="2">
        <v>0.0</v>
      </c>
      <c r="F19" s="2">
        <v>0.0</v>
      </c>
      <c r="G19" s="2">
        <v>0.0</v>
      </c>
    </row>
    <row r="20">
      <c r="A20" s="2">
        <v>2016.0</v>
      </c>
      <c r="B20" s="2" t="s">
        <v>24</v>
      </c>
      <c r="C20" s="2" t="s">
        <v>9</v>
      </c>
      <c r="D20" s="2">
        <v>1.0</v>
      </c>
      <c r="E20" s="2">
        <v>2.0</v>
      </c>
      <c r="F20" s="2">
        <v>11.0</v>
      </c>
      <c r="G20" s="2">
        <v>14.0</v>
      </c>
    </row>
    <row r="21">
      <c r="A21" s="2">
        <v>2016.0</v>
      </c>
      <c r="B21" s="2" t="s">
        <v>24</v>
      </c>
      <c r="C21" s="2" t="s">
        <v>10</v>
      </c>
      <c r="D21" s="2">
        <v>967.0</v>
      </c>
      <c r="E21" s="2">
        <v>812.0</v>
      </c>
      <c r="F21" s="2">
        <v>2998.0</v>
      </c>
      <c r="G21" s="2">
        <v>4777.0</v>
      </c>
    </row>
    <row r="22">
      <c r="A22" s="2">
        <v>2016.0</v>
      </c>
      <c r="B22" s="2" t="s">
        <v>24</v>
      </c>
      <c r="C22" s="2" t="s">
        <v>12</v>
      </c>
      <c r="D22" s="2">
        <v>3.0</v>
      </c>
      <c r="E22" s="2">
        <v>2.0</v>
      </c>
      <c r="F22" s="2">
        <v>16.0</v>
      </c>
      <c r="G22" s="2">
        <v>21.0</v>
      </c>
    </row>
    <row r="23">
      <c r="A23" s="2">
        <v>2016.0</v>
      </c>
      <c r="B23" s="2" t="s">
        <v>24</v>
      </c>
      <c r="C23" s="2" t="s">
        <v>15</v>
      </c>
      <c r="D23" s="2">
        <v>184.0</v>
      </c>
      <c r="E23" s="2">
        <v>165.0</v>
      </c>
      <c r="F23" s="2">
        <v>711.0</v>
      </c>
      <c r="G23" s="2">
        <v>1060.0</v>
      </c>
    </row>
    <row r="24">
      <c r="A24" s="2">
        <v>2016.0</v>
      </c>
      <c r="B24" s="2" t="s">
        <v>24</v>
      </c>
      <c r="C24" s="2" t="s">
        <v>16</v>
      </c>
      <c r="D24" s="2">
        <v>1.0</v>
      </c>
      <c r="E24" s="2">
        <v>0.0</v>
      </c>
      <c r="F24" s="2">
        <v>5.0</v>
      </c>
      <c r="G24" s="2">
        <v>6.0</v>
      </c>
    </row>
    <row r="25">
      <c r="A25" s="2">
        <v>2016.0</v>
      </c>
      <c r="B25" s="2" t="s">
        <v>24</v>
      </c>
      <c r="C25" s="2" t="s">
        <v>14</v>
      </c>
      <c r="D25" s="2">
        <v>895.0</v>
      </c>
      <c r="E25" s="2">
        <v>804.0</v>
      </c>
      <c r="F25" s="2">
        <v>3112.0</v>
      </c>
      <c r="G25" s="2">
        <v>4811.0</v>
      </c>
    </row>
    <row r="26">
      <c r="A26" s="2">
        <v>2016.0</v>
      </c>
      <c r="B26" s="2" t="s">
        <v>24</v>
      </c>
      <c r="C26" s="2" t="s">
        <v>17</v>
      </c>
      <c r="D26" s="2">
        <v>1.0</v>
      </c>
      <c r="E26" s="2">
        <v>2.0</v>
      </c>
      <c r="F26" s="2">
        <v>14.0</v>
      </c>
      <c r="G26" s="2">
        <v>17.0</v>
      </c>
    </row>
    <row r="27">
      <c r="A27" s="2">
        <v>2016.0</v>
      </c>
      <c r="B27" s="2" t="s">
        <v>24</v>
      </c>
      <c r="C27" s="2" t="s">
        <v>19</v>
      </c>
      <c r="D27" s="2">
        <v>10.0</v>
      </c>
      <c r="E27" s="2">
        <v>10.0</v>
      </c>
      <c r="F27" s="2">
        <v>58.0</v>
      </c>
      <c r="G27" s="2">
        <v>78.0</v>
      </c>
    </row>
    <row r="28">
      <c r="A28" s="2">
        <v>2016.0</v>
      </c>
      <c r="B28" s="2" t="s">
        <v>24</v>
      </c>
      <c r="C28" s="2" t="s">
        <v>20</v>
      </c>
      <c r="D28" s="2">
        <v>10.0</v>
      </c>
      <c r="E28" s="2">
        <v>7.0</v>
      </c>
      <c r="F28" s="2">
        <v>18.0</v>
      </c>
      <c r="G28" s="2">
        <v>35.0</v>
      </c>
    </row>
    <row r="29">
      <c r="A29" s="2">
        <v>2016.0</v>
      </c>
      <c r="B29" s="2" t="s">
        <v>24</v>
      </c>
      <c r="C29" s="2" t="s">
        <v>21</v>
      </c>
      <c r="D29" s="2">
        <v>0.0</v>
      </c>
      <c r="E29" s="2">
        <v>0.0</v>
      </c>
      <c r="F29" s="2">
        <v>1.0</v>
      </c>
      <c r="G29" s="2">
        <v>1.0</v>
      </c>
    </row>
    <row r="30">
      <c r="A30" s="2">
        <v>2016.0</v>
      </c>
      <c r="B30" s="2" t="s">
        <v>24</v>
      </c>
      <c r="C30" s="2" t="s">
        <v>22</v>
      </c>
      <c r="D30" s="2">
        <v>3.0</v>
      </c>
      <c r="E30" s="2">
        <v>4.0</v>
      </c>
      <c r="F30" s="2">
        <v>18.0</v>
      </c>
      <c r="G30" s="2">
        <v>25.0</v>
      </c>
    </row>
    <row r="31">
      <c r="A31" s="2">
        <v>2016.0</v>
      </c>
      <c r="B31" s="2" t="s">
        <v>24</v>
      </c>
      <c r="C31" s="2" t="s">
        <v>23</v>
      </c>
      <c r="D31" s="2">
        <v>0.0</v>
      </c>
      <c r="E31" s="2">
        <v>0.0</v>
      </c>
      <c r="F31" s="2">
        <v>2.0</v>
      </c>
      <c r="G31" s="2">
        <v>2.0</v>
      </c>
    </row>
    <row r="32">
      <c r="A32" s="2">
        <v>2016.0</v>
      </c>
      <c r="B32" s="2" t="s">
        <v>26</v>
      </c>
      <c r="C32" s="2" t="s">
        <v>7</v>
      </c>
      <c r="D32" s="2">
        <v>1.0</v>
      </c>
      <c r="E32" s="2">
        <v>0.0</v>
      </c>
      <c r="F32" s="2">
        <v>2.0</v>
      </c>
      <c r="G32" s="2">
        <v>3.0</v>
      </c>
    </row>
    <row r="33">
      <c r="A33" s="2">
        <v>2016.0</v>
      </c>
      <c r="B33" s="2" t="s">
        <v>26</v>
      </c>
      <c r="C33" s="2" t="s">
        <v>33</v>
      </c>
      <c r="D33" s="2">
        <v>1.0</v>
      </c>
      <c r="E33" s="2">
        <v>1.0</v>
      </c>
      <c r="F33" s="2">
        <v>2.0</v>
      </c>
      <c r="G33" s="2">
        <v>4.0</v>
      </c>
    </row>
    <row r="34">
      <c r="A34" s="2">
        <v>2016.0</v>
      </c>
      <c r="B34" s="2" t="s">
        <v>26</v>
      </c>
      <c r="C34" s="2" t="s">
        <v>8</v>
      </c>
      <c r="D34" s="2">
        <v>0.0</v>
      </c>
      <c r="E34" s="2">
        <v>0.0</v>
      </c>
      <c r="F34" s="2">
        <v>0.0</v>
      </c>
      <c r="G34" s="2">
        <v>0.0</v>
      </c>
    </row>
    <row r="35">
      <c r="A35" s="2">
        <v>2016.0</v>
      </c>
      <c r="B35" s="2" t="s">
        <v>26</v>
      </c>
      <c r="C35" s="2" t="s">
        <v>9</v>
      </c>
      <c r="D35" s="2">
        <v>1.0</v>
      </c>
      <c r="E35" s="2">
        <v>2.0</v>
      </c>
      <c r="F35" s="2">
        <v>11.0</v>
      </c>
      <c r="G35" s="2">
        <v>14.0</v>
      </c>
    </row>
    <row r="36">
      <c r="A36" s="2">
        <v>2016.0</v>
      </c>
      <c r="B36" s="2" t="s">
        <v>26</v>
      </c>
      <c r="C36" s="2" t="s">
        <v>10</v>
      </c>
      <c r="D36" s="2">
        <v>842.0</v>
      </c>
      <c r="E36" s="2">
        <v>741.0</v>
      </c>
      <c r="F36" s="2">
        <v>2831.0</v>
      </c>
      <c r="G36" s="2">
        <v>4414.0</v>
      </c>
    </row>
    <row r="37">
      <c r="A37" s="2">
        <v>2016.0</v>
      </c>
      <c r="B37" s="2" t="s">
        <v>26</v>
      </c>
      <c r="C37" s="2" t="s">
        <v>12</v>
      </c>
      <c r="D37" s="2">
        <v>2.0</v>
      </c>
      <c r="E37" s="2">
        <v>2.0</v>
      </c>
      <c r="F37" s="2">
        <v>15.0</v>
      </c>
      <c r="G37" s="2">
        <v>19.0</v>
      </c>
    </row>
    <row r="38">
      <c r="A38" s="2">
        <v>2016.0</v>
      </c>
      <c r="B38" s="2" t="s">
        <v>26</v>
      </c>
      <c r="C38" s="2" t="s">
        <v>15</v>
      </c>
      <c r="D38" s="2">
        <v>172.0</v>
      </c>
      <c r="E38" s="2">
        <v>151.0</v>
      </c>
      <c r="F38" s="2">
        <v>649.0</v>
      </c>
      <c r="G38" s="2">
        <v>972.0</v>
      </c>
    </row>
    <row r="39">
      <c r="A39" s="2">
        <v>2016.0</v>
      </c>
      <c r="B39" s="2" t="s">
        <v>26</v>
      </c>
      <c r="C39" s="2" t="s">
        <v>16</v>
      </c>
      <c r="D39" s="2">
        <v>1.0</v>
      </c>
      <c r="E39" s="2">
        <v>0.0</v>
      </c>
      <c r="F39" s="2">
        <v>5.0</v>
      </c>
      <c r="G39" s="2">
        <v>6.0</v>
      </c>
    </row>
    <row r="40">
      <c r="A40" s="2">
        <v>2016.0</v>
      </c>
      <c r="B40" s="2" t="s">
        <v>26</v>
      </c>
      <c r="C40" s="2" t="s">
        <v>14</v>
      </c>
      <c r="D40" s="2">
        <v>811.0</v>
      </c>
      <c r="E40" s="2">
        <v>743.0</v>
      </c>
      <c r="F40" s="2">
        <v>2894.0</v>
      </c>
      <c r="G40" s="2">
        <v>4448.0</v>
      </c>
    </row>
    <row r="41">
      <c r="A41" s="2">
        <v>2016.0</v>
      </c>
      <c r="B41" s="2" t="s">
        <v>26</v>
      </c>
      <c r="C41" s="2" t="s">
        <v>17</v>
      </c>
      <c r="D41" s="2">
        <v>1.0</v>
      </c>
      <c r="E41" s="2">
        <v>2.0</v>
      </c>
      <c r="F41" s="2">
        <v>12.0</v>
      </c>
      <c r="G41" s="2">
        <v>15.0</v>
      </c>
    </row>
    <row r="42">
      <c r="A42" s="2">
        <v>2016.0</v>
      </c>
      <c r="B42" s="2" t="s">
        <v>26</v>
      </c>
      <c r="C42" s="2" t="s">
        <v>19</v>
      </c>
      <c r="D42" s="2">
        <v>9.0</v>
      </c>
      <c r="E42" s="2">
        <v>9.0</v>
      </c>
      <c r="F42" s="2">
        <v>51.0</v>
      </c>
      <c r="G42" s="2">
        <v>69.0</v>
      </c>
    </row>
    <row r="43">
      <c r="A43" s="2">
        <v>2016.0</v>
      </c>
      <c r="B43" s="2" t="s">
        <v>26</v>
      </c>
      <c r="C43" s="2" t="s">
        <v>20</v>
      </c>
      <c r="D43" s="2">
        <v>9.0</v>
      </c>
      <c r="E43" s="2">
        <v>6.0</v>
      </c>
      <c r="F43" s="2">
        <v>17.0</v>
      </c>
      <c r="G43" s="2">
        <v>32.0</v>
      </c>
    </row>
    <row r="44">
      <c r="A44" s="2">
        <v>2016.0</v>
      </c>
      <c r="B44" s="2" t="s">
        <v>26</v>
      </c>
      <c r="C44" s="2" t="s">
        <v>21</v>
      </c>
      <c r="D44" s="2">
        <v>0.0</v>
      </c>
      <c r="E44" s="2">
        <v>0.0</v>
      </c>
      <c r="F44" s="2">
        <v>1.0</v>
      </c>
      <c r="G44" s="2">
        <v>1.0</v>
      </c>
    </row>
    <row r="45">
      <c r="A45" s="2">
        <v>2016.0</v>
      </c>
      <c r="B45" s="2" t="s">
        <v>26</v>
      </c>
      <c r="C45" s="2" t="s">
        <v>22</v>
      </c>
      <c r="D45" s="2">
        <v>3.0</v>
      </c>
      <c r="E45" s="2">
        <v>4.0</v>
      </c>
      <c r="F45" s="2">
        <v>16.0</v>
      </c>
      <c r="G45" s="2">
        <v>23.0</v>
      </c>
    </row>
    <row r="46">
      <c r="A46" s="2">
        <v>2016.0</v>
      </c>
      <c r="B46" s="2" t="s">
        <v>26</v>
      </c>
      <c r="C46" s="2" t="s">
        <v>23</v>
      </c>
      <c r="D46" s="2">
        <v>0.0</v>
      </c>
      <c r="E46" s="2">
        <v>0.0</v>
      </c>
      <c r="F46" s="2">
        <v>2.0</v>
      </c>
      <c r="G46" s="2">
        <v>2.0</v>
      </c>
    </row>
    <row r="47">
      <c r="A47" s="2">
        <v>2016.0</v>
      </c>
      <c r="B47" s="2" t="s">
        <v>13</v>
      </c>
      <c r="C47" s="2" t="s">
        <v>7</v>
      </c>
      <c r="D47" s="2">
        <v>2.0</v>
      </c>
      <c r="E47" s="2">
        <v>0.0</v>
      </c>
      <c r="F47" s="2">
        <v>1.0</v>
      </c>
      <c r="G47" s="2">
        <v>3.0</v>
      </c>
    </row>
    <row r="48">
      <c r="A48" s="2">
        <v>2016.0</v>
      </c>
      <c r="B48" s="2" t="s">
        <v>13</v>
      </c>
      <c r="C48" s="2" t="s">
        <v>33</v>
      </c>
      <c r="D48" s="2">
        <v>1.0</v>
      </c>
      <c r="E48" s="2">
        <v>0.0</v>
      </c>
      <c r="F48" s="2">
        <v>2.0</v>
      </c>
      <c r="G48" s="2">
        <v>3.0</v>
      </c>
    </row>
    <row r="49">
      <c r="A49" s="2">
        <v>2016.0</v>
      </c>
      <c r="B49" s="2" t="s">
        <v>13</v>
      </c>
      <c r="C49" s="2" t="s">
        <v>8</v>
      </c>
      <c r="D49" s="2">
        <v>0.0</v>
      </c>
      <c r="E49" s="2">
        <v>0.0</v>
      </c>
      <c r="F49" s="2">
        <v>0.0</v>
      </c>
      <c r="G49" s="2">
        <v>0.0</v>
      </c>
    </row>
    <row r="50">
      <c r="A50" s="2">
        <v>2016.0</v>
      </c>
      <c r="B50" s="2" t="s">
        <v>13</v>
      </c>
      <c r="C50" s="2" t="s">
        <v>9</v>
      </c>
      <c r="D50" s="2">
        <v>2.0</v>
      </c>
      <c r="E50" s="2">
        <v>3.0</v>
      </c>
      <c r="F50" s="2">
        <v>12.0</v>
      </c>
      <c r="G50" s="2">
        <v>17.0</v>
      </c>
    </row>
    <row r="51">
      <c r="A51" s="2">
        <v>2016.0</v>
      </c>
      <c r="B51" s="2" t="s">
        <v>13</v>
      </c>
      <c r="C51" s="2" t="s">
        <v>10</v>
      </c>
      <c r="D51" s="2">
        <v>913.0</v>
      </c>
      <c r="E51" s="2">
        <v>805.0</v>
      </c>
      <c r="F51" s="2">
        <v>2914.0</v>
      </c>
      <c r="G51" s="2">
        <v>4632.0</v>
      </c>
    </row>
    <row r="52">
      <c r="A52" s="2">
        <v>2016.0</v>
      </c>
      <c r="B52" s="2" t="s">
        <v>13</v>
      </c>
      <c r="C52" s="2" t="s">
        <v>12</v>
      </c>
      <c r="D52" s="2">
        <v>3.0</v>
      </c>
      <c r="E52" s="2">
        <v>2.0</v>
      </c>
      <c r="F52" s="2">
        <v>17.0</v>
      </c>
      <c r="G52" s="2">
        <v>22.0</v>
      </c>
    </row>
    <row r="53">
      <c r="A53" s="2">
        <v>2016.0</v>
      </c>
      <c r="B53" s="2" t="s">
        <v>13</v>
      </c>
      <c r="C53" s="2" t="s">
        <v>15</v>
      </c>
      <c r="D53" s="2">
        <v>191.0</v>
      </c>
      <c r="E53" s="2">
        <v>168.0</v>
      </c>
      <c r="F53" s="2">
        <v>702.0</v>
      </c>
      <c r="G53" s="2">
        <v>1061.0</v>
      </c>
    </row>
    <row r="54">
      <c r="A54" s="2">
        <v>2016.0</v>
      </c>
      <c r="B54" s="2" t="s">
        <v>13</v>
      </c>
      <c r="C54" s="2" t="s">
        <v>16</v>
      </c>
      <c r="D54" s="2">
        <v>1.0</v>
      </c>
      <c r="E54" s="2">
        <v>0.0</v>
      </c>
      <c r="F54" s="2">
        <v>6.0</v>
      </c>
      <c r="G54" s="2">
        <v>7.0</v>
      </c>
    </row>
    <row r="55">
      <c r="A55" s="2">
        <v>2016.0</v>
      </c>
      <c r="B55" s="2" t="s">
        <v>13</v>
      </c>
      <c r="C55" s="2" t="s">
        <v>14</v>
      </c>
      <c r="D55" s="2">
        <v>884.0</v>
      </c>
      <c r="E55" s="2">
        <v>812.0</v>
      </c>
      <c r="F55" s="2">
        <v>3012.0</v>
      </c>
      <c r="G55" s="2">
        <v>4708.0</v>
      </c>
    </row>
    <row r="56">
      <c r="A56" s="2">
        <v>2016.0</v>
      </c>
      <c r="B56" s="2" t="s">
        <v>13</v>
      </c>
      <c r="C56" s="2" t="s">
        <v>17</v>
      </c>
      <c r="D56" s="2">
        <v>1.0</v>
      </c>
      <c r="E56" s="2">
        <v>2.0</v>
      </c>
      <c r="F56" s="2">
        <v>13.0</v>
      </c>
      <c r="G56" s="2">
        <v>16.0</v>
      </c>
    </row>
    <row r="57">
      <c r="A57" s="2">
        <v>2016.0</v>
      </c>
      <c r="B57" s="2" t="s">
        <v>13</v>
      </c>
      <c r="C57" s="2" t="s">
        <v>19</v>
      </c>
      <c r="D57" s="2">
        <v>11.0</v>
      </c>
      <c r="E57" s="2">
        <v>10.0</v>
      </c>
      <c r="F57" s="2">
        <v>56.0</v>
      </c>
      <c r="G57" s="2">
        <v>77.0</v>
      </c>
    </row>
    <row r="58">
      <c r="A58" s="2">
        <v>2016.0</v>
      </c>
      <c r="B58" s="2" t="s">
        <v>13</v>
      </c>
      <c r="C58" s="2" t="s">
        <v>20</v>
      </c>
      <c r="D58" s="2">
        <v>10.0</v>
      </c>
      <c r="E58" s="2">
        <v>7.0</v>
      </c>
      <c r="F58" s="2">
        <v>18.0</v>
      </c>
      <c r="G58" s="2">
        <v>35.0</v>
      </c>
    </row>
    <row r="59">
      <c r="A59" s="2">
        <v>2016.0</v>
      </c>
      <c r="B59" s="2" t="s">
        <v>13</v>
      </c>
      <c r="C59" s="2" t="s">
        <v>21</v>
      </c>
      <c r="D59" s="2">
        <v>0.0</v>
      </c>
      <c r="E59" s="2">
        <v>0.0</v>
      </c>
      <c r="F59" s="2">
        <v>1.0</v>
      </c>
      <c r="G59" s="2">
        <v>1.0</v>
      </c>
    </row>
    <row r="60">
      <c r="A60" s="2">
        <v>2016.0</v>
      </c>
      <c r="B60" s="2" t="s">
        <v>13</v>
      </c>
      <c r="C60" s="2" t="s">
        <v>22</v>
      </c>
      <c r="D60" s="2">
        <v>3.0</v>
      </c>
      <c r="E60" s="2">
        <v>4.0</v>
      </c>
      <c r="F60" s="2">
        <v>18.0</v>
      </c>
      <c r="G60" s="2">
        <v>25.0</v>
      </c>
    </row>
    <row r="61">
      <c r="A61" s="2">
        <v>2016.0</v>
      </c>
      <c r="B61" s="2" t="s">
        <v>13</v>
      </c>
      <c r="C61" s="2" t="s">
        <v>23</v>
      </c>
      <c r="D61" s="2">
        <v>0.0</v>
      </c>
      <c r="E61" s="2">
        <v>0.0</v>
      </c>
      <c r="F61" s="2">
        <v>2.0</v>
      </c>
      <c r="G61" s="2">
        <v>2.0</v>
      </c>
    </row>
    <row r="62">
      <c r="A62" s="2">
        <v>2016.0</v>
      </c>
      <c r="B62" s="2" t="s">
        <v>30</v>
      </c>
      <c r="C62" s="2" t="s">
        <v>7</v>
      </c>
      <c r="D62" s="2">
        <v>1.0</v>
      </c>
      <c r="E62" s="2">
        <v>1.0</v>
      </c>
      <c r="F62" s="2">
        <v>2.0</v>
      </c>
      <c r="G62" s="2">
        <v>4.0</v>
      </c>
    </row>
    <row r="63">
      <c r="A63" s="2">
        <v>2016.0</v>
      </c>
      <c r="B63" s="2" t="s">
        <v>30</v>
      </c>
      <c r="C63" s="2" t="s">
        <v>33</v>
      </c>
      <c r="D63" s="2">
        <v>1.0</v>
      </c>
      <c r="E63" s="2">
        <v>0.0</v>
      </c>
      <c r="F63" s="2">
        <v>1.0</v>
      </c>
      <c r="G63" s="2">
        <v>2.0</v>
      </c>
    </row>
    <row r="64">
      <c r="A64" s="2">
        <v>2016.0</v>
      </c>
      <c r="B64" s="2" t="s">
        <v>30</v>
      </c>
      <c r="C64" s="2" t="s">
        <v>8</v>
      </c>
      <c r="D64" s="2">
        <v>0.0</v>
      </c>
      <c r="E64" s="2">
        <v>0.0</v>
      </c>
      <c r="F64" s="2">
        <v>0.0</v>
      </c>
      <c r="G64" s="2">
        <v>0.0</v>
      </c>
    </row>
    <row r="65">
      <c r="A65" s="2">
        <v>2016.0</v>
      </c>
      <c r="B65" s="2" t="s">
        <v>30</v>
      </c>
      <c r="C65" s="2" t="s">
        <v>9</v>
      </c>
      <c r="D65" s="2">
        <v>1.0</v>
      </c>
      <c r="E65" s="2">
        <v>1.0</v>
      </c>
      <c r="F65" s="2">
        <v>13.0</v>
      </c>
      <c r="G65" s="2">
        <v>15.0</v>
      </c>
    </row>
    <row r="66">
      <c r="A66" s="2">
        <v>2016.0</v>
      </c>
      <c r="B66" s="2" t="s">
        <v>30</v>
      </c>
      <c r="C66" s="2" t="s">
        <v>10</v>
      </c>
      <c r="D66" s="2">
        <v>934.0</v>
      </c>
      <c r="E66" s="2">
        <v>821.0</v>
      </c>
      <c r="F66" s="2">
        <v>3012.0</v>
      </c>
      <c r="G66" s="2">
        <v>4767.0</v>
      </c>
    </row>
    <row r="67">
      <c r="A67" s="2">
        <v>2016.0</v>
      </c>
      <c r="B67" s="2" t="s">
        <v>30</v>
      </c>
      <c r="C67" s="2" t="s">
        <v>12</v>
      </c>
      <c r="D67" s="2">
        <v>2.0</v>
      </c>
      <c r="E67" s="2">
        <v>3.0</v>
      </c>
      <c r="F67" s="2">
        <v>15.0</v>
      </c>
      <c r="G67" s="2">
        <v>20.0</v>
      </c>
    </row>
    <row r="68">
      <c r="A68" s="2">
        <v>2016.0</v>
      </c>
      <c r="B68" s="2" t="s">
        <v>30</v>
      </c>
      <c r="C68" s="2" t="s">
        <v>15</v>
      </c>
      <c r="D68" s="2">
        <v>182.0</v>
      </c>
      <c r="E68" s="2">
        <v>159.0</v>
      </c>
      <c r="F68" s="2">
        <v>688.0</v>
      </c>
      <c r="G68" s="2">
        <v>1029.0</v>
      </c>
    </row>
    <row r="69">
      <c r="A69" s="2">
        <v>2016.0</v>
      </c>
      <c r="B69" s="2" t="s">
        <v>30</v>
      </c>
      <c r="C69" s="2" t="s">
        <v>16</v>
      </c>
      <c r="D69" s="2">
        <v>1.0</v>
      </c>
      <c r="E69" s="2">
        <v>0.0</v>
      </c>
      <c r="F69" s="2">
        <v>5.0</v>
      </c>
      <c r="G69" s="2">
        <v>6.0</v>
      </c>
    </row>
    <row r="70">
      <c r="A70" s="2">
        <v>2016.0</v>
      </c>
      <c r="B70" s="2" t="s">
        <v>30</v>
      </c>
      <c r="C70" s="2" t="s">
        <v>14</v>
      </c>
      <c r="D70" s="2">
        <v>865.0</v>
      </c>
      <c r="E70" s="2">
        <v>788.0</v>
      </c>
      <c r="F70" s="2">
        <v>2964.0</v>
      </c>
      <c r="G70" s="2">
        <v>4617.0</v>
      </c>
    </row>
    <row r="71">
      <c r="A71" s="2">
        <v>2016.0</v>
      </c>
      <c r="B71" s="2" t="s">
        <v>30</v>
      </c>
      <c r="C71" s="2" t="s">
        <v>17</v>
      </c>
      <c r="D71" s="2">
        <v>1.0</v>
      </c>
      <c r="E71" s="2">
        <v>1.0</v>
      </c>
      <c r="F71" s="2">
        <v>11.0</v>
      </c>
      <c r="G71" s="2">
        <v>13.0</v>
      </c>
    </row>
    <row r="72">
      <c r="A72" s="2">
        <v>2016.0</v>
      </c>
      <c r="B72" s="2" t="s">
        <v>30</v>
      </c>
      <c r="C72" s="2" t="s">
        <v>19</v>
      </c>
      <c r="D72" s="2">
        <v>10.0</v>
      </c>
      <c r="E72" s="2">
        <v>9.0</v>
      </c>
      <c r="F72" s="2">
        <v>53.0</v>
      </c>
      <c r="G72" s="2">
        <v>72.0</v>
      </c>
    </row>
    <row r="73">
      <c r="A73" s="2">
        <v>2016.0</v>
      </c>
      <c r="B73" s="2" t="s">
        <v>30</v>
      </c>
      <c r="C73" s="2" t="s">
        <v>20</v>
      </c>
      <c r="D73" s="2">
        <v>9.0</v>
      </c>
      <c r="E73" s="2">
        <v>6.0</v>
      </c>
      <c r="F73" s="2">
        <v>16.0</v>
      </c>
      <c r="G73" s="2">
        <v>31.0</v>
      </c>
    </row>
    <row r="74">
      <c r="A74" s="2">
        <v>2016.0</v>
      </c>
      <c r="B74" s="2" t="s">
        <v>30</v>
      </c>
      <c r="C74" s="2" t="s">
        <v>21</v>
      </c>
      <c r="D74" s="2">
        <v>0.0</v>
      </c>
      <c r="E74" s="2">
        <v>0.0</v>
      </c>
      <c r="F74" s="2">
        <v>1.0</v>
      </c>
      <c r="G74" s="2">
        <v>1.0</v>
      </c>
    </row>
    <row r="75">
      <c r="A75" s="2">
        <v>2016.0</v>
      </c>
      <c r="B75" s="2" t="s">
        <v>30</v>
      </c>
      <c r="C75" s="2" t="s">
        <v>22</v>
      </c>
      <c r="D75" s="2">
        <v>2.0</v>
      </c>
      <c r="E75" s="2">
        <v>3.0</v>
      </c>
      <c r="F75" s="2">
        <v>15.0</v>
      </c>
      <c r="G75" s="2">
        <v>20.0</v>
      </c>
    </row>
    <row r="76">
      <c r="A76" s="2">
        <v>2016.0</v>
      </c>
      <c r="B76" s="2" t="s">
        <v>30</v>
      </c>
      <c r="C76" s="2" t="s">
        <v>23</v>
      </c>
      <c r="D76" s="2">
        <v>0.0</v>
      </c>
      <c r="E76" s="2">
        <v>0.0</v>
      </c>
      <c r="F76" s="2">
        <v>1.0</v>
      </c>
      <c r="G76" s="2">
        <v>1.0</v>
      </c>
    </row>
    <row r="77">
      <c r="A77" s="2">
        <v>2016.0</v>
      </c>
      <c r="B77" s="2" t="s">
        <v>28</v>
      </c>
      <c r="C77" s="2" t="s">
        <v>7</v>
      </c>
      <c r="D77" s="2">
        <v>2.0</v>
      </c>
      <c r="E77" s="2">
        <v>1.0</v>
      </c>
      <c r="F77" s="2">
        <v>4.0</v>
      </c>
      <c r="G77" s="2">
        <v>7.0</v>
      </c>
    </row>
    <row r="78">
      <c r="A78" s="2">
        <v>2016.0</v>
      </c>
      <c r="B78" s="2" t="s">
        <v>28</v>
      </c>
      <c r="C78" s="2" t="s">
        <v>33</v>
      </c>
      <c r="D78" s="2">
        <v>2.0</v>
      </c>
      <c r="E78" s="2">
        <v>1.0</v>
      </c>
      <c r="F78" s="2">
        <v>1.0</v>
      </c>
      <c r="G78" s="2">
        <v>4.0</v>
      </c>
    </row>
    <row r="79">
      <c r="A79" s="2">
        <v>2016.0</v>
      </c>
      <c r="B79" s="2" t="s">
        <v>28</v>
      </c>
      <c r="C79" s="2" t="s">
        <v>8</v>
      </c>
      <c r="D79" s="2">
        <v>0.0</v>
      </c>
      <c r="E79" s="2">
        <v>0.0</v>
      </c>
      <c r="F79" s="2">
        <v>0.0</v>
      </c>
      <c r="G79" s="2">
        <v>0.0</v>
      </c>
    </row>
    <row r="80">
      <c r="A80" s="2">
        <v>2016.0</v>
      </c>
      <c r="B80" s="2" t="s">
        <v>28</v>
      </c>
      <c r="C80" s="2" t="s">
        <v>9</v>
      </c>
      <c r="D80" s="2">
        <v>2.0</v>
      </c>
      <c r="E80" s="2">
        <v>2.0</v>
      </c>
      <c r="F80" s="2">
        <v>15.0</v>
      </c>
      <c r="G80" s="2">
        <v>19.0</v>
      </c>
    </row>
    <row r="81">
      <c r="A81" s="2">
        <v>2016.0</v>
      </c>
      <c r="B81" s="2" t="s">
        <v>28</v>
      </c>
      <c r="C81" s="2" t="s">
        <v>10</v>
      </c>
      <c r="D81" s="2">
        <v>1114.0</v>
      </c>
      <c r="E81" s="2">
        <v>916.0</v>
      </c>
      <c r="F81" s="2">
        <v>3418.0</v>
      </c>
      <c r="G81" s="2">
        <v>5448.0</v>
      </c>
    </row>
    <row r="82">
      <c r="A82" s="2">
        <v>2016.0</v>
      </c>
      <c r="B82" s="2" t="s">
        <v>28</v>
      </c>
      <c r="C82" s="2" t="s">
        <v>12</v>
      </c>
      <c r="D82" s="2">
        <v>4.0</v>
      </c>
      <c r="E82" s="2">
        <v>2.0</v>
      </c>
      <c r="F82" s="2">
        <v>21.0</v>
      </c>
      <c r="G82" s="2">
        <v>27.0</v>
      </c>
    </row>
    <row r="83">
      <c r="A83" s="2">
        <v>2016.0</v>
      </c>
      <c r="B83" s="2" t="s">
        <v>28</v>
      </c>
      <c r="C83" s="2" t="s">
        <v>15</v>
      </c>
      <c r="D83" s="2">
        <v>211.0</v>
      </c>
      <c r="E83" s="2">
        <v>184.0</v>
      </c>
      <c r="F83" s="2">
        <v>794.0</v>
      </c>
      <c r="G83" s="2">
        <v>1189.0</v>
      </c>
    </row>
    <row r="84">
      <c r="A84" s="2">
        <v>2016.0</v>
      </c>
      <c r="B84" s="2" t="s">
        <v>28</v>
      </c>
      <c r="C84" s="2" t="s">
        <v>16</v>
      </c>
      <c r="D84" s="2">
        <v>2.0</v>
      </c>
      <c r="E84" s="2">
        <v>1.0</v>
      </c>
      <c r="F84" s="2">
        <v>8.0</v>
      </c>
      <c r="G84" s="2">
        <v>11.0</v>
      </c>
    </row>
    <row r="85">
      <c r="A85" s="2">
        <v>2016.0</v>
      </c>
      <c r="B85" s="2" t="s">
        <v>28</v>
      </c>
      <c r="C85" s="2" t="s">
        <v>14</v>
      </c>
      <c r="D85" s="2">
        <v>1084.0</v>
      </c>
      <c r="E85" s="2">
        <v>942.0</v>
      </c>
      <c r="F85" s="2">
        <v>3658.0</v>
      </c>
      <c r="G85" s="2">
        <v>5684.0</v>
      </c>
    </row>
    <row r="86">
      <c r="A86" s="2">
        <v>2016.0</v>
      </c>
      <c r="B86" s="2" t="s">
        <v>28</v>
      </c>
      <c r="C86" s="2" t="s">
        <v>17</v>
      </c>
      <c r="D86" s="2">
        <v>2.0</v>
      </c>
      <c r="E86" s="2">
        <v>3.0</v>
      </c>
      <c r="F86" s="2">
        <v>15.0</v>
      </c>
      <c r="G86" s="2">
        <v>20.0</v>
      </c>
    </row>
    <row r="87">
      <c r="A87" s="2">
        <v>2016.0</v>
      </c>
      <c r="B87" s="2" t="s">
        <v>28</v>
      </c>
      <c r="C87" s="2" t="s">
        <v>19</v>
      </c>
      <c r="D87" s="2">
        <v>14.0</v>
      </c>
      <c r="E87" s="2">
        <v>12.0</v>
      </c>
      <c r="F87" s="2">
        <v>71.0</v>
      </c>
      <c r="G87" s="2">
        <v>97.0</v>
      </c>
    </row>
    <row r="88">
      <c r="A88" s="2">
        <v>2016.0</v>
      </c>
      <c r="B88" s="2" t="s">
        <v>28</v>
      </c>
      <c r="C88" s="2" t="s">
        <v>20</v>
      </c>
      <c r="D88" s="2">
        <v>11.0</v>
      </c>
      <c r="E88" s="2">
        <v>8.0</v>
      </c>
      <c r="F88" s="2">
        <v>22.0</v>
      </c>
      <c r="G88" s="2">
        <v>41.0</v>
      </c>
    </row>
    <row r="89">
      <c r="A89" s="2">
        <v>2016.0</v>
      </c>
      <c r="B89" s="2" t="s">
        <v>28</v>
      </c>
      <c r="C89" s="2" t="s">
        <v>21</v>
      </c>
      <c r="D89" s="2">
        <v>1.0</v>
      </c>
      <c r="E89" s="2">
        <v>0.0</v>
      </c>
      <c r="F89" s="2">
        <v>2.0</v>
      </c>
      <c r="G89" s="2">
        <v>3.0</v>
      </c>
    </row>
    <row r="90">
      <c r="A90" s="2">
        <v>2016.0</v>
      </c>
      <c r="B90" s="2" t="s">
        <v>28</v>
      </c>
      <c r="C90" s="2" t="s">
        <v>22</v>
      </c>
      <c r="D90" s="2">
        <v>4.0</v>
      </c>
      <c r="E90" s="2">
        <v>5.0</v>
      </c>
      <c r="F90" s="2">
        <v>20.0</v>
      </c>
      <c r="G90" s="2">
        <v>29.0</v>
      </c>
    </row>
    <row r="91">
      <c r="A91" s="2">
        <v>2016.0</v>
      </c>
      <c r="B91" s="2" t="s">
        <v>28</v>
      </c>
      <c r="C91" s="2" t="s">
        <v>23</v>
      </c>
      <c r="D91" s="2">
        <v>0.0</v>
      </c>
      <c r="E91" s="2">
        <v>1.0</v>
      </c>
      <c r="F91" s="2">
        <v>2.0</v>
      </c>
      <c r="G91" s="2">
        <v>3.0</v>
      </c>
    </row>
    <row r="92">
      <c r="A92" s="2">
        <v>2016.0</v>
      </c>
      <c r="B92" s="2" t="s">
        <v>31</v>
      </c>
      <c r="C92" s="2" t="s">
        <v>7</v>
      </c>
      <c r="D92" s="2">
        <v>1.0</v>
      </c>
      <c r="E92" s="2">
        <v>0.0</v>
      </c>
      <c r="F92" s="2">
        <v>1.0</v>
      </c>
      <c r="G92" s="2">
        <v>2.0</v>
      </c>
    </row>
    <row r="93">
      <c r="A93" s="2">
        <v>2016.0</v>
      </c>
      <c r="B93" s="2" t="s">
        <v>31</v>
      </c>
      <c r="C93" s="2" t="s">
        <v>33</v>
      </c>
      <c r="D93" s="2">
        <v>0.0</v>
      </c>
      <c r="E93" s="2">
        <v>1.0</v>
      </c>
      <c r="F93" s="2">
        <v>1.0</v>
      </c>
      <c r="G93" s="2">
        <v>2.0</v>
      </c>
    </row>
    <row r="94">
      <c r="A94" s="2">
        <v>2016.0</v>
      </c>
      <c r="B94" s="2" t="s">
        <v>31</v>
      </c>
      <c r="C94" s="2" t="s">
        <v>8</v>
      </c>
      <c r="D94" s="2">
        <v>0.0</v>
      </c>
      <c r="E94" s="2">
        <v>0.0</v>
      </c>
      <c r="F94" s="2">
        <v>0.0</v>
      </c>
      <c r="G94" s="2">
        <v>0.0</v>
      </c>
    </row>
    <row r="95">
      <c r="A95" s="2">
        <v>2016.0</v>
      </c>
      <c r="B95" s="2" t="s">
        <v>31</v>
      </c>
      <c r="C95" s="2" t="s">
        <v>9</v>
      </c>
      <c r="D95" s="2">
        <v>1.0</v>
      </c>
      <c r="E95" s="2">
        <v>2.0</v>
      </c>
      <c r="F95" s="2">
        <v>10.0</v>
      </c>
      <c r="G95" s="2">
        <v>13.0</v>
      </c>
    </row>
    <row r="96">
      <c r="A96" s="2">
        <v>2016.0</v>
      </c>
      <c r="B96" s="2" t="s">
        <v>31</v>
      </c>
      <c r="C96" s="2" t="s">
        <v>10</v>
      </c>
      <c r="D96" s="2">
        <v>932.0</v>
      </c>
      <c r="E96" s="2">
        <v>798.0</v>
      </c>
      <c r="F96" s="2">
        <v>2843.0</v>
      </c>
      <c r="G96" s="2">
        <v>4573.0</v>
      </c>
    </row>
    <row r="97">
      <c r="A97" s="2">
        <v>2016.0</v>
      </c>
      <c r="B97" s="2" t="s">
        <v>31</v>
      </c>
      <c r="C97" s="2" t="s">
        <v>12</v>
      </c>
      <c r="D97" s="2">
        <v>3.0</v>
      </c>
      <c r="E97" s="2">
        <v>2.0</v>
      </c>
      <c r="F97" s="2">
        <v>15.0</v>
      </c>
      <c r="G97" s="2">
        <v>20.0</v>
      </c>
    </row>
    <row r="98">
      <c r="A98" s="2">
        <v>2016.0</v>
      </c>
      <c r="B98" s="2" t="s">
        <v>31</v>
      </c>
      <c r="C98" s="2" t="s">
        <v>15</v>
      </c>
      <c r="D98" s="2">
        <v>182.0</v>
      </c>
      <c r="E98" s="2">
        <v>154.0</v>
      </c>
      <c r="F98" s="2">
        <v>682.0</v>
      </c>
      <c r="G98" s="2">
        <v>1018.0</v>
      </c>
    </row>
    <row r="99">
      <c r="A99" s="2">
        <v>2016.0</v>
      </c>
      <c r="B99" s="2" t="s">
        <v>31</v>
      </c>
      <c r="C99" s="2" t="s">
        <v>16</v>
      </c>
      <c r="D99" s="2">
        <v>1.0</v>
      </c>
      <c r="E99" s="2">
        <v>0.0</v>
      </c>
      <c r="F99" s="2">
        <v>5.0</v>
      </c>
      <c r="G99" s="2">
        <v>6.0</v>
      </c>
    </row>
    <row r="100">
      <c r="A100" s="2">
        <v>2016.0</v>
      </c>
      <c r="B100" s="2" t="s">
        <v>31</v>
      </c>
      <c r="C100" s="2" t="s">
        <v>14</v>
      </c>
      <c r="D100" s="2">
        <v>864.0</v>
      </c>
      <c r="E100" s="2">
        <v>792.0</v>
      </c>
      <c r="F100" s="2">
        <v>2932.0</v>
      </c>
      <c r="G100" s="2">
        <v>4588.0</v>
      </c>
    </row>
    <row r="101">
      <c r="A101" s="2">
        <v>2016.0</v>
      </c>
      <c r="B101" s="2" t="s">
        <v>31</v>
      </c>
      <c r="C101" s="2" t="s">
        <v>17</v>
      </c>
      <c r="D101" s="2">
        <v>1.0</v>
      </c>
      <c r="E101" s="2">
        <v>2.0</v>
      </c>
      <c r="F101" s="2">
        <v>12.0</v>
      </c>
      <c r="G101" s="2">
        <v>15.0</v>
      </c>
    </row>
    <row r="102">
      <c r="A102" s="2">
        <v>2016.0</v>
      </c>
      <c r="B102" s="2" t="s">
        <v>31</v>
      </c>
      <c r="C102" s="2" t="s">
        <v>19</v>
      </c>
      <c r="D102" s="2">
        <v>10.0</v>
      </c>
      <c r="E102" s="2">
        <v>9.0</v>
      </c>
      <c r="F102" s="2">
        <v>52.0</v>
      </c>
      <c r="G102" s="2">
        <v>71.0</v>
      </c>
    </row>
    <row r="103">
      <c r="A103" s="2">
        <v>2016.0</v>
      </c>
      <c r="B103" s="2" t="s">
        <v>31</v>
      </c>
      <c r="C103" s="2" t="s">
        <v>20</v>
      </c>
      <c r="D103" s="2">
        <v>9.0</v>
      </c>
      <c r="E103" s="2">
        <v>6.0</v>
      </c>
      <c r="F103" s="2">
        <v>16.0</v>
      </c>
      <c r="G103" s="2">
        <v>31.0</v>
      </c>
    </row>
    <row r="104">
      <c r="A104" s="2">
        <v>2016.0</v>
      </c>
      <c r="B104" s="2" t="s">
        <v>31</v>
      </c>
      <c r="C104" s="2" t="s">
        <v>21</v>
      </c>
      <c r="D104" s="2">
        <v>0.0</v>
      </c>
      <c r="E104" s="2">
        <v>0.0</v>
      </c>
      <c r="F104" s="2">
        <v>1.0</v>
      </c>
      <c r="G104" s="2">
        <v>1.0</v>
      </c>
    </row>
    <row r="105">
      <c r="A105" s="2">
        <v>2016.0</v>
      </c>
      <c r="B105" s="2" t="s">
        <v>31</v>
      </c>
      <c r="C105" s="2" t="s">
        <v>22</v>
      </c>
      <c r="D105" s="2">
        <v>2.0</v>
      </c>
      <c r="E105" s="2">
        <v>3.0</v>
      </c>
      <c r="F105" s="2">
        <v>16.0</v>
      </c>
      <c r="G105" s="2">
        <v>21.0</v>
      </c>
    </row>
    <row r="106">
      <c r="A106" s="2">
        <v>2016.0</v>
      </c>
      <c r="B106" s="2" t="s">
        <v>31</v>
      </c>
      <c r="C106" s="2" t="s">
        <v>23</v>
      </c>
      <c r="D106" s="2">
        <v>0.0</v>
      </c>
      <c r="E106" s="2">
        <v>0.0</v>
      </c>
      <c r="F106" s="2">
        <v>1.0</v>
      </c>
      <c r="G106" s="2">
        <v>1.0</v>
      </c>
    </row>
    <row r="107">
      <c r="A107" s="2">
        <v>2016.0</v>
      </c>
      <c r="B107" s="2" t="s">
        <v>32</v>
      </c>
      <c r="C107" s="2" t="s">
        <v>7</v>
      </c>
      <c r="D107" s="2">
        <v>1.0</v>
      </c>
      <c r="E107" s="2">
        <v>1.0</v>
      </c>
      <c r="F107" s="2">
        <v>2.0</v>
      </c>
      <c r="G107" s="2">
        <v>4.0</v>
      </c>
    </row>
    <row r="108">
      <c r="A108" s="2">
        <v>2016.0</v>
      </c>
      <c r="B108" s="2" t="s">
        <v>32</v>
      </c>
      <c r="C108" s="2" t="s">
        <v>33</v>
      </c>
      <c r="D108" s="2">
        <v>1.0</v>
      </c>
      <c r="E108" s="2">
        <v>0.0</v>
      </c>
      <c r="F108" s="2">
        <v>2.0</v>
      </c>
      <c r="G108" s="2">
        <v>3.0</v>
      </c>
    </row>
    <row r="109">
      <c r="A109" s="2">
        <v>2016.0</v>
      </c>
      <c r="B109" s="2" t="s">
        <v>32</v>
      </c>
      <c r="C109" s="2" t="s">
        <v>8</v>
      </c>
      <c r="D109" s="2">
        <v>0.0</v>
      </c>
      <c r="E109" s="2">
        <v>0.0</v>
      </c>
      <c r="F109" s="2">
        <v>0.0</v>
      </c>
      <c r="G109" s="2">
        <v>0.0</v>
      </c>
    </row>
    <row r="110">
      <c r="A110" s="2">
        <v>2016.0</v>
      </c>
      <c r="B110" s="2" t="s">
        <v>32</v>
      </c>
      <c r="C110" s="2" t="s">
        <v>9</v>
      </c>
      <c r="D110" s="2">
        <v>2.0</v>
      </c>
      <c r="E110" s="2">
        <v>2.0</v>
      </c>
      <c r="F110" s="2">
        <v>12.0</v>
      </c>
      <c r="G110" s="2">
        <v>16.0</v>
      </c>
    </row>
    <row r="111">
      <c r="A111" s="2">
        <v>2016.0</v>
      </c>
      <c r="B111" s="2" t="s">
        <v>32</v>
      </c>
      <c r="C111" s="2" t="s">
        <v>10</v>
      </c>
      <c r="D111" s="2">
        <v>948.0</v>
      </c>
      <c r="E111" s="2">
        <v>812.0</v>
      </c>
      <c r="F111" s="2">
        <v>2914.0</v>
      </c>
      <c r="G111" s="2">
        <v>4674.0</v>
      </c>
    </row>
    <row r="112">
      <c r="A112" s="2">
        <v>2016.0</v>
      </c>
      <c r="B112" s="2" t="s">
        <v>32</v>
      </c>
      <c r="C112" s="2" t="s">
        <v>12</v>
      </c>
      <c r="D112" s="2">
        <v>3.0</v>
      </c>
      <c r="E112" s="2">
        <v>2.0</v>
      </c>
      <c r="F112" s="2">
        <v>16.0</v>
      </c>
      <c r="G112" s="2">
        <v>21.0</v>
      </c>
    </row>
    <row r="113">
      <c r="A113" s="2">
        <v>2016.0</v>
      </c>
      <c r="B113" s="2" t="s">
        <v>32</v>
      </c>
      <c r="C113" s="2" t="s">
        <v>15</v>
      </c>
      <c r="D113" s="2">
        <v>187.0</v>
      </c>
      <c r="E113" s="2">
        <v>159.0</v>
      </c>
      <c r="F113" s="2">
        <v>694.0</v>
      </c>
      <c r="G113" s="2">
        <v>1040.0</v>
      </c>
    </row>
    <row r="114">
      <c r="A114" s="2">
        <v>2016.0</v>
      </c>
      <c r="B114" s="2" t="s">
        <v>32</v>
      </c>
      <c r="C114" s="2" t="s">
        <v>16</v>
      </c>
      <c r="D114" s="2">
        <v>1.0</v>
      </c>
      <c r="E114" s="2">
        <v>0.0</v>
      </c>
      <c r="F114" s="2">
        <v>6.0</v>
      </c>
      <c r="G114" s="2">
        <v>7.0</v>
      </c>
    </row>
    <row r="115">
      <c r="A115" s="2">
        <v>2016.0</v>
      </c>
      <c r="B115" s="2" t="s">
        <v>32</v>
      </c>
      <c r="C115" s="2" t="s">
        <v>14</v>
      </c>
      <c r="D115" s="2">
        <v>872.0</v>
      </c>
      <c r="E115" s="2">
        <v>804.0</v>
      </c>
      <c r="F115" s="2">
        <v>2984.0</v>
      </c>
      <c r="G115" s="2">
        <v>4660.0</v>
      </c>
    </row>
    <row r="116">
      <c r="A116" s="2">
        <v>2016.0</v>
      </c>
      <c r="B116" s="2" t="s">
        <v>32</v>
      </c>
      <c r="C116" s="2" t="s">
        <v>17</v>
      </c>
      <c r="D116" s="2">
        <v>1.0</v>
      </c>
      <c r="E116" s="2">
        <v>2.0</v>
      </c>
      <c r="F116" s="2">
        <v>13.0</v>
      </c>
      <c r="G116" s="2">
        <v>16.0</v>
      </c>
    </row>
    <row r="117">
      <c r="A117" s="2">
        <v>2016.0</v>
      </c>
      <c r="B117" s="2" t="s">
        <v>32</v>
      </c>
      <c r="C117" s="2" t="s">
        <v>19</v>
      </c>
      <c r="D117" s="2">
        <v>11.0</v>
      </c>
      <c r="E117" s="2">
        <v>10.0</v>
      </c>
      <c r="F117" s="2">
        <v>54.0</v>
      </c>
      <c r="G117" s="2">
        <v>75.0</v>
      </c>
    </row>
    <row r="118">
      <c r="A118" s="2">
        <v>2016.0</v>
      </c>
      <c r="B118" s="2" t="s">
        <v>32</v>
      </c>
      <c r="C118" s="2" t="s">
        <v>20</v>
      </c>
      <c r="D118" s="2">
        <v>10.0</v>
      </c>
      <c r="E118" s="2">
        <v>7.0</v>
      </c>
      <c r="F118" s="2">
        <v>17.0</v>
      </c>
      <c r="G118" s="2">
        <v>34.0</v>
      </c>
    </row>
    <row r="119">
      <c r="A119" s="2">
        <v>2016.0</v>
      </c>
      <c r="B119" s="2" t="s">
        <v>32</v>
      </c>
      <c r="C119" s="2" t="s">
        <v>21</v>
      </c>
      <c r="D119" s="2">
        <v>0.0</v>
      </c>
      <c r="E119" s="2">
        <v>0.0</v>
      </c>
      <c r="F119" s="2">
        <v>1.0</v>
      </c>
      <c r="G119" s="2">
        <v>1.0</v>
      </c>
    </row>
    <row r="120">
      <c r="A120" s="2">
        <v>2016.0</v>
      </c>
      <c r="B120" s="2" t="s">
        <v>32</v>
      </c>
      <c r="C120" s="2" t="s">
        <v>22</v>
      </c>
      <c r="D120" s="2">
        <v>3.0</v>
      </c>
      <c r="E120" s="2">
        <v>4.0</v>
      </c>
      <c r="F120" s="2">
        <v>17.0</v>
      </c>
      <c r="G120" s="2">
        <v>24.0</v>
      </c>
    </row>
    <row r="121">
      <c r="A121" s="2">
        <v>2016.0</v>
      </c>
      <c r="B121" s="2" t="s">
        <v>32</v>
      </c>
      <c r="C121" s="2" t="s">
        <v>23</v>
      </c>
      <c r="D121" s="2">
        <v>0.0</v>
      </c>
      <c r="E121" s="2">
        <v>0.0</v>
      </c>
      <c r="F121" s="2">
        <v>2.0</v>
      </c>
      <c r="G121" s="2">
        <v>2.0</v>
      </c>
    </row>
    <row r="122">
      <c r="A122" s="2">
        <v>2016.0</v>
      </c>
      <c r="B122" s="2" t="s">
        <v>18</v>
      </c>
      <c r="C122" s="2" t="s">
        <v>7</v>
      </c>
      <c r="D122" s="2">
        <v>1.0</v>
      </c>
      <c r="E122" s="2">
        <v>0.0</v>
      </c>
      <c r="F122" s="2">
        <v>2.0</v>
      </c>
      <c r="G122" s="2">
        <v>3.0</v>
      </c>
    </row>
    <row r="123">
      <c r="A123" s="2">
        <v>2016.0</v>
      </c>
      <c r="B123" s="2" t="s">
        <v>18</v>
      </c>
      <c r="C123" s="2" t="s">
        <v>33</v>
      </c>
      <c r="D123" s="2">
        <v>1.0</v>
      </c>
      <c r="E123" s="2">
        <v>1.0</v>
      </c>
      <c r="F123" s="2">
        <v>1.0</v>
      </c>
      <c r="G123" s="2">
        <v>3.0</v>
      </c>
    </row>
    <row r="124">
      <c r="A124" s="2">
        <v>2016.0</v>
      </c>
      <c r="B124" s="2" t="s">
        <v>18</v>
      </c>
      <c r="C124" s="2" t="s">
        <v>8</v>
      </c>
      <c r="D124" s="2">
        <v>0.0</v>
      </c>
      <c r="E124" s="2">
        <v>0.0</v>
      </c>
      <c r="F124" s="2">
        <v>0.0</v>
      </c>
      <c r="G124" s="2">
        <v>0.0</v>
      </c>
    </row>
    <row r="125">
      <c r="A125" s="2">
        <v>2016.0</v>
      </c>
      <c r="B125" s="2" t="s">
        <v>18</v>
      </c>
      <c r="C125" s="2" t="s">
        <v>9</v>
      </c>
      <c r="D125" s="2">
        <v>1.0</v>
      </c>
      <c r="E125" s="2">
        <v>1.0</v>
      </c>
      <c r="F125" s="2">
        <v>11.0</v>
      </c>
      <c r="G125" s="2">
        <v>13.0</v>
      </c>
    </row>
    <row r="126">
      <c r="A126" s="2">
        <v>2016.0</v>
      </c>
      <c r="B126" s="2" t="s">
        <v>18</v>
      </c>
      <c r="C126" s="2" t="s">
        <v>10</v>
      </c>
      <c r="D126" s="2">
        <v>912.0</v>
      </c>
      <c r="E126" s="2">
        <v>784.0</v>
      </c>
      <c r="F126" s="2">
        <v>2814.0</v>
      </c>
      <c r="G126" s="2">
        <v>4510.0</v>
      </c>
    </row>
    <row r="127">
      <c r="A127" s="2">
        <v>2016.0</v>
      </c>
      <c r="B127" s="2" t="s">
        <v>18</v>
      </c>
      <c r="C127" s="2" t="s">
        <v>12</v>
      </c>
      <c r="D127" s="2">
        <v>2.0</v>
      </c>
      <c r="E127" s="2">
        <v>2.0</v>
      </c>
      <c r="F127" s="2">
        <v>14.0</v>
      </c>
      <c r="G127" s="2">
        <v>18.0</v>
      </c>
    </row>
    <row r="128">
      <c r="A128" s="2">
        <v>2016.0</v>
      </c>
      <c r="B128" s="2" t="s">
        <v>18</v>
      </c>
      <c r="C128" s="2" t="s">
        <v>15</v>
      </c>
      <c r="D128" s="2">
        <v>178.0</v>
      </c>
      <c r="E128" s="2">
        <v>151.0</v>
      </c>
      <c r="F128" s="2">
        <v>654.0</v>
      </c>
      <c r="G128" s="2">
        <v>983.0</v>
      </c>
    </row>
    <row r="129">
      <c r="A129" s="2">
        <v>2016.0</v>
      </c>
      <c r="B129" s="2" t="s">
        <v>18</v>
      </c>
      <c r="C129" s="2" t="s">
        <v>16</v>
      </c>
      <c r="D129" s="2">
        <v>1.0</v>
      </c>
      <c r="E129" s="2">
        <v>0.0</v>
      </c>
      <c r="F129" s="2">
        <v>5.0</v>
      </c>
      <c r="G129" s="2">
        <v>6.0</v>
      </c>
    </row>
    <row r="130">
      <c r="A130" s="2">
        <v>2016.0</v>
      </c>
      <c r="B130" s="2" t="s">
        <v>18</v>
      </c>
      <c r="C130" s="2" t="s">
        <v>14</v>
      </c>
      <c r="D130" s="2">
        <v>842.0</v>
      </c>
      <c r="E130" s="2">
        <v>771.0</v>
      </c>
      <c r="F130" s="2">
        <v>2884.0</v>
      </c>
      <c r="G130" s="2">
        <v>4497.0</v>
      </c>
    </row>
    <row r="131">
      <c r="A131" s="2">
        <v>2016.0</v>
      </c>
      <c r="B131" s="2" t="s">
        <v>18</v>
      </c>
      <c r="C131" s="2" t="s">
        <v>17</v>
      </c>
      <c r="D131" s="2">
        <v>1.0</v>
      </c>
      <c r="E131" s="2">
        <v>1.0</v>
      </c>
      <c r="F131" s="2">
        <v>11.0</v>
      </c>
      <c r="G131" s="2">
        <v>13.0</v>
      </c>
    </row>
    <row r="132">
      <c r="A132" s="2">
        <v>2016.0</v>
      </c>
      <c r="B132" s="2" t="s">
        <v>18</v>
      </c>
      <c r="C132" s="2" t="s">
        <v>19</v>
      </c>
      <c r="D132" s="2">
        <v>9.0</v>
      </c>
      <c r="E132" s="2">
        <v>9.0</v>
      </c>
      <c r="F132" s="2">
        <v>51.0</v>
      </c>
      <c r="G132" s="2">
        <v>69.0</v>
      </c>
    </row>
    <row r="133">
      <c r="A133" s="2">
        <v>2016.0</v>
      </c>
      <c r="B133" s="2" t="s">
        <v>18</v>
      </c>
      <c r="C133" s="2" t="s">
        <v>20</v>
      </c>
      <c r="D133" s="2">
        <v>9.0</v>
      </c>
      <c r="E133" s="2">
        <v>6.0</v>
      </c>
      <c r="F133" s="2">
        <v>16.0</v>
      </c>
      <c r="G133" s="2">
        <v>31.0</v>
      </c>
    </row>
    <row r="134">
      <c r="A134" s="2">
        <v>2016.0</v>
      </c>
      <c r="B134" s="2" t="s">
        <v>18</v>
      </c>
      <c r="C134" s="2" t="s">
        <v>21</v>
      </c>
      <c r="D134" s="2">
        <v>0.0</v>
      </c>
      <c r="E134" s="2">
        <v>0.0</v>
      </c>
      <c r="F134" s="2">
        <v>1.0</v>
      </c>
      <c r="G134" s="2">
        <v>1.0</v>
      </c>
    </row>
    <row r="135">
      <c r="A135" s="2">
        <v>2016.0</v>
      </c>
      <c r="B135" s="2" t="s">
        <v>18</v>
      </c>
      <c r="C135" s="2" t="s">
        <v>22</v>
      </c>
      <c r="D135" s="2">
        <v>2.0</v>
      </c>
      <c r="E135" s="2">
        <v>3.0</v>
      </c>
      <c r="F135" s="2">
        <v>15.0</v>
      </c>
      <c r="G135" s="2">
        <v>20.0</v>
      </c>
    </row>
    <row r="136">
      <c r="A136" s="2">
        <v>2016.0</v>
      </c>
      <c r="B136" s="2" t="s">
        <v>18</v>
      </c>
      <c r="C136" s="2" t="s">
        <v>23</v>
      </c>
      <c r="D136" s="2">
        <v>0.0</v>
      </c>
      <c r="E136" s="2">
        <v>0.0</v>
      </c>
      <c r="F136" s="2">
        <v>1.0</v>
      </c>
      <c r="G136" s="2">
        <v>1.0</v>
      </c>
    </row>
    <row r="137">
      <c r="A137" s="2">
        <v>2016.0</v>
      </c>
      <c r="B137" s="2" t="s">
        <v>25</v>
      </c>
      <c r="C137" s="2" t="s">
        <v>7</v>
      </c>
      <c r="D137" s="2">
        <v>2.0</v>
      </c>
      <c r="E137" s="2">
        <v>1.0</v>
      </c>
      <c r="F137" s="2">
        <v>3.0</v>
      </c>
      <c r="G137" s="2">
        <v>6.0</v>
      </c>
    </row>
    <row r="138">
      <c r="A138" s="2">
        <v>2016.0</v>
      </c>
      <c r="B138" s="2" t="s">
        <v>25</v>
      </c>
      <c r="C138" s="2" t="s">
        <v>33</v>
      </c>
      <c r="D138" s="2">
        <v>1.0</v>
      </c>
      <c r="E138" s="2">
        <v>1.0</v>
      </c>
      <c r="F138" s="2">
        <v>2.0</v>
      </c>
      <c r="G138" s="2">
        <v>4.0</v>
      </c>
    </row>
    <row r="139">
      <c r="A139" s="2">
        <v>2016.0</v>
      </c>
      <c r="B139" s="2" t="s">
        <v>25</v>
      </c>
      <c r="C139" s="2" t="s">
        <v>8</v>
      </c>
      <c r="D139" s="2">
        <v>0.0</v>
      </c>
      <c r="E139" s="2">
        <v>0.0</v>
      </c>
      <c r="F139" s="2">
        <v>0.0</v>
      </c>
      <c r="G139" s="2">
        <v>0.0</v>
      </c>
    </row>
    <row r="140">
      <c r="A140" s="2">
        <v>2016.0</v>
      </c>
      <c r="B140" s="2" t="s">
        <v>25</v>
      </c>
      <c r="C140" s="2" t="s">
        <v>9</v>
      </c>
      <c r="D140" s="2">
        <v>2.0</v>
      </c>
      <c r="E140" s="2">
        <v>2.0</v>
      </c>
      <c r="F140" s="2">
        <v>13.0</v>
      </c>
      <c r="G140" s="2">
        <v>17.0</v>
      </c>
    </row>
    <row r="141">
      <c r="A141" s="2">
        <v>2016.0</v>
      </c>
      <c r="B141" s="2" t="s">
        <v>25</v>
      </c>
      <c r="C141" s="2" t="s">
        <v>10</v>
      </c>
      <c r="D141" s="2">
        <v>1014.0</v>
      </c>
      <c r="E141" s="2">
        <v>864.0</v>
      </c>
      <c r="F141" s="2">
        <v>3118.0</v>
      </c>
      <c r="G141" s="2">
        <v>4996.0</v>
      </c>
    </row>
    <row r="142">
      <c r="A142" s="2">
        <v>2016.0</v>
      </c>
      <c r="B142" s="2" t="s">
        <v>25</v>
      </c>
      <c r="C142" s="2" t="s">
        <v>12</v>
      </c>
      <c r="D142" s="2">
        <v>3.0</v>
      </c>
      <c r="E142" s="2">
        <v>2.0</v>
      </c>
      <c r="F142" s="2">
        <v>18.0</v>
      </c>
      <c r="G142" s="2">
        <v>23.0</v>
      </c>
    </row>
    <row r="143">
      <c r="A143" s="2">
        <v>2016.0</v>
      </c>
      <c r="B143" s="2" t="s">
        <v>25</v>
      </c>
      <c r="C143" s="2" t="s">
        <v>15</v>
      </c>
      <c r="D143" s="2">
        <v>198.0</v>
      </c>
      <c r="E143" s="2">
        <v>168.0</v>
      </c>
      <c r="F143" s="2">
        <v>724.0</v>
      </c>
      <c r="G143" s="2">
        <v>1090.0</v>
      </c>
    </row>
    <row r="144">
      <c r="A144" s="2">
        <v>2016.0</v>
      </c>
      <c r="B144" s="2" t="s">
        <v>25</v>
      </c>
      <c r="C144" s="2" t="s">
        <v>16</v>
      </c>
      <c r="D144" s="2">
        <v>1.0</v>
      </c>
      <c r="E144" s="2">
        <v>1.0</v>
      </c>
      <c r="F144" s="2">
        <v>7.0</v>
      </c>
      <c r="G144" s="2">
        <v>9.0</v>
      </c>
    </row>
    <row r="145">
      <c r="A145" s="2">
        <v>2016.0</v>
      </c>
      <c r="B145" s="2" t="s">
        <v>25</v>
      </c>
      <c r="C145" s="2" t="s">
        <v>14</v>
      </c>
      <c r="D145" s="2">
        <v>948.0</v>
      </c>
      <c r="E145" s="2">
        <v>852.0</v>
      </c>
      <c r="F145" s="2">
        <v>3214.0</v>
      </c>
      <c r="G145" s="2">
        <v>5014.0</v>
      </c>
    </row>
    <row r="146">
      <c r="A146" s="2">
        <v>2016.0</v>
      </c>
      <c r="B146" s="2" t="s">
        <v>25</v>
      </c>
      <c r="C146" s="2" t="s">
        <v>17</v>
      </c>
      <c r="D146" s="2">
        <v>1.0</v>
      </c>
      <c r="E146" s="2">
        <v>2.0</v>
      </c>
      <c r="F146" s="2">
        <v>13.0</v>
      </c>
      <c r="G146" s="2">
        <v>16.0</v>
      </c>
    </row>
    <row r="147">
      <c r="A147" s="2">
        <v>2016.0</v>
      </c>
      <c r="B147" s="2" t="s">
        <v>25</v>
      </c>
      <c r="C147" s="2" t="s">
        <v>19</v>
      </c>
      <c r="D147" s="2">
        <v>11.0</v>
      </c>
      <c r="E147" s="2">
        <v>11.0</v>
      </c>
      <c r="F147" s="2">
        <v>62.0</v>
      </c>
      <c r="G147" s="2">
        <v>84.0</v>
      </c>
    </row>
    <row r="148">
      <c r="A148" s="2">
        <v>2016.0</v>
      </c>
      <c r="B148" s="2" t="s">
        <v>25</v>
      </c>
      <c r="C148" s="2" t="s">
        <v>20</v>
      </c>
      <c r="D148" s="2">
        <v>10.0</v>
      </c>
      <c r="E148" s="2">
        <v>7.0</v>
      </c>
      <c r="F148" s="2">
        <v>19.0</v>
      </c>
      <c r="G148" s="2">
        <v>36.0</v>
      </c>
    </row>
    <row r="149">
      <c r="A149" s="2">
        <v>2016.0</v>
      </c>
      <c r="B149" s="2" t="s">
        <v>25</v>
      </c>
      <c r="C149" s="2" t="s">
        <v>21</v>
      </c>
      <c r="D149" s="2">
        <v>1.0</v>
      </c>
      <c r="E149" s="2">
        <v>0.0</v>
      </c>
      <c r="F149" s="2">
        <v>1.0</v>
      </c>
      <c r="G149" s="2">
        <v>2.0</v>
      </c>
    </row>
    <row r="150">
      <c r="A150" s="2">
        <v>2016.0</v>
      </c>
      <c r="B150" s="2" t="s">
        <v>25</v>
      </c>
      <c r="C150" s="2" t="s">
        <v>22</v>
      </c>
      <c r="D150" s="2">
        <v>3.0</v>
      </c>
      <c r="E150" s="2">
        <v>4.0</v>
      </c>
      <c r="F150" s="2">
        <v>18.0</v>
      </c>
      <c r="G150" s="2">
        <v>25.0</v>
      </c>
    </row>
    <row r="151">
      <c r="A151" s="2">
        <v>2016.0</v>
      </c>
      <c r="B151" s="2" t="s">
        <v>25</v>
      </c>
      <c r="C151" s="2" t="s">
        <v>23</v>
      </c>
      <c r="D151" s="2">
        <v>0.0</v>
      </c>
      <c r="E151" s="2">
        <v>1.0</v>
      </c>
      <c r="F151" s="2">
        <v>2.0</v>
      </c>
      <c r="G151" s="2">
        <v>3.0</v>
      </c>
    </row>
    <row r="152">
      <c r="A152" s="2">
        <v>2016.0</v>
      </c>
      <c r="B152" s="2" t="s">
        <v>27</v>
      </c>
      <c r="C152" s="2" t="s">
        <v>7</v>
      </c>
      <c r="D152" s="2">
        <v>1.0</v>
      </c>
      <c r="E152" s="2">
        <v>0.0</v>
      </c>
      <c r="F152" s="2">
        <v>2.0</v>
      </c>
      <c r="G152" s="2">
        <v>3.0</v>
      </c>
    </row>
    <row r="153">
      <c r="A153" s="2">
        <v>2016.0</v>
      </c>
      <c r="B153" s="2" t="s">
        <v>27</v>
      </c>
      <c r="C153" s="2" t="s">
        <v>33</v>
      </c>
      <c r="D153" s="2">
        <v>1.0</v>
      </c>
      <c r="E153" s="2">
        <v>1.0</v>
      </c>
      <c r="F153" s="2">
        <v>1.0</v>
      </c>
      <c r="G153" s="2">
        <v>3.0</v>
      </c>
    </row>
    <row r="154">
      <c r="A154" s="2">
        <v>2016.0</v>
      </c>
      <c r="B154" s="2" t="s">
        <v>27</v>
      </c>
      <c r="C154" s="2" t="s">
        <v>8</v>
      </c>
      <c r="D154" s="2">
        <v>0.0</v>
      </c>
      <c r="E154" s="2">
        <v>0.0</v>
      </c>
      <c r="F154" s="2">
        <v>0.0</v>
      </c>
      <c r="G154" s="2">
        <v>0.0</v>
      </c>
    </row>
    <row r="155">
      <c r="A155" s="2">
        <v>2016.0</v>
      </c>
      <c r="B155" s="2" t="s">
        <v>27</v>
      </c>
      <c r="C155" s="2" t="s">
        <v>9</v>
      </c>
      <c r="D155" s="2">
        <v>1.0</v>
      </c>
      <c r="E155" s="2">
        <v>1.0</v>
      </c>
      <c r="F155" s="2">
        <v>11.0</v>
      </c>
      <c r="G155" s="2">
        <v>13.0</v>
      </c>
    </row>
    <row r="156">
      <c r="A156" s="2">
        <v>2016.0</v>
      </c>
      <c r="B156" s="2" t="s">
        <v>27</v>
      </c>
      <c r="C156" s="2" t="s">
        <v>10</v>
      </c>
      <c r="D156" s="2">
        <v>912.0</v>
      </c>
      <c r="E156" s="2">
        <v>784.0</v>
      </c>
      <c r="F156" s="2">
        <v>2814.0</v>
      </c>
      <c r="G156" s="2">
        <v>4510.0</v>
      </c>
    </row>
    <row r="157">
      <c r="A157" s="2">
        <v>2016.0</v>
      </c>
      <c r="B157" s="2" t="s">
        <v>27</v>
      </c>
      <c r="C157" s="2" t="s">
        <v>12</v>
      </c>
      <c r="D157" s="2">
        <v>2.0</v>
      </c>
      <c r="E157" s="2">
        <v>2.0</v>
      </c>
      <c r="F157" s="2">
        <v>14.0</v>
      </c>
      <c r="G157" s="2">
        <v>18.0</v>
      </c>
    </row>
    <row r="158">
      <c r="A158" s="2">
        <v>2016.0</v>
      </c>
      <c r="B158" s="2" t="s">
        <v>27</v>
      </c>
      <c r="C158" s="2" t="s">
        <v>15</v>
      </c>
      <c r="D158" s="2">
        <v>178.0</v>
      </c>
      <c r="E158" s="2">
        <v>151.0</v>
      </c>
      <c r="F158" s="2">
        <v>654.0</v>
      </c>
      <c r="G158" s="2">
        <v>983.0</v>
      </c>
    </row>
    <row r="159">
      <c r="A159" s="2">
        <v>2016.0</v>
      </c>
      <c r="B159" s="2" t="s">
        <v>27</v>
      </c>
      <c r="C159" s="2" t="s">
        <v>16</v>
      </c>
      <c r="D159" s="2">
        <v>1.0</v>
      </c>
      <c r="E159" s="2">
        <v>0.0</v>
      </c>
      <c r="F159" s="2">
        <v>5.0</v>
      </c>
      <c r="G159" s="2">
        <v>6.0</v>
      </c>
    </row>
    <row r="160">
      <c r="A160" s="2">
        <v>2016.0</v>
      </c>
      <c r="B160" s="2" t="s">
        <v>27</v>
      </c>
      <c r="C160" s="2" t="s">
        <v>14</v>
      </c>
      <c r="D160" s="2">
        <v>842.0</v>
      </c>
      <c r="E160" s="2">
        <v>771.0</v>
      </c>
      <c r="F160" s="2">
        <v>2884.0</v>
      </c>
      <c r="G160" s="2">
        <v>4497.0</v>
      </c>
    </row>
    <row r="161">
      <c r="A161" s="2">
        <v>2016.0</v>
      </c>
      <c r="B161" s="2" t="s">
        <v>27</v>
      </c>
      <c r="C161" s="2" t="s">
        <v>17</v>
      </c>
      <c r="D161" s="2">
        <v>1.0</v>
      </c>
      <c r="E161" s="2">
        <v>1.0</v>
      </c>
      <c r="F161" s="2">
        <v>11.0</v>
      </c>
      <c r="G161" s="2">
        <v>13.0</v>
      </c>
    </row>
    <row r="162">
      <c r="A162" s="2">
        <v>2016.0</v>
      </c>
      <c r="B162" s="2" t="s">
        <v>27</v>
      </c>
      <c r="C162" s="2" t="s">
        <v>19</v>
      </c>
      <c r="D162" s="2">
        <v>9.0</v>
      </c>
      <c r="E162" s="2">
        <v>9.0</v>
      </c>
      <c r="F162" s="2">
        <v>51.0</v>
      </c>
      <c r="G162" s="2">
        <v>69.0</v>
      </c>
    </row>
    <row r="163">
      <c r="A163" s="2">
        <v>2016.0</v>
      </c>
      <c r="B163" s="2" t="s">
        <v>27</v>
      </c>
      <c r="C163" s="2" t="s">
        <v>20</v>
      </c>
      <c r="D163" s="2">
        <v>9.0</v>
      </c>
      <c r="E163" s="2">
        <v>6.0</v>
      </c>
      <c r="F163" s="2">
        <v>16.0</v>
      </c>
      <c r="G163" s="2">
        <v>31.0</v>
      </c>
    </row>
    <row r="164">
      <c r="A164" s="2">
        <v>2016.0</v>
      </c>
      <c r="B164" s="2" t="s">
        <v>27</v>
      </c>
      <c r="C164" s="2" t="s">
        <v>21</v>
      </c>
      <c r="D164" s="2">
        <v>0.0</v>
      </c>
      <c r="E164" s="2">
        <v>0.0</v>
      </c>
      <c r="F164" s="2">
        <v>1.0</v>
      </c>
      <c r="G164" s="2">
        <v>1.0</v>
      </c>
    </row>
    <row r="165">
      <c r="A165" s="2">
        <v>2016.0</v>
      </c>
      <c r="B165" s="2" t="s">
        <v>27</v>
      </c>
      <c r="C165" s="2" t="s">
        <v>22</v>
      </c>
      <c r="D165" s="2">
        <v>2.0</v>
      </c>
      <c r="E165" s="2">
        <v>3.0</v>
      </c>
      <c r="F165" s="2">
        <v>15.0</v>
      </c>
      <c r="G165" s="2">
        <v>20.0</v>
      </c>
    </row>
    <row r="166">
      <c r="A166" s="2">
        <v>2016.0</v>
      </c>
      <c r="B166" s="2" t="s">
        <v>27</v>
      </c>
      <c r="C166" s="2" t="s">
        <v>23</v>
      </c>
      <c r="D166" s="2">
        <v>0.0</v>
      </c>
      <c r="E166" s="2">
        <v>0.0</v>
      </c>
      <c r="F166" s="2">
        <v>1.0</v>
      </c>
      <c r="G166" s="2">
        <v>1.0</v>
      </c>
    </row>
    <row r="167">
      <c r="A167" s="2">
        <v>2016.0</v>
      </c>
      <c r="B167" s="2" t="s">
        <v>29</v>
      </c>
      <c r="C167" s="2" t="s">
        <v>7</v>
      </c>
      <c r="D167" s="2">
        <v>2.0</v>
      </c>
      <c r="E167" s="2">
        <v>1.0</v>
      </c>
      <c r="F167" s="2">
        <v>3.0</v>
      </c>
      <c r="G167" s="2">
        <v>6.0</v>
      </c>
    </row>
    <row r="168">
      <c r="A168" s="2">
        <v>2016.0</v>
      </c>
      <c r="B168" s="2" t="s">
        <v>29</v>
      </c>
      <c r="C168" s="2" t="s">
        <v>33</v>
      </c>
      <c r="D168" s="2">
        <v>1.0</v>
      </c>
      <c r="E168" s="2">
        <v>1.0</v>
      </c>
      <c r="F168" s="2">
        <v>2.0</v>
      </c>
      <c r="G168" s="2">
        <v>4.0</v>
      </c>
    </row>
    <row r="169">
      <c r="A169" s="2">
        <v>2016.0</v>
      </c>
      <c r="B169" s="2" t="s">
        <v>29</v>
      </c>
      <c r="C169" s="2" t="s">
        <v>8</v>
      </c>
      <c r="D169" s="2">
        <v>0.0</v>
      </c>
      <c r="E169" s="2">
        <v>0.0</v>
      </c>
      <c r="F169" s="2">
        <v>0.0</v>
      </c>
      <c r="G169" s="2">
        <v>0.0</v>
      </c>
    </row>
    <row r="170">
      <c r="A170" s="2">
        <v>2016.0</v>
      </c>
      <c r="B170" s="2" t="s">
        <v>29</v>
      </c>
      <c r="C170" s="2" t="s">
        <v>9</v>
      </c>
      <c r="D170" s="2">
        <v>2.0</v>
      </c>
      <c r="E170" s="2">
        <v>2.0</v>
      </c>
      <c r="F170" s="2">
        <v>13.0</v>
      </c>
      <c r="G170" s="2">
        <v>17.0</v>
      </c>
    </row>
    <row r="171">
      <c r="A171" s="2">
        <v>2016.0</v>
      </c>
      <c r="B171" s="2" t="s">
        <v>29</v>
      </c>
      <c r="C171" s="2" t="s">
        <v>10</v>
      </c>
      <c r="D171" s="2">
        <v>1014.0</v>
      </c>
      <c r="E171" s="2">
        <v>864.0</v>
      </c>
      <c r="F171" s="2">
        <v>3118.0</v>
      </c>
      <c r="G171" s="2">
        <v>4996.0</v>
      </c>
    </row>
    <row r="172">
      <c r="A172" s="2">
        <v>2016.0</v>
      </c>
      <c r="B172" s="2" t="s">
        <v>29</v>
      </c>
      <c r="C172" s="2" t="s">
        <v>12</v>
      </c>
      <c r="D172" s="2">
        <v>3.0</v>
      </c>
      <c r="E172" s="2">
        <v>2.0</v>
      </c>
      <c r="F172" s="2">
        <v>18.0</v>
      </c>
      <c r="G172" s="2">
        <v>23.0</v>
      </c>
    </row>
    <row r="173">
      <c r="A173" s="2">
        <v>2016.0</v>
      </c>
      <c r="B173" s="2" t="s">
        <v>29</v>
      </c>
      <c r="C173" s="2" t="s">
        <v>15</v>
      </c>
      <c r="D173" s="2">
        <v>198.0</v>
      </c>
      <c r="E173" s="2">
        <v>168.0</v>
      </c>
      <c r="F173" s="2">
        <v>724.0</v>
      </c>
      <c r="G173" s="2">
        <v>1090.0</v>
      </c>
    </row>
    <row r="174">
      <c r="A174" s="2">
        <v>2016.0</v>
      </c>
      <c r="B174" s="2" t="s">
        <v>29</v>
      </c>
      <c r="C174" s="2" t="s">
        <v>16</v>
      </c>
      <c r="D174" s="2">
        <v>1.0</v>
      </c>
      <c r="E174" s="2">
        <v>1.0</v>
      </c>
      <c r="F174" s="2">
        <v>7.0</v>
      </c>
      <c r="G174" s="2">
        <v>9.0</v>
      </c>
    </row>
    <row r="175">
      <c r="A175" s="2">
        <v>2016.0</v>
      </c>
      <c r="B175" s="2" t="s">
        <v>29</v>
      </c>
      <c r="C175" s="2" t="s">
        <v>14</v>
      </c>
      <c r="D175" s="2">
        <v>948.0</v>
      </c>
      <c r="E175" s="2">
        <v>852.0</v>
      </c>
      <c r="F175" s="2">
        <v>3214.0</v>
      </c>
      <c r="G175" s="2">
        <v>5014.0</v>
      </c>
    </row>
    <row r="176">
      <c r="A176" s="2">
        <v>2016.0</v>
      </c>
      <c r="B176" s="2" t="s">
        <v>29</v>
      </c>
      <c r="C176" s="2" t="s">
        <v>17</v>
      </c>
      <c r="D176" s="2">
        <v>1.0</v>
      </c>
      <c r="E176" s="2">
        <v>2.0</v>
      </c>
      <c r="F176" s="2">
        <v>13.0</v>
      </c>
      <c r="G176" s="2">
        <v>16.0</v>
      </c>
    </row>
    <row r="177">
      <c r="A177" s="2">
        <v>2016.0</v>
      </c>
      <c r="B177" s="2" t="s">
        <v>29</v>
      </c>
      <c r="C177" s="2" t="s">
        <v>19</v>
      </c>
      <c r="D177" s="2">
        <v>11.0</v>
      </c>
      <c r="E177" s="2">
        <v>11.0</v>
      </c>
      <c r="F177" s="2">
        <v>62.0</v>
      </c>
      <c r="G177" s="2">
        <v>84.0</v>
      </c>
    </row>
    <row r="178">
      <c r="A178" s="2">
        <v>2016.0</v>
      </c>
      <c r="B178" s="2" t="s">
        <v>29</v>
      </c>
      <c r="C178" s="2" t="s">
        <v>20</v>
      </c>
      <c r="D178" s="2">
        <v>10.0</v>
      </c>
      <c r="E178" s="2">
        <v>7.0</v>
      </c>
      <c r="F178" s="2">
        <v>19.0</v>
      </c>
      <c r="G178" s="2">
        <v>36.0</v>
      </c>
    </row>
    <row r="179">
      <c r="A179" s="2">
        <v>2016.0</v>
      </c>
      <c r="B179" s="2" t="s">
        <v>29</v>
      </c>
      <c r="C179" s="2" t="s">
        <v>21</v>
      </c>
      <c r="D179" s="2">
        <v>1.0</v>
      </c>
      <c r="E179" s="2">
        <v>0.0</v>
      </c>
      <c r="F179" s="2">
        <v>1.0</v>
      </c>
      <c r="G179" s="2">
        <v>2.0</v>
      </c>
    </row>
    <row r="180">
      <c r="A180" s="2">
        <v>2016.0</v>
      </c>
      <c r="B180" s="2" t="s">
        <v>29</v>
      </c>
      <c r="C180" s="2" t="s">
        <v>22</v>
      </c>
      <c r="D180" s="2">
        <v>3.0</v>
      </c>
      <c r="E180" s="2">
        <v>4.0</v>
      </c>
      <c r="F180" s="2">
        <v>18.0</v>
      </c>
      <c r="G180" s="2">
        <v>25.0</v>
      </c>
    </row>
    <row r="181">
      <c r="A181" s="2">
        <v>2016.0</v>
      </c>
      <c r="B181" s="2" t="s">
        <v>29</v>
      </c>
      <c r="C181" s="2" t="s">
        <v>23</v>
      </c>
      <c r="D181" s="2">
        <v>0.0</v>
      </c>
      <c r="E181" s="2">
        <v>1.0</v>
      </c>
      <c r="F181" s="2">
        <v>2.0</v>
      </c>
      <c r="G181" s="2">
        <v>3.0</v>
      </c>
    </row>
  </sheetData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2017.0</v>
      </c>
      <c r="B2" s="5" t="s">
        <v>11</v>
      </c>
      <c r="C2" s="5" t="s">
        <v>7</v>
      </c>
      <c r="D2" s="4">
        <v>1.0</v>
      </c>
      <c r="E2" s="4">
        <v>2.0</v>
      </c>
      <c r="F2" s="4">
        <v>2.0</v>
      </c>
      <c r="G2" s="4">
        <v>5.0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2017.0</v>
      </c>
      <c r="B3" s="5" t="s">
        <v>11</v>
      </c>
      <c r="C3" s="5" t="s">
        <v>33</v>
      </c>
      <c r="D3" s="4">
        <v>1.0</v>
      </c>
      <c r="E3" s="4">
        <v>2.0</v>
      </c>
      <c r="F3" s="4">
        <v>1.0</v>
      </c>
      <c r="G3" s="4">
        <v>4.0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2017.0</v>
      </c>
      <c r="B4" s="5" t="s">
        <v>11</v>
      </c>
      <c r="C4" s="5" t="s">
        <v>8</v>
      </c>
      <c r="D4" s="4">
        <v>0.0</v>
      </c>
      <c r="E4" s="4">
        <v>0.0</v>
      </c>
      <c r="F4" s="4">
        <v>0.0</v>
      </c>
      <c r="G4" s="4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2017.0</v>
      </c>
      <c r="B5" s="5" t="s">
        <v>11</v>
      </c>
      <c r="C5" s="5" t="s">
        <v>9</v>
      </c>
      <c r="D5" s="4">
        <v>2.0</v>
      </c>
      <c r="E5" s="4">
        <v>2.0</v>
      </c>
      <c r="F5" s="4">
        <v>13.0</v>
      </c>
      <c r="G5" s="4">
        <v>17.0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2017.0</v>
      </c>
      <c r="B6" s="5" t="s">
        <v>11</v>
      </c>
      <c r="C6" s="5" t="s">
        <v>10</v>
      </c>
      <c r="D6" s="4">
        <v>1014.0</v>
      </c>
      <c r="E6" s="4">
        <v>864.0</v>
      </c>
      <c r="F6" s="4">
        <v>3118.0</v>
      </c>
      <c r="G6" s="4">
        <v>4996.0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2017.0</v>
      </c>
      <c r="B7" s="5" t="s">
        <v>11</v>
      </c>
      <c r="C7" s="5" t="s">
        <v>12</v>
      </c>
      <c r="D7" s="4">
        <v>3.0</v>
      </c>
      <c r="E7" s="4">
        <v>2.0</v>
      </c>
      <c r="F7" s="4">
        <v>18.0</v>
      </c>
      <c r="G7" s="4">
        <v>23.0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2017.0</v>
      </c>
      <c r="B8" s="5" t="s">
        <v>11</v>
      </c>
      <c r="C8" s="5" t="s">
        <v>15</v>
      </c>
      <c r="D8" s="4">
        <v>198.0</v>
      </c>
      <c r="E8" s="4">
        <v>168.0</v>
      </c>
      <c r="F8" s="4">
        <v>724.0</v>
      </c>
      <c r="G8" s="4">
        <v>1090.0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2017.0</v>
      </c>
      <c r="B9" s="5" t="s">
        <v>11</v>
      </c>
      <c r="C9" s="5" t="s">
        <v>16</v>
      </c>
      <c r="D9" s="4">
        <v>1.0</v>
      </c>
      <c r="E9" s="4">
        <v>1.0</v>
      </c>
      <c r="F9" s="4">
        <v>7.0</v>
      </c>
      <c r="G9" s="4">
        <v>9.0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2017.0</v>
      </c>
      <c r="B10" s="5" t="s">
        <v>11</v>
      </c>
      <c r="C10" s="5" t="s">
        <v>14</v>
      </c>
      <c r="D10" s="4">
        <v>948.0</v>
      </c>
      <c r="E10" s="4">
        <v>852.0</v>
      </c>
      <c r="F10" s="4">
        <v>3214.0</v>
      </c>
      <c r="G10" s="4">
        <v>5014.0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2017.0</v>
      </c>
      <c r="B11" s="5" t="s">
        <v>11</v>
      </c>
      <c r="C11" s="5" t="s">
        <v>17</v>
      </c>
      <c r="D11" s="4">
        <v>1.0</v>
      </c>
      <c r="E11" s="4">
        <v>2.0</v>
      </c>
      <c r="F11" s="4">
        <v>13.0</v>
      </c>
      <c r="G11" s="4">
        <v>16.0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2017.0</v>
      </c>
      <c r="B12" s="5" t="s">
        <v>11</v>
      </c>
      <c r="C12" s="5" t="s">
        <v>19</v>
      </c>
      <c r="D12" s="4">
        <v>11.0</v>
      </c>
      <c r="E12" s="4">
        <v>11.0</v>
      </c>
      <c r="F12" s="4">
        <v>62.0</v>
      </c>
      <c r="G12" s="4">
        <v>84.0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2017.0</v>
      </c>
      <c r="B13" s="5" t="s">
        <v>11</v>
      </c>
      <c r="C13" s="5" t="s">
        <v>20</v>
      </c>
      <c r="D13" s="4">
        <v>10.0</v>
      </c>
      <c r="E13" s="4">
        <v>7.0</v>
      </c>
      <c r="F13" s="4">
        <v>19.0</v>
      </c>
      <c r="G13" s="4">
        <v>36.0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2017.0</v>
      </c>
      <c r="B14" s="5" t="s">
        <v>11</v>
      </c>
      <c r="C14" s="5" t="s">
        <v>21</v>
      </c>
      <c r="D14" s="4">
        <v>1.0</v>
      </c>
      <c r="E14" s="4">
        <v>0.0</v>
      </c>
      <c r="F14" s="4">
        <v>1.0</v>
      </c>
      <c r="G14" s="4">
        <v>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2017.0</v>
      </c>
      <c r="B15" s="5" t="s">
        <v>11</v>
      </c>
      <c r="C15" s="5" t="s">
        <v>22</v>
      </c>
      <c r="D15" s="4">
        <v>3.0</v>
      </c>
      <c r="E15" s="4">
        <v>4.0</v>
      </c>
      <c r="F15" s="4">
        <v>18.0</v>
      </c>
      <c r="G15" s="4">
        <v>25.0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2017.0</v>
      </c>
      <c r="B16" s="5" t="s">
        <v>11</v>
      </c>
      <c r="C16" s="5" t="s">
        <v>23</v>
      </c>
      <c r="D16" s="4">
        <v>0.0</v>
      </c>
      <c r="E16" s="4">
        <v>1.0</v>
      </c>
      <c r="F16" s="4">
        <v>2.0</v>
      </c>
      <c r="G16" s="4">
        <v>3.0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2017.0</v>
      </c>
      <c r="B17" s="5" t="s">
        <v>24</v>
      </c>
      <c r="C17" s="5" t="s">
        <v>7</v>
      </c>
      <c r="D17" s="4">
        <v>2.0</v>
      </c>
      <c r="E17" s="4">
        <v>1.0</v>
      </c>
      <c r="F17" s="4">
        <v>3.0</v>
      </c>
      <c r="G17" s="4">
        <v>6.0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2017.0</v>
      </c>
      <c r="B18" s="5" t="s">
        <v>24</v>
      </c>
      <c r="C18" s="5" t="s">
        <v>33</v>
      </c>
      <c r="D18" s="4">
        <v>2.0</v>
      </c>
      <c r="E18" s="4">
        <v>2.0</v>
      </c>
      <c r="F18" s="4">
        <v>3.0</v>
      </c>
      <c r="G18" s="4">
        <v>7.0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2017.0</v>
      </c>
      <c r="B19" s="5" t="s">
        <v>24</v>
      </c>
      <c r="C19" s="5" t="s">
        <v>8</v>
      </c>
      <c r="D19" s="4">
        <v>0.0</v>
      </c>
      <c r="E19" s="4">
        <v>0.0</v>
      </c>
      <c r="F19" s="4">
        <v>0.0</v>
      </c>
      <c r="G19" s="4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2017.0</v>
      </c>
      <c r="B20" s="5" t="s">
        <v>24</v>
      </c>
      <c r="C20" s="5" t="s">
        <v>9</v>
      </c>
      <c r="D20" s="4">
        <v>3.0</v>
      </c>
      <c r="E20" s="4">
        <v>2.0</v>
      </c>
      <c r="F20" s="4">
        <v>14.0</v>
      </c>
      <c r="G20" s="4">
        <v>19.0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2017.0</v>
      </c>
      <c r="B21" s="5" t="s">
        <v>24</v>
      </c>
      <c r="C21" s="5" t="s">
        <v>10</v>
      </c>
      <c r="D21" s="4">
        <v>1124.0</v>
      </c>
      <c r="E21" s="4">
        <v>918.0</v>
      </c>
      <c r="F21" s="4">
        <v>3416.0</v>
      </c>
      <c r="G21" s="4">
        <v>5458.0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2017.0</v>
      </c>
      <c r="B22" s="5" t="s">
        <v>24</v>
      </c>
      <c r="C22" s="5" t="s">
        <v>12</v>
      </c>
      <c r="D22" s="4">
        <v>4.0</v>
      </c>
      <c r="E22" s="4">
        <v>2.0</v>
      </c>
      <c r="F22" s="4">
        <v>21.0</v>
      </c>
      <c r="G22" s="4">
        <v>27.0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2017.0</v>
      </c>
      <c r="B23" s="5" t="s">
        <v>24</v>
      </c>
      <c r="C23" s="5" t="s">
        <v>15</v>
      </c>
      <c r="D23" s="4">
        <v>212.0</v>
      </c>
      <c r="E23" s="4">
        <v>181.0</v>
      </c>
      <c r="F23" s="4">
        <v>792.0</v>
      </c>
      <c r="G23" s="4">
        <v>1185.0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2017.0</v>
      </c>
      <c r="B24" s="5" t="s">
        <v>24</v>
      </c>
      <c r="C24" s="5" t="s">
        <v>16</v>
      </c>
      <c r="D24" s="4">
        <v>2.0</v>
      </c>
      <c r="E24" s="4">
        <v>1.0</v>
      </c>
      <c r="F24" s="4">
        <v>8.0</v>
      </c>
      <c r="G24" s="4">
        <v>11.0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2017.0</v>
      </c>
      <c r="B25" s="5" t="s">
        <v>24</v>
      </c>
      <c r="C25" s="5" t="s">
        <v>14</v>
      </c>
      <c r="D25" s="4">
        <v>1084.0</v>
      </c>
      <c r="E25" s="4">
        <v>942.0</v>
      </c>
      <c r="F25" s="4">
        <v>3584.0</v>
      </c>
      <c r="G25" s="4">
        <v>5610.0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2017.0</v>
      </c>
      <c r="B26" s="5" t="s">
        <v>24</v>
      </c>
      <c r="C26" s="5" t="s">
        <v>17</v>
      </c>
      <c r="D26" s="4">
        <v>2.0</v>
      </c>
      <c r="E26" s="4">
        <v>3.0</v>
      </c>
      <c r="F26" s="4">
        <v>15.0</v>
      </c>
      <c r="G26" s="4">
        <v>20.0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2017.0</v>
      </c>
      <c r="B27" s="5" t="s">
        <v>24</v>
      </c>
      <c r="C27" s="5" t="s">
        <v>19</v>
      </c>
      <c r="D27" s="4">
        <v>14.0</v>
      </c>
      <c r="E27" s="4">
        <v>12.0</v>
      </c>
      <c r="F27" s="4">
        <v>68.0</v>
      </c>
      <c r="G27" s="4">
        <v>94.0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2017.0</v>
      </c>
      <c r="B28" s="5" t="s">
        <v>24</v>
      </c>
      <c r="C28" s="5" t="s">
        <v>20</v>
      </c>
      <c r="D28" s="4">
        <v>11.0</v>
      </c>
      <c r="E28" s="4">
        <v>8.0</v>
      </c>
      <c r="F28" s="4">
        <v>21.0</v>
      </c>
      <c r="G28" s="4">
        <v>40.0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2017.0</v>
      </c>
      <c r="B29" s="5" t="s">
        <v>24</v>
      </c>
      <c r="C29" s="5" t="s">
        <v>21</v>
      </c>
      <c r="D29" s="4">
        <v>1.0</v>
      </c>
      <c r="E29" s="4">
        <v>0.0</v>
      </c>
      <c r="F29" s="4">
        <v>2.0</v>
      </c>
      <c r="G29" s="4">
        <v>3.0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2017.0</v>
      </c>
      <c r="B30" s="5" t="s">
        <v>24</v>
      </c>
      <c r="C30" s="5" t="s">
        <v>22</v>
      </c>
      <c r="D30" s="4">
        <v>4.0</v>
      </c>
      <c r="E30" s="4">
        <v>5.0</v>
      </c>
      <c r="F30" s="4">
        <v>20.0</v>
      </c>
      <c r="G30" s="4">
        <v>29.0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2017.0</v>
      </c>
      <c r="B31" s="5" t="s">
        <v>24</v>
      </c>
      <c r="C31" s="5" t="s">
        <v>23</v>
      </c>
      <c r="D31" s="4">
        <v>0.0</v>
      </c>
      <c r="E31" s="4">
        <v>1.0</v>
      </c>
      <c r="F31" s="4">
        <v>2.0</v>
      </c>
      <c r="G31" s="4">
        <v>3.0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2017.0</v>
      </c>
      <c r="B32" s="5" t="s">
        <v>26</v>
      </c>
      <c r="C32" s="5" t="s">
        <v>7</v>
      </c>
      <c r="D32" s="4">
        <v>1.0</v>
      </c>
      <c r="E32" s="4">
        <v>0.0</v>
      </c>
      <c r="F32" s="4">
        <v>2.0</v>
      </c>
      <c r="G32" s="4">
        <v>3.0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2017.0</v>
      </c>
      <c r="B33" s="5" t="s">
        <v>26</v>
      </c>
      <c r="C33" s="5" t="s">
        <v>33</v>
      </c>
      <c r="D33" s="4">
        <v>2.0</v>
      </c>
      <c r="E33" s="4">
        <v>1.0</v>
      </c>
      <c r="F33" s="4">
        <v>2.0</v>
      </c>
      <c r="G33" s="4">
        <v>5.0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2017.0</v>
      </c>
      <c r="B34" s="5" t="s">
        <v>26</v>
      </c>
      <c r="C34" s="5" t="s">
        <v>8</v>
      </c>
      <c r="D34" s="4">
        <v>0.0</v>
      </c>
      <c r="E34" s="4">
        <v>0.0</v>
      </c>
      <c r="F34" s="4">
        <v>0.0</v>
      </c>
      <c r="G34" s="4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2017.0</v>
      </c>
      <c r="B35" s="5" t="s">
        <v>26</v>
      </c>
      <c r="C35" s="5" t="s">
        <v>9</v>
      </c>
      <c r="D35" s="4">
        <v>2.0</v>
      </c>
      <c r="E35" s="4">
        <v>2.0</v>
      </c>
      <c r="F35" s="4">
        <v>12.0</v>
      </c>
      <c r="G35" s="4">
        <v>16.0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2017.0</v>
      </c>
      <c r="B36" s="5" t="s">
        <v>26</v>
      </c>
      <c r="C36" s="5" t="s">
        <v>10</v>
      </c>
      <c r="D36" s="4">
        <v>948.0</v>
      </c>
      <c r="E36" s="4">
        <v>812.0</v>
      </c>
      <c r="F36" s="4">
        <v>2914.0</v>
      </c>
      <c r="G36" s="4">
        <v>4674.0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2017.0</v>
      </c>
      <c r="B37" s="5" t="s">
        <v>26</v>
      </c>
      <c r="C37" s="5" t="s">
        <v>12</v>
      </c>
      <c r="D37" s="4">
        <v>3.0</v>
      </c>
      <c r="E37" s="4">
        <v>2.0</v>
      </c>
      <c r="F37" s="4">
        <v>16.0</v>
      </c>
      <c r="G37" s="4">
        <v>21.0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2017.0</v>
      </c>
      <c r="B38" s="5" t="s">
        <v>26</v>
      </c>
      <c r="C38" s="5" t="s">
        <v>15</v>
      </c>
      <c r="D38" s="4">
        <v>187.0</v>
      </c>
      <c r="E38" s="4">
        <v>159.0</v>
      </c>
      <c r="F38" s="4">
        <v>694.0</v>
      </c>
      <c r="G38" s="4">
        <v>1040.0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2017.0</v>
      </c>
      <c r="B39" s="5" t="s">
        <v>26</v>
      </c>
      <c r="C39" s="5" t="s">
        <v>16</v>
      </c>
      <c r="D39" s="4">
        <v>1.0</v>
      </c>
      <c r="E39" s="4">
        <v>0.0</v>
      </c>
      <c r="F39" s="4">
        <v>6.0</v>
      </c>
      <c r="G39" s="4">
        <v>7.0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2017.0</v>
      </c>
      <c r="B40" s="5" t="s">
        <v>26</v>
      </c>
      <c r="C40" s="5" t="s">
        <v>14</v>
      </c>
      <c r="D40" s="4">
        <v>872.0</v>
      </c>
      <c r="E40" s="4">
        <v>804.0</v>
      </c>
      <c r="F40" s="4">
        <v>2984.0</v>
      </c>
      <c r="G40" s="4">
        <v>4660.0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2017.0</v>
      </c>
      <c r="B41" s="5" t="s">
        <v>26</v>
      </c>
      <c r="C41" s="5" t="s">
        <v>17</v>
      </c>
      <c r="D41" s="4">
        <v>1.0</v>
      </c>
      <c r="E41" s="4">
        <v>2.0</v>
      </c>
      <c r="F41" s="4">
        <v>13.0</v>
      </c>
      <c r="G41" s="4">
        <v>16.0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2017.0</v>
      </c>
      <c r="B42" s="5" t="s">
        <v>26</v>
      </c>
      <c r="C42" s="5" t="s">
        <v>19</v>
      </c>
      <c r="D42" s="4">
        <v>11.0</v>
      </c>
      <c r="E42" s="4">
        <v>10.0</v>
      </c>
      <c r="F42" s="4">
        <v>54.0</v>
      </c>
      <c r="G42" s="4">
        <v>75.0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2017.0</v>
      </c>
      <c r="B43" s="5" t="s">
        <v>26</v>
      </c>
      <c r="C43" s="5" t="s">
        <v>20</v>
      </c>
      <c r="D43" s="4">
        <v>10.0</v>
      </c>
      <c r="E43" s="4">
        <v>7.0</v>
      </c>
      <c r="F43" s="4">
        <v>17.0</v>
      </c>
      <c r="G43" s="4">
        <v>34.0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2017.0</v>
      </c>
      <c r="B44" s="5" t="s">
        <v>26</v>
      </c>
      <c r="C44" s="5" t="s">
        <v>21</v>
      </c>
      <c r="D44" s="4">
        <v>0.0</v>
      </c>
      <c r="E44" s="4">
        <v>0.0</v>
      </c>
      <c r="F44" s="4">
        <v>1.0</v>
      </c>
      <c r="G44" s="4">
        <v>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2017.0</v>
      </c>
      <c r="B45" s="5" t="s">
        <v>26</v>
      </c>
      <c r="C45" s="5" t="s">
        <v>22</v>
      </c>
      <c r="D45" s="4">
        <v>3.0</v>
      </c>
      <c r="E45" s="4">
        <v>4.0</v>
      </c>
      <c r="F45" s="4">
        <v>17.0</v>
      </c>
      <c r="G45" s="4">
        <v>24.0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2017.0</v>
      </c>
      <c r="B46" s="5" t="s">
        <v>26</v>
      </c>
      <c r="C46" s="5" t="s">
        <v>23</v>
      </c>
      <c r="D46" s="4">
        <v>0.0</v>
      </c>
      <c r="E46" s="4">
        <v>0.0</v>
      </c>
      <c r="F46" s="4">
        <v>2.0</v>
      </c>
      <c r="G46" s="4">
        <v>2.0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2017.0</v>
      </c>
      <c r="B47" s="5" t="s">
        <v>13</v>
      </c>
      <c r="C47" s="5" t="s">
        <v>7</v>
      </c>
      <c r="D47" s="4">
        <v>1.0</v>
      </c>
      <c r="E47" s="4">
        <v>0.0</v>
      </c>
      <c r="F47" s="4">
        <v>1.0</v>
      </c>
      <c r="G47" s="4">
        <v>2.0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2017.0</v>
      </c>
      <c r="B48" s="5" t="s">
        <v>13</v>
      </c>
      <c r="C48" s="5" t="s">
        <v>33</v>
      </c>
      <c r="D48" s="4">
        <v>1.0</v>
      </c>
      <c r="E48" s="4">
        <v>2.0</v>
      </c>
      <c r="F48" s="4">
        <v>2.0</v>
      </c>
      <c r="G48" s="4">
        <v>5.0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2017.0</v>
      </c>
      <c r="B49" s="5" t="s">
        <v>13</v>
      </c>
      <c r="C49" s="5" t="s">
        <v>8</v>
      </c>
      <c r="D49" s="4">
        <v>0.0</v>
      </c>
      <c r="E49" s="4">
        <v>0.0</v>
      </c>
      <c r="F49" s="4">
        <v>0.0</v>
      </c>
      <c r="G49" s="4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2017.0</v>
      </c>
      <c r="B50" s="5" t="s">
        <v>13</v>
      </c>
      <c r="C50" s="5" t="s">
        <v>9</v>
      </c>
      <c r="D50" s="4">
        <v>1.0</v>
      </c>
      <c r="E50" s="4">
        <v>1.0</v>
      </c>
      <c r="F50" s="4">
        <v>11.0</v>
      </c>
      <c r="G50" s="4">
        <v>13.0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2017.0</v>
      </c>
      <c r="B51" s="5" t="s">
        <v>13</v>
      </c>
      <c r="C51" s="5" t="s">
        <v>10</v>
      </c>
      <c r="D51" s="4">
        <v>912.0</v>
      </c>
      <c r="E51" s="4">
        <v>784.0</v>
      </c>
      <c r="F51" s="4">
        <v>2814.0</v>
      </c>
      <c r="G51" s="4">
        <v>4510.0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>
        <v>2017.0</v>
      </c>
      <c r="B52" s="5" t="s">
        <v>13</v>
      </c>
      <c r="C52" s="5" t="s">
        <v>12</v>
      </c>
      <c r="D52" s="4">
        <v>2.0</v>
      </c>
      <c r="E52" s="4">
        <v>2.0</v>
      </c>
      <c r="F52" s="4">
        <v>14.0</v>
      </c>
      <c r="G52" s="4">
        <v>18.0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>
        <v>2017.0</v>
      </c>
      <c r="B53" s="5" t="s">
        <v>13</v>
      </c>
      <c r="C53" s="5" t="s">
        <v>15</v>
      </c>
      <c r="D53" s="4">
        <v>178.0</v>
      </c>
      <c r="E53" s="4">
        <v>151.0</v>
      </c>
      <c r="F53" s="4">
        <v>654.0</v>
      </c>
      <c r="G53" s="4">
        <v>983.0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>
        <v>2017.0</v>
      </c>
      <c r="B54" s="5" t="s">
        <v>13</v>
      </c>
      <c r="C54" s="5" t="s">
        <v>16</v>
      </c>
      <c r="D54" s="4">
        <v>1.0</v>
      </c>
      <c r="E54" s="4">
        <v>0.0</v>
      </c>
      <c r="F54" s="4">
        <v>5.0</v>
      </c>
      <c r="G54" s="4">
        <v>6.0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>
        <v>2017.0</v>
      </c>
      <c r="B55" s="5" t="s">
        <v>13</v>
      </c>
      <c r="C55" s="5" t="s">
        <v>14</v>
      </c>
      <c r="D55" s="4">
        <v>842.0</v>
      </c>
      <c r="E55" s="4">
        <v>771.0</v>
      </c>
      <c r="F55" s="4">
        <v>2884.0</v>
      </c>
      <c r="G55" s="4">
        <v>4497.0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>
        <v>2017.0</v>
      </c>
      <c r="B56" s="5" t="s">
        <v>13</v>
      </c>
      <c r="C56" s="5" t="s">
        <v>17</v>
      </c>
      <c r="D56" s="4">
        <v>1.0</v>
      </c>
      <c r="E56" s="4">
        <v>1.0</v>
      </c>
      <c r="F56" s="4">
        <v>11.0</v>
      </c>
      <c r="G56" s="4">
        <v>13.0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>
        <v>2017.0</v>
      </c>
      <c r="B57" s="5" t="s">
        <v>13</v>
      </c>
      <c r="C57" s="5" t="s">
        <v>19</v>
      </c>
      <c r="D57" s="4">
        <v>9.0</v>
      </c>
      <c r="E57" s="4">
        <v>9.0</v>
      </c>
      <c r="F57" s="4">
        <v>51.0</v>
      </c>
      <c r="G57" s="4">
        <v>69.0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>
        <v>2017.0</v>
      </c>
      <c r="B58" s="5" t="s">
        <v>13</v>
      </c>
      <c r="C58" s="5" t="s">
        <v>20</v>
      </c>
      <c r="D58" s="4">
        <v>9.0</v>
      </c>
      <c r="E58" s="4">
        <v>6.0</v>
      </c>
      <c r="F58" s="4">
        <v>16.0</v>
      </c>
      <c r="G58" s="4">
        <v>31.0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>
        <v>2017.0</v>
      </c>
      <c r="B59" s="5" t="s">
        <v>13</v>
      </c>
      <c r="C59" s="5" t="s">
        <v>21</v>
      </c>
      <c r="D59" s="4">
        <v>0.0</v>
      </c>
      <c r="E59" s="4">
        <v>0.0</v>
      </c>
      <c r="F59" s="4">
        <v>1.0</v>
      </c>
      <c r="G59" s="4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2017.0</v>
      </c>
      <c r="B60" s="5" t="s">
        <v>13</v>
      </c>
      <c r="C60" s="5" t="s">
        <v>22</v>
      </c>
      <c r="D60" s="4">
        <v>2.0</v>
      </c>
      <c r="E60" s="4">
        <v>3.0</v>
      </c>
      <c r="F60" s="4">
        <v>15.0</v>
      </c>
      <c r="G60" s="4">
        <v>20.0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2017.0</v>
      </c>
      <c r="B61" s="5" t="s">
        <v>13</v>
      </c>
      <c r="C61" s="5" t="s">
        <v>23</v>
      </c>
      <c r="D61" s="4">
        <v>0.0</v>
      </c>
      <c r="E61" s="4">
        <v>0.0</v>
      </c>
      <c r="F61" s="4">
        <v>1.0</v>
      </c>
      <c r="G61" s="4">
        <v>1.0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>
        <v>2017.0</v>
      </c>
      <c r="B62" s="5" t="s">
        <v>30</v>
      </c>
      <c r="C62" s="5" t="s">
        <v>7</v>
      </c>
      <c r="D62" s="4">
        <v>2.0</v>
      </c>
      <c r="E62" s="4">
        <v>1.0</v>
      </c>
      <c r="F62" s="4">
        <v>3.0</v>
      </c>
      <c r="G62" s="4">
        <v>6.0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>
        <v>2017.0</v>
      </c>
      <c r="B63" s="5" t="s">
        <v>30</v>
      </c>
      <c r="C63" s="5" t="s">
        <v>33</v>
      </c>
      <c r="D63" s="4">
        <v>2.0</v>
      </c>
      <c r="E63" s="4">
        <v>1.0</v>
      </c>
      <c r="F63" s="4">
        <v>4.0</v>
      </c>
      <c r="G63" s="4">
        <v>7.0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>
        <v>2017.0</v>
      </c>
      <c r="B64" s="5" t="s">
        <v>30</v>
      </c>
      <c r="C64" s="5" t="s">
        <v>8</v>
      </c>
      <c r="D64" s="4">
        <v>0.0</v>
      </c>
      <c r="E64" s="4">
        <v>0.0</v>
      </c>
      <c r="F64" s="4">
        <v>0.0</v>
      </c>
      <c r="G64" s="4">
        <v>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>
        <v>2017.0</v>
      </c>
      <c r="B65" s="5" t="s">
        <v>30</v>
      </c>
      <c r="C65" s="5" t="s">
        <v>9</v>
      </c>
      <c r="D65" s="4">
        <v>2.0</v>
      </c>
      <c r="E65" s="4">
        <v>2.0</v>
      </c>
      <c r="F65" s="4">
        <v>13.0</v>
      </c>
      <c r="G65" s="4">
        <v>17.0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>
        <v>2017.0</v>
      </c>
      <c r="B66" s="5" t="s">
        <v>30</v>
      </c>
      <c r="C66" s="5" t="s">
        <v>10</v>
      </c>
      <c r="D66" s="4">
        <v>1014.0</v>
      </c>
      <c r="E66" s="4">
        <v>864.0</v>
      </c>
      <c r="F66" s="4">
        <v>3118.0</v>
      </c>
      <c r="G66" s="4">
        <v>4996.0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>
        <v>2017.0</v>
      </c>
      <c r="B67" s="5" t="s">
        <v>30</v>
      </c>
      <c r="C67" s="5" t="s">
        <v>12</v>
      </c>
      <c r="D67" s="4">
        <v>3.0</v>
      </c>
      <c r="E67" s="4">
        <v>2.0</v>
      </c>
      <c r="F67" s="4">
        <v>18.0</v>
      </c>
      <c r="G67" s="4">
        <v>23.0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>
        <v>2017.0</v>
      </c>
      <c r="B68" s="5" t="s">
        <v>30</v>
      </c>
      <c r="C68" s="5" t="s">
        <v>15</v>
      </c>
      <c r="D68" s="4">
        <v>198.0</v>
      </c>
      <c r="E68" s="4">
        <v>168.0</v>
      </c>
      <c r="F68" s="4">
        <v>724.0</v>
      </c>
      <c r="G68" s="4">
        <v>1090.0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>
        <v>2017.0</v>
      </c>
      <c r="B69" s="5" t="s">
        <v>30</v>
      </c>
      <c r="C69" s="5" t="s">
        <v>16</v>
      </c>
      <c r="D69" s="4">
        <v>1.0</v>
      </c>
      <c r="E69" s="4">
        <v>1.0</v>
      </c>
      <c r="F69" s="4">
        <v>7.0</v>
      </c>
      <c r="G69" s="4">
        <v>9.0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>
        <v>2017.0</v>
      </c>
      <c r="B70" s="5" t="s">
        <v>30</v>
      </c>
      <c r="C70" s="5" t="s">
        <v>14</v>
      </c>
      <c r="D70" s="4">
        <v>948.0</v>
      </c>
      <c r="E70" s="4">
        <v>852.0</v>
      </c>
      <c r="F70" s="4">
        <v>3214.0</v>
      </c>
      <c r="G70" s="4">
        <v>5014.0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>
        <v>2017.0</v>
      </c>
      <c r="B71" s="5" t="s">
        <v>30</v>
      </c>
      <c r="C71" s="5" t="s">
        <v>17</v>
      </c>
      <c r="D71" s="4">
        <v>1.0</v>
      </c>
      <c r="E71" s="4">
        <v>2.0</v>
      </c>
      <c r="F71" s="4">
        <v>13.0</v>
      </c>
      <c r="G71" s="4">
        <v>16.0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>
        <v>2017.0</v>
      </c>
      <c r="B72" s="5" t="s">
        <v>30</v>
      </c>
      <c r="C72" s="5" t="s">
        <v>19</v>
      </c>
      <c r="D72" s="4">
        <v>11.0</v>
      </c>
      <c r="E72" s="4">
        <v>11.0</v>
      </c>
      <c r="F72" s="4">
        <v>62.0</v>
      </c>
      <c r="G72" s="4">
        <v>84.0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>
        <v>2017.0</v>
      </c>
      <c r="B73" s="5" t="s">
        <v>30</v>
      </c>
      <c r="C73" s="5" t="s">
        <v>20</v>
      </c>
      <c r="D73" s="4">
        <v>10.0</v>
      </c>
      <c r="E73" s="4">
        <v>7.0</v>
      </c>
      <c r="F73" s="4">
        <v>19.0</v>
      </c>
      <c r="G73" s="4">
        <v>36.0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>
        <v>2017.0</v>
      </c>
      <c r="B74" s="5" t="s">
        <v>30</v>
      </c>
      <c r="C74" s="5" t="s">
        <v>21</v>
      </c>
      <c r="D74" s="4">
        <v>1.0</v>
      </c>
      <c r="E74" s="4">
        <v>0.0</v>
      </c>
      <c r="F74" s="4">
        <v>1.0</v>
      </c>
      <c r="G74" s="4">
        <v>2.0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>
        <v>2017.0</v>
      </c>
      <c r="B75" s="5" t="s">
        <v>30</v>
      </c>
      <c r="C75" s="5" t="s">
        <v>22</v>
      </c>
      <c r="D75" s="4">
        <v>3.0</v>
      </c>
      <c r="E75" s="4">
        <v>4.0</v>
      </c>
      <c r="F75" s="4">
        <v>18.0</v>
      </c>
      <c r="G75" s="4">
        <v>25.0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>
        <v>2017.0</v>
      </c>
      <c r="B76" s="5" t="s">
        <v>30</v>
      </c>
      <c r="C76" s="5" t="s">
        <v>23</v>
      </c>
      <c r="D76" s="4">
        <v>0.0</v>
      </c>
      <c r="E76" s="4">
        <v>1.0</v>
      </c>
      <c r="F76" s="4">
        <v>2.0</v>
      </c>
      <c r="G76" s="4">
        <v>3.0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>
        <v>2017.0</v>
      </c>
      <c r="B77" s="5" t="s">
        <v>28</v>
      </c>
      <c r="C77" s="5" t="s">
        <v>7</v>
      </c>
      <c r="D77" s="4">
        <v>1.0</v>
      </c>
      <c r="E77" s="4">
        <v>0.0</v>
      </c>
      <c r="F77" s="4">
        <v>2.0</v>
      </c>
      <c r="G77" s="4">
        <v>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>
        <v>2017.0</v>
      </c>
      <c r="B78" s="5" t="s">
        <v>28</v>
      </c>
      <c r="C78" s="5" t="s">
        <v>33</v>
      </c>
      <c r="D78" s="4">
        <v>1.0</v>
      </c>
      <c r="E78" s="4">
        <v>1.0</v>
      </c>
      <c r="F78" s="4">
        <v>2.0</v>
      </c>
      <c r="G78" s="4">
        <v>4.0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>
        <v>2017.0</v>
      </c>
      <c r="B79" s="5" t="s">
        <v>28</v>
      </c>
      <c r="C79" s="5" t="s">
        <v>8</v>
      </c>
      <c r="D79" s="4">
        <v>0.0</v>
      </c>
      <c r="E79" s="4">
        <v>0.0</v>
      </c>
      <c r="F79" s="4">
        <v>0.0</v>
      </c>
      <c r="G79" s="4">
        <v>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>
        <v>2017.0</v>
      </c>
      <c r="B80" s="5" t="s">
        <v>28</v>
      </c>
      <c r="C80" s="5" t="s">
        <v>9</v>
      </c>
      <c r="D80" s="4">
        <v>1.0</v>
      </c>
      <c r="E80" s="4">
        <v>2.0</v>
      </c>
      <c r="F80" s="4">
        <v>11.0</v>
      </c>
      <c r="G80" s="4">
        <v>14.0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>
        <v>2017.0</v>
      </c>
      <c r="B81" s="5" t="s">
        <v>28</v>
      </c>
      <c r="C81" s="5" t="s">
        <v>10</v>
      </c>
      <c r="D81" s="4">
        <v>842.0</v>
      </c>
      <c r="E81" s="4">
        <v>741.0</v>
      </c>
      <c r="F81" s="4">
        <v>2831.0</v>
      </c>
      <c r="G81" s="4">
        <v>4414.0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>
        <v>2017.0</v>
      </c>
      <c r="B82" s="5" t="s">
        <v>28</v>
      </c>
      <c r="C82" s="5" t="s">
        <v>12</v>
      </c>
      <c r="D82" s="4">
        <v>2.0</v>
      </c>
      <c r="E82" s="4">
        <v>2.0</v>
      </c>
      <c r="F82" s="4">
        <v>15.0</v>
      </c>
      <c r="G82" s="4">
        <v>19.0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>
        <v>2017.0</v>
      </c>
      <c r="B83" s="5" t="s">
        <v>28</v>
      </c>
      <c r="C83" s="5" t="s">
        <v>15</v>
      </c>
      <c r="D83" s="4">
        <v>172.0</v>
      </c>
      <c r="E83" s="4">
        <v>151.0</v>
      </c>
      <c r="F83" s="4">
        <v>649.0</v>
      </c>
      <c r="G83" s="4">
        <v>972.0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>
        <v>2017.0</v>
      </c>
      <c r="B84" s="5" t="s">
        <v>28</v>
      </c>
      <c r="C84" s="5" t="s">
        <v>16</v>
      </c>
      <c r="D84" s="4">
        <v>1.0</v>
      </c>
      <c r="E84" s="4">
        <v>0.0</v>
      </c>
      <c r="F84" s="4">
        <v>5.0</v>
      </c>
      <c r="G84" s="4">
        <v>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>
        <v>2017.0</v>
      </c>
      <c r="B85" s="5" t="s">
        <v>28</v>
      </c>
      <c r="C85" s="5" t="s">
        <v>14</v>
      </c>
      <c r="D85" s="4">
        <v>811.0</v>
      </c>
      <c r="E85" s="4">
        <v>743.0</v>
      </c>
      <c r="F85" s="4">
        <v>2894.0</v>
      </c>
      <c r="G85" s="4">
        <v>4448.0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>
        <v>2017.0</v>
      </c>
      <c r="B86" s="5" t="s">
        <v>28</v>
      </c>
      <c r="C86" s="5" t="s">
        <v>17</v>
      </c>
      <c r="D86" s="4">
        <v>1.0</v>
      </c>
      <c r="E86" s="4">
        <v>2.0</v>
      </c>
      <c r="F86" s="4">
        <v>12.0</v>
      </c>
      <c r="G86" s="4">
        <v>15.0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>
        <v>2017.0</v>
      </c>
      <c r="B87" s="5" t="s">
        <v>28</v>
      </c>
      <c r="C87" s="5" t="s">
        <v>19</v>
      </c>
      <c r="D87" s="4">
        <v>9.0</v>
      </c>
      <c r="E87" s="4">
        <v>9.0</v>
      </c>
      <c r="F87" s="4">
        <v>51.0</v>
      </c>
      <c r="G87" s="4">
        <v>69.0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>
        <v>2017.0</v>
      </c>
      <c r="B88" s="5" t="s">
        <v>28</v>
      </c>
      <c r="C88" s="5" t="s">
        <v>20</v>
      </c>
      <c r="D88" s="4">
        <v>9.0</v>
      </c>
      <c r="E88" s="4">
        <v>6.0</v>
      </c>
      <c r="F88" s="4">
        <v>17.0</v>
      </c>
      <c r="G88" s="4">
        <v>32.0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>
        <v>2017.0</v>
      </c>
      <c r="B89" s="5" t="s">
        <v>28</v>
      </c>
      <c r="C89" s="5" t="s">
        <v>21</v>
      </c>
      <c r="D89" s="4">
        <v>0.0</v>
      </c>
      <c r="E89" s="4">
        <v>0.0</v>
      </c>
      <c r="F89" s="4">
        <v>1.0</v>
      </c>
      <c r="G89" s="4">
        <v>1.0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>
        <v>2017.0</v>
      </c>
      <c r="B90" s="5" t="s">
        <v>28</v>
      </c>
      <c r="C90" s="5" t="s">
        <v>22</v>
      </c>
      <c r="D90" s="4">
        <v>3.0</v>
      </c>
      <c r="E90" s="4">
        <v>4.0</v>
      </c>
      <c r="F90" s="4">
        <v>16.0</v>
      </c>
      <c r="G90" s="4">
        <v>23.0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>
        <v>2017.0</v>
      </c>
      <c r="B91" s="5" t="s">
        <v>28</v>
      </c>
      <c r="C91" s="5" t="s">
        <v>23</v>
      </c>
      <c r="D91" s="4">
        <v>0.0</v>
      </c>
      <c r="E91" s="4">
        <v>0.0</v>
      </c>
      <c r="F91" s="4">
        <v>2.0</v>
      </c>
      <c r="G91" s="4">
        <v>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>
        <v>2017.0</v>
      </c>
      <c r="B92" s="5" t="s">
        <v>31</v>
      </c>
      <c r="C92" s="5" t="s">
        <v>7</v>
      </c>
      <c r="D92" s="4">
        <v>2.0</v>
      </c>
      <c r="E92" s="4">
        <v>0.0</v>
      </c>
      <c r="F92" s="4">
        <v>1.0</v>
      </c>
      <c r="G92" s="4">
        <v>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>
        <v>2017.0</v>
      </c>
      <c r="B93" s="5" t="s">
        <v>31</v>
      </c>
      <c r="C93" s="5" t="s">
        <v>33</v>
      </c>
      <c r="D93" s="4">
        <v>1.0</v>
      </c>
      <c r="E93" s="4">
        <v>2.0</v>
      </c>
      <c r="F93" s="4">
        <v>3.0</v>
      </c>
      <c r="G93" s="4">
        <v>6.0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>
        <v>2017.0</v>
      </c>
      <c r="B94" s="5" t="s">
        <v>31</v>
      </c>
      <c r="C94" s="5" t="s">
        <v>8</v>
      </c>
      <c r="D94" s="4">
        <v>0.0</v>
      </c>
      <c r="E94" s="4">
        <v>0.0</v>
      </c>
      <c r="F94" s="4">
        <v>0.0</v>
      </c>
      <c r="G94" s="4">
        <v>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>
        <v>2017.0</v>
      </c>
      <c r="B95" s="5" t="s">
        <v>31</v>
      </c>
      <c r="C95" s="5" t="s">
        <v>9</v>
      </c>
      <c r="D95" s="4">
        <v>2.0</v>
      </c>
      <c r="E95" s="4">
        <v>3.0</v>
      </c>
      <c r="F95" s="4">
        <v>12.0</v>
      </c>
      <c r="G95" s="4">
        <v>17.0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>
        <v>2017.0</v>
      </c>
      <c r="B96" s="5" t="s">
        <v>31</v>
      </c>
      <c r="C96" s="5" t="s">
        <v>10</v>
      </c>
      <c r="D96" s="4">
        <v>913.0</v>
      </c>
      <c r="E96" s="4">
        <v>805.0</v>
      </c>
      <c r="F96" s="4">
        <v>2914.0</v>
      </c>
      <c r="G96" s="4">
        <v>4632.0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>
        <v>2017.0</v>
      </c>
      <c r="B97" s="5" t="s">
        <v>31</v>
      </c>
      <c r="C97" s="5" t="s">
        <v>12</v>
      </c>
      <c r="D97" s="4">
        <v>3.0</v>
      </c>
      <c r="E97" s="4">
        <v>2.0</v>
      </c>
      <c r="F97" s="4">
        <v>17.0</v>
      </c>
      <c r="G97" s="4">
        <v>22.0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>
        <v>2017.0</v>
      </c>
      <c r="B98" s="5" t="s">
        <v>31</v>
      </c>
      <c r="C98" s="5" t="s">
        <v>15</v>
      </c>
      <c r="D98" s="4">
        <v>191.0</v>
      </c>
      <c r="E98" s="4">
        <v>168.0</v>
      </c>
      <c r="F98" s="4">
        <v>702.0</v>
      </c>
      <c r="G98" s="4">
        <v>1061.0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>
        <v>2017.0</v>
      </c>
      <c r="B99" s="5" t="s">
        <v>31</v>
      </c>
      <c r="C99" s="5" t="s">
        <v>16</v>
      </c>
      <c r="D99" s="4">
        <v>1.0</v>
      </c>
      <c r="E99" s="4">
        <v>0.0</v>
      </c>
      <c r="F99" s="4">
        <v>6.0</v>
      </c>
      <c r="G99" s="4">
        <v>7.0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>
        <v>2017.0</v>
      </c>
      <c r="B100" s="5" t="s">
        <v>31</v>
      </c>
      <c r="C100" s="5" t="s">
        <v>14</v>
      </c>
      <c r="D100" s="4">
        <v>884.0</v>
      </c>
      <c r="E100" s="4">
        <v>812.0</v>
      </c>
      <c r="F100" s="4">
        <v>3012.0</v>
      </c>
      <c r="G100" s="4">
        <v>4708.0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>
        <v>2017.0</v>
      </c>
      <c r="B101" s="5" t="s">
        <v>31</v>
      </c>
      <c r="C101" s="5" t="s">
        <v>17</v>
      </c>
      <c r="D101" s="4">
        <v>1.0</v>
      </c>
      <c r="E101" s="4">
        <v>2.0</v>
      </c>
      <c r="F101" s="4">
        <v>13.0</v>
      </c>
      <c r="G101" s="4">
        <v>16.0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>
        <v>2017.0</v>
      </c>
      <c r="B102" s="5" t="s">
        <v>31</v>
      </c>
      <c r="C102" s="5" t="s">
        <v>19</v>
      </c>
      <c r="D102" s="4">
        <v>11.0</v>
      </c>
      <c r="E102" s="4">
        <v>10.0</v>
      </c>
      <c r="F102" s="4">
        <v>56.0</v>
      </c>
      <c r="G102" s="4">
        <v>77.0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>
        <v>2017.0</v>
      </c>
      <c r="B103" s="5" t="s">
        <v>31</v>
      </c>
      <c r="C103" s="5" t="s">
        <v>20</v>
      </c>
      <c r="D103" s="4">
        <v>10.0</v>
      </c>
      <c r="E103" s="4">
        <v>7.0</v>
      </c>
      <c r="F103" s="4">
        <v>18.0</v>
      </c>
      <c r="G103" s="4">
        <v>35.0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>
        <v>2017.0</v>
      </c>
      <c r="B104" s="5" t="s">
        <v>31</v>
      </c>
      <c r="C104" s="5" t="s">
        <v>21</v>
      </c>
      <c r="D104" s="4">
        <v>0.0</v>
      </c>
      <c r="E104" s="4">
        <v>0.0</v>
      </c>
      <c r="F104" s="4">
        <v>1.0</v>
      </c>
      <c r="G104" s="4">
        <v>1.0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>
        <v>2017.0</v>
      </c>
      <c r="B105" s="5" t="s">
        <v>31</v>
      </c>
      <c r="C105" s="5" t="s">
        <v>22</v>
      </c>
      <c r="D105" s="4">
        <v>3.0</v>
      </c>
      <c r="E105" s="4">
        <v>4.0</v>
      </c>
      <c r="F105" s="4">
        <v>18.0</v>
      </c>
      <c r="G105" s="4">
        <v>25.0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>
        <v>2017.0</v>
      </c>
      <c r="B106" s="5" t="s">
        <v>31</v>
      </c>
      <c r="C106" s="5" t="s">
        <v>23</v>
      </c>
      <c r="D106" s="4">
        <v>0.0</v>
      </c>
      <c r="E106" s="4">
        <v>0.0</v>
      </c>
      <c r="F106" s="4">
        <v>2.0</v>
      </c>
      <c r="G106" s="4">
        <v>2.0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>
        <v>2017.0</v>
      </c>
      <c r="B107" s="5" t="s">
        <v>32</v>
      </c>
      <c r="C107" s="5" t="s">
        <v>7</v>
      </c>
      <c r="D107" s="4">
        <v>1.0</v>
      </c>
      <c r="E107" s="4">
        <v>1.0</v>
      </c>
      <c r="F107" s="4">
        <v>2.0</v>
      </c>
      <c r="G107" s="4">
        <v>4.0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>
        <v>2017.0</v>
      </c>
      <c r="B108" s="5" t="s">
        <v>32</v>
      </c>
      <c r="C108" s="5" t="s">
        <v>33</v>
      </c>
      <c r="D108" s="4">
        <v>2.0</v>
      </c>
      <c r="E108" s="4">
        <v>2.0</v>
      </c>
      <c r="F108" s="4">
        <v>3.0</v>
      </c>
      <c r="G108" s="4">
        <v>7.0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>
        <v>2017.0</v>
      </c>
      <c r="B109" s="5" t="s">
        <v>32</v>
      </c>
      <c r="C109" s="5" t="s">
        <v>8</v>
      </c>
      <c r="D109" s="4">
        <v>0.0</v>
      </c>
      <c r="E109" s="4">
        <v>0.0</v>
      </c>
      <c r="F109" s="4">
        <v>0.0</v>
      </c>
      <c r="G109" s="4">
        <v>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>
        <v>2017.0</v>
      </c>
      <c r="B110" s="5" t="s">
        <v>32</v>
      </c>
      <c r="C110" s="5" t="s">
        <v>9</v>
      </c>
      <c r="D110" s="4">
        <v>2.0</v>
      </c>
      <c r="E110" s="4">
        <v>2.0</v>
      </c>
      <c r="F110" s="4">
        <v>12.0</v>
      </c>
      <c r="G110" s="4">
        <v>16.0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>
        <v>2017.0</v>
      </c>
      <c r="B111" s="5" t="s">
        <v>32</v>
      </c>
      <c r="C111" s="5" t="s">
        <v>10</v>
      </c>
      <c r="D111" s="4">
        <v>948.0</v>
      </c>
      <c r="E111" s="4">
        <v>812.0</v>
      </c>
      <c r="F111" s="4">
        <v>2914.0</v>
      </c>
      <c r="G111" s="4">
        <v>4674.0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>
        <v>2017.0</v>
      </c>
      <c r="B112" s="5" t="s">
        <v>32</v>
      </c>
      <c r="C112" s="5" t="s">
        <v>12</v>
      </c>
      <c r="D112" s="4">
        <v>3.0</v>
      </c>
      <c r="E112" s="4">
        <v>2.0</v>
      </c>
      <c r="F112" s="4">
        <v>16.0</v>
      </c>
      <c r="G112" s="4">
        <v>21.0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>
        <v>2017.0</v>
      </c>
      <c r="B113" s="5" t="s">
        <v>32</v>
      </c>
      <c r="C113" s="5" t="s">
        <v>15</v>
      </c>
      <c r="D113" s="4">
        <v>187.0</v>
      </c>
      <c r="E113" s="4">
        <v>159.0</v>
      </c>
      <c r="F113" s="4">
        <v>694.0</v>
      </c>
      <c r="G113" s="4">
        <v>1040.0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>
        <v>2017.0</v>
      </c>
      <c r="B114" s="5" t="s">
        <v>32</v>
      </c>
      <c r="C114" s="5" t="s">
        <v>16</v>
      </c>
      <c r="D114" s="4">
        <v>1.0</v>
      </c>
      <c r="E114" s="4">
        <v>0.0</v>
      </c>
      <c r="F114" s="4">
        <v>6.0</v>
      </c>
      <c r="G114" s="4">
        <v>7.0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>
        <v>2017.0</v>
      </c>
      <c r="B115" s="5" t="s">
        <v>32</v>
      </c>
      <c r="C115" s="5" t="s">
        <v>14</v>
      </c>
      <c r="D115" s="4">
        <v>872.0</v>
      </c>
      <c r="E115" s="4">
        <v>804.0</v>
      </c>
      <c r="F115" s="4">
        <v>2984.0</v>
      </c>
      <c r="G115" s="4">
        <v>4660.0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>
        <v>2017.0</v>
      </c>
      <c r="B116" s="5" t="s">
        <v>32</v>
      </c>
      <c r="C116" s="5" t="s">
        <v>17</v>
      </c>
      <c r="D116" s="4">
        <v>1.0</v>
      </c>
      <c r="E116" s="4">
        <v>2.0</v>
      </c>
      <c r="F116" s="4">
        <v>13.0</v>
      </c>
      <c r="G116" s="4">
        <v>16.0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>
        <v>2017.0</v>
      </c>
      <c r="B117" s="5" t="s">
        <v>32</v>
      </c>
      <c r="C117" s="5" t="s">
        <v>19</v>
      </c>
      <c r="D117" s="4">
        <v>11.0</v>
      </c>
      <c r="E117" s="4">
        <v>10.0</v>
      </c>
      <c r="F117" s="4">
        <v>54.0</v>
      </c>
      <c r="G117" s="4">
        <v>75.0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>
        <v>2017.0</v>
      </c>
      <c r="B118" s="5" t="s">
        <v>32</v>
      </c>
      <c r="C118" s="5" t="s">
        <v>20</v>
      </c>
      <c r="D118" s="4">
        <v>10.0</v>
      </c>
      <c r="E118" s="4">
        <v>7.0</v>
      </c>
      <c r="F118" s="4">
        <v>17.0</v>
      </c>
      <c r="G118" s="4">
        <v>34.0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>
        <v>2017.0</v>
      </c>
      <c r="B119" s="5" t="s">
        <v>32</v>
      </c>
      <c r="C119" s="5" t="s">
        <v>21</v>
      </c>
      <c r="D119" s="4">
        <v>0.0</v>
      </c>
      <c r="E119" s="4">
        <v>0.0</v>
      </c>
      <c r="F119" s="4">
        <v>1.0</v>
      </c>
      <c r="G119" s="4">
        <v>1.0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>
        <v>2017.0</v>
      </c>
      <c r="B120" s="5" t="s">
        <v>32</v>
      </c>
      <c r="C120" s="5" t="s">
        <v>22</v>
      </c>
      <c r="D120" s="4">
        <v>3.0</v>
      </c>
      <c r="E120" s="4">
        <v>4.0</v>
      </c>
      <c r="F120" s="4">
        <v>17.0</v>
      </c>
      <c r="G120" s="4">
        <v>24.0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>
        <v>2017.0</v>
      </c>
      <c r="B121" s="5" t="s">
        <v>32</v>
      </c>
      <c r="C121" s="5" t="s">
        <v>23</v>
      </c>
      <c r="D121" s="4">
        <v>0.0</v>
      </c>
      <c r="E121" s="4">
        <v>0.0</v>
      </c>
      <c r="F121" s="4">
        <v>2.0</v>
      </c>
      <c r="G121" s="4">
        <v>2.0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>
        <v>2017.0</v>
      </c>
      <c r="B122" s="5" t="s">
        <v>18</v>
      </c>
      <c r="C122" s="5" t="s">
        <v>7</v>
      </c>
      <c r="D122" s="4">
        <v>1.0</v>
      </c>
      <c r="E122" s="4">
        <v>0.0</v>
      </c>
      <c r="F122" s="4">
        <v>2.0</v>
      </c>
      <c r="G122" s="4">
        <v>3.0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>
        <v>2017.0</v>
      </c>
      <c r="B123" s="5" t="s">
        <v>18</v>
      </c>
      <c r="C123" s="5" t="s">
        <v>33</v>
      </c>
      <c r="D123" s="4">
        <v>1.0</v>
      </c>
      <c r="E123" s="4">
        <v>2.0</v>
      </c>
      <c r="F123" s="4">
        <v>2.0</v>
      </c>
      <c r="G123" s="4">
        <v>5.0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>
        <v>2017.0</v>
      </c>
      <c r="B124" s="5" t="s">
        <v>18</v>
      </c>
      <c r="C124" s="5" t="s">
        <v>8</v>
      </c>
      <c r="D124" s="4">
        <v>0.0</v>
      </c>
      <c r="E124" s="4">
        <v>0.0</v>
      </c>
      <c r="F124" s="4">
        <v>0.0</v>
      </c>
      <c r="G124" s="4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>
        <v>2017.0</v>
      </c>
      <c r="B125" s="5" t="s">
        <v>18</v>
      </c>
      <c r="C125" s="5" t="s">
        <v>9</v>
      </c>
      <c r="D125" s="4">
        <v>1.0</v>
      </c>
      <c r="E125" s="4">
        <v>1.0</v>
      </c>
      <c r="F125" s="4">
        <v>11.0</v>
      </c>
      <c r="G125" s="4">
        <v>13.0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>
        <v>2017.0</v>
      </c>
      <c r="B126" s="5" t="s">
        <v>18</v>
      </c>
      <c r="C126" s="5" t="s">
        <v>10</v>
      </c>
      <c r="D126" s="4">
        <v>912.0</v>
      </c>
      <c r="E126" s="4">
        <v>784.0</v>
      </c>
      <c r="F126" s="4">
        <v>2814.0</v>
      </c>
      <c r="G126" s="4">
        <v>4510.0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>
        <v>2017.0</v>
      </c>
      <c r="B127" s="5" t="s">
        <v>18</v>
      </c>
      <c r="C127" s="5" t="s">
        <v>12</v>
      </c>
      <c r="D127" s="4">
        <v>2.0</v>
      </c>
      <c r="E127" s="4">
        <v>2.0</v>
      </c>
      <c r="F127" s="4">
        <v>14.0</v>
      </c>
      <c r="G127" s="4">
        <v>18.0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>
        <v>2017.0</v>
      </c>
      <c r="B128" s="5" t="s">
        <v>18</v>
      </c>
      <c r="C128" s="5" t="s">
        <v>15</v>
      </c>
      <c r="D128" s="4">
        <v>178.0</v>
      </c>
      <c r="E128" s="4">
        <v>151.0</v>
      </c>
      <c r="F128" s="4">
        <v>654.0</v>
      </c>
      <c r="G128" s="4">
        <v>983.0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>
        <v>2017.0</v>
      </c>
      <c r="B129" s="5" t="s">
        <v>18</v>
      </c>
      <c r="C129" s="5" t="s">
        <v>16</v>
      </c>
      <c r="D129" s="4">
        <v>1.0</v>
      </c>
      <c r="E129" s="4">
        <v>0.0</v>
      </c>
      <c r="F129" s="4">
        <v>5.0</v>
      </c>
      <c r="G129" s="4">
        <v>6.0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>
        <v>2017.0</v>
      </c>
      <c r="B130" s="5" t="s">
        <v>18</v>
      </c>
      <c r="C130" s="5" t="s">
        <v>14</v>
      </c>
      <c r="D130" s="4">
        <v>842.0</v>
      </c>
      <c r="E130" s="4">
        <v>771.0</v>
      </c>
      <c r="F130" s="4">
        <v>2884.0</v>
      </c>
      <c r="G130" s="4">
        <v>4497.0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>
        <v>2017.0</v>
      </c>
      <c r="B131" s="5" t="s">
        <v>18</v>
      </c>
      <c r="C131" s="5" t="s">
        <v>17</v>
      </c>
      <c r="D131" s="4">
        <v>1.0</v>
      </c>
      <c r="E131" s="4">
        <v>1.0</v>
      </c>
      <c r="F131" s="4">
        <v>11.0</v>
      </c>
      <c r="G131" s="4">
        <v>13.0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>
        <v>2017.0</v>
      </c>
      <c r="B132" s="5" t="s">
        <v>18</v>
      </c>
      <c r="C132" s="5" t="s">
        <v>19</v>
      </c>
      <c r="D132" s="4">
        <v>9.0</v>
      </c>
      <c r="E132" s="4">
        <v>9.0</v>
      </c>
      <c r="F132" s="4">
        <v>51.0</v>
      </c>
      <c r="G132" s="4">
        <v>69.0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>
        <v>2017.0</v>
      </c>
      <c r="B133" s="5" t="s">
        <v>18</v>
      </c>
      <c r="C133" s="5" t="s">
        <v>20</v>
      </c>
      <c r="D133" s="4">
        <v>9.0</v>
      </c>
      <c r="E133" s="4">
        <v>6.0</v>
      </c>
      <c r="F133" s="4">
        <v>16.0</v>
      </c>
      <c r="G133" s="4">
        <v>31.0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>
        <v>2017.0</v>
      </c>
      <c r="B134" s="5" t="s">
        <v>18</v>
      </c>
      <c r="C134" s="5" t="s">
        <v>21</v>
      </c>
      <c r="D134" s="4">
        <v>0.0</v>
      </c>
      <c r="E134" s="4">
        <v>0.0</v>
      </c>
      <c r="F134" s="4">
        <v>1.0</v>
      </c>
      <c r="G134" s="4">
        <v>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>
        <v>2017.0</v>
      </c>
      <c r="B135" s="5" t="s">
        <v>18</v>
      </c>
      <c r="C135" s="5" t="s">
        <v>22</v>
      </c>
      <c r="D135" s="4">
        <v>2.0</v>
      </c>
      <c r="E135" s="4">
        <v>3.0</v>
      </c>
      <c r="F135" s="4">
        <v>15.0</v>
      </c>
      <c r="G135" s="4">
        <v>20.0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>
        <v>2017.0</v>
      </c>
      <c r="B136" s="5" t="s">
        <v>18</v>
      </c>
      <c r="C136" s="5" t="s">
        <v>23</v>
      </c>
      <c r="D136" s="4">
        <v>0.0</v>
      </c>
      <c r="E136" s="4">
        <v>0.0</v>
      </c>
      <c r="F136" s="4">
        <v>1.0</v>
      </c>
      <c r="G136" s="4">
        <v>1.0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>
        <v>2017.0</v>
      </c>
      <c r="B137" s="5" t="s">
        <v>25</v>
      </c>
      <c r="C137" s="5" t="s">
        <v>7</v>
      </c>
      <c r="D137" s="4">
        <v>2.0</v>
      </c>
      <c r="E137" s="4">
        <v>1.0</v>
      </c>
      <c r="F137" s="4">
        <v>3.0</v>
      </c>
      <c r="G137" s="4">
        <v>6.0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>
        <v>2017.0</v>
      </c>
      <c r="B138" s="5" t="s">
        <v>25</v>
      </c>
      <c r="C138" s="5" t="s">
        <v>33</v>
      </c>
      <c r="D138" s="4">
        <v>2.0</v>
      </c>
      <c r="E138" s="4">
        <v>3.0</v>
      </c>
      <c r="F138" s="4">
        <v>4.0</v>
      </c>
      <c r="G138" s="4">
        <v>9.0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>
        <v>2017.0</v>
      </c>
      <c r="B139" s="5" t="s">
        <v>25</v>
      </c>
      <c r="C139" s="5" t="s">
        <v>8</v>
      </c>
      <c r="D139" s="4">
        <v>0.0</v>
      </c>
      <c r="E139" s="4">
        <v>0.0</v>
      </c>
      <c r="F139" s="4">
        <v>0.0</v>
      </c>
      <c r="G139" s="4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>
        <v>2017.0</v>
      </c>
      <c r="B140" s="5" t="s">
        <v>25</v>
      </c>
      <c r="C140" s="5" t="s">
        <v>9</v>
      </c>
      <c r="D140" s="4">
        <v>2.0</v>
      </c>
      <c r="E140" s="4">
        <v>2.0</v>
      </c>
      <c r="F140" s="4">
        <v>13.0</v>
      </c>
      <c r="G140" s="4">
        <v>17.0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>
        <v>2017.0</v>
      </c>
      <c r="B141" s="5" t="s">
        <v>25</v>
      </c>
      <c r="C141" s="5" t="s">
        <v>10</v>
      </c>
      <c r="D141" s="4">
        <v>1014.0</v>
      </c>
      <c r="E141" s="4">
        <v>864.0</v>
      </c>
      <c r="F141" s="4">
        <v>3118.0</v>
      </c>
      <c r="G141" s="4">
        <v>4996.0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>
        <v>2017.0</v>
      </c>
      <c r="B142" s="5" t="s">
        <v>25</v>
      </c>
      <c r="C142" s="5" t="s">
        <v>12</v>
      </c>
      <c r="D142" s="4">
        <v>3.0</v>
      </c>
      <c r="E142" s="4">
        <v>2.0</v>
      </c>
      <c r="F142" s="4">
        <v>18.0</v>
      </c>
      <c r="G142" s="4">
        <v>23.0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>
        <v>2017.0</v>
      </c>
      <c r="B143" s="5" t="s">
        <v>25</v>
      </c>
      <c r="C143" s="5" t="s">
        <v>15</v>
      </c>
      <c r="D143" s="4">
        <v>198.0</v>
      </c>
      <c r="E143" s="4">
        <v>168.0</v>
      </c>
      <c r="F143" s="4">
        <v>724.0</v>
      </c>
      <c r="G143" s="4">
        <v>1090.0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>
        <v>2017.0</v>
      </c>
      <c r="B144" s="5" t="s">
        <v>25</v>
      </c>
      <c r="C144" s="5" t="s">
        <v>16</v>
      </c>
      <c r="D144" s="4">
        <v>1.0</v>
      </c>
      <c r="E144" s="4">
        <v>1.0</v>
      </c>
      <c r="F144" s="4">
        <v>7.0</v>
      </c>
      <c r="G144" s="4">
        <v>9.0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>
        <v>2017.0</v>
      </c>
      <c r="B145" s="5" t="s">
        <v>25</v>
      </c>
      <c r="C145" s="5" t="s">
        <v>14</v>
      </c>
      <c r="D145" s="4">
        <v>948.0</v>
      </c>
      <c r="E145" s="4">
        <v>852.0</v>
      </c>
      <c r="F145" s="4">
        <v>3214.0</v>
      </c>
      <c r="G145" s="4">
        <v>5014.0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>
        <v>2017.0</v>
      </c>
      <c r="B146" s="5" t="s">
        <v>25</v>
      </c>
      <c r="C146" s="5" t="s">
        <v>17</v>
      </c>
      <c r="D146" s="4">
        <v>1.0</v>
      </c>
      <c r="E146" s="4">
        <v>2.0</v>
      </c>
      <c r="F146" s="4">
        <v>13.0</v>
      </c>
      <c r="G146" s="4">
        <v>16.0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>
        <v>2017.0</v>
      </c>
      <c r="B147" s="5" t="s">
        <v>25</v>
      </c>
      <c r="C147" s="5" t="s">
        <v>19</v>
      </c>
      <c r="D147" s="4">
        <v>11.0</v>
      </c>
      <c r="E147" s="4">
        <v>11.0</v>
      </c>
      <c r="F147" s="4">
        <v>62.0</v>
      </c>
      <c r="G147" s="4">
        <v>84.0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>
        <v>2017.0</v>
      </c>
      <c r="B148" s="5" t="s">
        <v>25</v>
      </c>
      <c r="C148" s="5" t="s">
        <v>20</v>
      </c>
      <c r="D148" s="4">
        <v>10.0</v>
      </c>
      <c r="E148" s="4">
        <v>7.0</v>
      </c>
      <c r="F148" s="4">
        <v>19.0</v>
      </c>
      <c r="G148" s="4">
        <v>36.0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>
        <v>2017.0</v>
      </c>
      <c r="B149" s="5" t="s">
        <v>25</v>
      </c>
      <c r="C149" s="5" t="s">
        <v>21</v>
      </c>
      <c r="D149" s="4">
        <v>1.0</v>
      </c>
      <c r="E149" s="4">
        <v>0.0</v>
      </c>
      <c r="F149" s="4">
        <v>1.0</v>
      </c>
      <c r="G149" s="4">
        <v>2.0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>
        <v>2017.0</v>
      </c>
      <c r="B150" s="5" t="s">
        <v>25</v>
      </c>
      <c r="C150" s="5" t="s">
        <v>22</v>
      </c>
      <c r="D150" s="4">
        <v>3.0</v>
      </c>
      <c r="E150" s="4">
        <v>4.0</v>
      </c>
      <c r="F150" s="4">
        <v>18.0</v>
      </c>
      <c r="G150" s="4">
        <v>25.0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>
        <v>2017.0</v>
      </c>
      <c r="B151" s="5" t="s">
        <v>25</v>
      </c>
      <c r="C151" s="5" t="s">
        <v>23</v>
      </c>
      <c r="D151" s="4">
        <v>0.0</v>
      </c>
      <c r="E151" s="4">
        <v>1.0</v>
      </c>
      <c r="F151" s="4">
        <v>2.0</v>
      </c>
      <c r="G151" s="4">
        <v>3.0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 t="s">
        <v>0</v>
      </c>
      <c r="B152" s="2" t="s">
        <v>1</v>
      </c>
      <c r="C152" s="2" t="s">
        <v>2</v>
      </c>
      <c r="D152" s="2" t="s">
        <v>3</v>
      </c>
      <c r="E152" s="2" t="s">
        <v>4</v>
      </c>
      <c r="F152" s="2" t="s">
        <v>5</v>
      </c>
      <c r="G152" s="2" t="s">
        <v>6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>
        <v>2017.0</v>
      </c>
      <c r="B153" s="2" t="s">
        <v>27</v>
      </c>
      <c r="C153" s="2" t="s">
        <v>7</v>
      </c>
      <c r="D153" s="2">
        <v>1.0</v>
      </c>
      <c r="E153" s="2">
        <v>0.0</v>
      </c>
      <c r="F153" s="2">
        <v>2.0</v>
      </c>
      <c r="G153" s="2">
        <v>3.0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>
        <v>2017.0</v>
      </c>
      <c r="B154" s="2" t="s">
        <v>27</v>
      </c>
      <c r="C154" s="2" t="s">
        <v>33</v>
      </c>
      <c r="D154" s="2">
        <v>1.0</v>
      </c>
      <c r="E154" s="2">
        <v>2.0</v>
      </c>
      <c r="F154" s="2">
        <v>2.0</v>
      </c>
      <c r="G154" s="2">
        <v>5.0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>
        <v>2017.0</v>
      </c>
      <c r="B155" s="2" t="s">
        <v>27</v>
      </c>
      <c r="C155" s="2" t="s">
        <v>8</v>
      </c>
      <c r="D155" s="2">
        <v>0.0</v>
      </c>
      <c r="E155" s="2">
        <v>0.0</v>
      </c>
      <c r="F155" s="2">
        <v>0.0</v>
      </c>
      <c r="G155" s="2">
        <v>0.0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>
        <v>2017.0</v>
      </c>
      <c r="B156" s="2" t="s">
        <v>27</v>
      </c>
      <c r="C156" s="2" t="s">
        <v>9</v>
      </c>
      <c r="D156" s="2">
        <v>1.0</v>
      </c>
      <c r="E156" s="2">
        <v>1.0</v>
      </c>
      <c r="F156" s="2">
        <v>11.0</v>
      </c>
      <c r="G156" s="2">
        <v>13.0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>
        <v>2017.0</v>
      </c>
      <c r="B157" s="2" t="s">
        <v>27</v>
      </c>
      <c r="C157" s="2" t="s">
        <v>10</v>
      </c>
      <c r="D157" s="2">
        <v>912.0</v>
      </c>
      <c r="E157" s="2">
        <v>784.0</v>
      </c>
      <c r="F157" s="2">
        <v>2814.0</v>
      </c>
      <c r="G157" s="2">
        <v>4510.0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>
        <v>2017.0</v>
      </c>
      <c r="B158" s="2" t="s">
        <v>27</v>
      </c>
      <c r="C158" s="2" t="s">
        <v>12</v>
      </c>
      <c r="D158" s="2">
        <v>2.0</v>
      </c>
      <c r="E158" s="2">
        <v>2.0</v>
      </c>
      <c r="F158" s="2">
        <v>14.0</v>
      </c>
      <c r="G158" s="2">
        <v>18.0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>
        <v>2017.0</v>
      </c>
      <c r="B159" s="2" t="s">
        <v>27</v>
      </c>
      <c r="C159" s="2" t="s">
        <v>15</v>
      </c>
      <c r="D159" s="2">
        <v>178.0</v>
      </c>
      <c r="E159" s="2">
        <v>151.0</v>
      </c>
      <c r="F159" s="2">
        <v>654.0</v>
      </c>
      <c r="G159" s="2">
        <v>983.0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>
        <v>2017.0</v>
      </c>
      <c r="B160" s="2" t="s">
        <v>27</v>
      </c>
      <c r="C160" s="2" t="s">
        <v>16</v>
      </c>
      <c r="D160" s="2">
        <v>1.0</v>
      </c>
      <c r="E160" s="2">
        <v>0.0</v>
      </c>
      <c r="F160" s="2">
        <v>5.0</v>
      </c>
      <c r="G160" s="2">
        <v>6.0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>
        <v>2017.0</v>
      </c>
      <c r="B161" s="2" t="s">
        <v>27</v>
      </c>
      <c r="C161" s="2" t="s">
        <v>14</v>
      </c>
      <c r="D161" s="2">
        <v>842.0</v>
      </c>
      <c r="E161" s="2">
        <v>771.0</v>
      </c>
      <c r="F161" s="2">
        <v>2884.0</v>
      </c>
      <c r="G161" s="2">
        <v>4497.0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>
        <v>2017.0</v>
      </c>
      <c r="B162" s="2" t="s">
        <v>27</v>
      </c>
      <c r="C162" s="2" t="s">
        <v>17</v>
      </c>
      <c r="D162" s="2">
        <v>1.0</v>
      </c>
      <c r="E162" s="2">
        <v>1.0</v>
      </c>
      <c r="F162" s="2">
        <v>11.0</v>
      </c>
      <c r="G162" s="2">
        <v>13.0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>
        <v>2017.0</v>
      </c>
      <c r="B163" s="2" t="s">
        <v>27</v>
      </c>
      <c r="C163" s="2" t="s">
        <v>19</v>
      </c>
      <c r="D163" s="2">
        <v>9.0</v>
      </c>
      <c r="E163" s="2">
        <v>9.0</v>
      </c>
      <c r="F163" s="2">
        <v>51.0</v>
      </c>
      <c r="G163" s="2">
        <v>69.0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>
        <v>2017.0</v>
      </c>
      <c r="B164" s="2" t="s">
        <v>27</v>
      </c>
      <c r="C164" s="2" t="s">
        <v>20</v>
      </c>
      <c r="D164" s="2">
        <v>9.0</v>
      </c>
      <c r="E164" s="2">
        <v>6.0</v>
      </c>
      <c r="F164" s="2">
        <v>16.0</v>
      </c>
      <c r="G164" s="2">
        <v>31.0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>
        <v>2017.0</v>
      </c>
      <c r="B165" s="2" t="s">
        <v>27</v>
      </c>
      <c r="C165" s="2" t="s">
        <v>21</v>
      </c>
      <c r="D165" s="2">
        <v>0.0</v>
      </c>
      <c r="E165" s="2">
        <v>0.0</v>
      </c>
      <c r="F165" s="2">
        <v>1.0</v>
      </c>
      <c r="G165" s="2">
        <v>1.0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>
        <v>2017.0</v>
      </c>
      <c r="B166" s="2" t="s">
        <v>27</v>
      </c>
      <c r="C166" s="2" t="s">
        <v>22</v>
      </c>
      <c r="D166" s="2">
        <v>2.0</v>
      </c>
      <c r="E166" s="2">
        <v>3.0</v>
      </c>
      <c r="F166" s="2">
        <v>15.0</v>
      </c>
      <c r="G166" s="2">
        <v>20.0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>
        <v>2017.0</v>
      </c>
      <c r="B167" s="2" t="s">
        <v>27</v>
      </c>
      <c r="C167" s="2" t="s">
        <v>23</v>
      </c>
      <c r="D167" s="2">
        <v>0.0</v>
      </c>
      <c r="E167" s="2">
        <v>0.0</v>
      </c>
      <c r="F167" s="2">
        <v>1.0</v>
      </c>
      <c r="G167" s="2">
        <v>1.0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>
        <v>2017.0</v>
      </c>
      <c r="B168" s="2" t="s">
        <v>29</v>
      </c>
      <c r="C168" s="2" t="s">
        <v>7</v>
      </c>
      <c r="D168" s="2">
        <v>2.0</v>
      </c>
      <c r="E168" s="2">
        <v>1.0</v>
      </c>
      <c r="F168" s="2">
        <v>3.0</v>
      </c>
      <c r="G168" s="2">
        <v>6.0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>
        <v>2017.0</v>
      </c>
      <c r="B169" s="2" t="s">
        <v>29</v>
      </c>
      <c r="C169" s="2" t="s">
        <v>33</v>
      </c>
      <c r="D169" s="2">
        <v>2.0</v>
      </c>
      <c r="E169" s="2">
        <v>3.0</v>
      </c>
      <c r="F169" s="2">
        <v>4.0</v>
      </c>
      <c r="G169" s="2">
        <v>9.0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>
        <v>2017.0</v>
      </c>
      <c r="B170" s="2" t="s">
        <v>29</v>
      </c>
      <c r="C170" s="2" t="s">
        <v>8</v>
      </c>
      <c r="D170" s="2">
        <v>0.0</v>
      </c>
      <c r="E170" s="2">
        <v>0.0</v>
      </c>
      <c r="F170" s="2">
        <v>0.0</v>
      </c>
      <c r="G170" s="2">
        <v>0.0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>
        <v>2017.0</v>
      </c>
      <c r="B171" s="2" t="s">
        <v>29</v>
      </c>
      <c r="C171" s="2" t="s">
        <v>9</v>
      </c>
      <c r="D171" s="2">
        <v>2.0</v>
      </c>
      <c r="E171" s="2">
        <v>2.0</v>
      </c>
      <c r="F171" s="2">
        <v>13.0</v>
      </c>
      <c r="G171" s="2">
        <v>17.0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>
        <v>2017.0</v>
      </c>
      <c r="B172" s="2" t="s">
        <v>29</v>
      </c>
      <c r="C172" s="2" t="s">
        <v>10</v>
      </c>
      <c r="D172" s="2">
        <v>1014.0</v>
      </c>
      <c r="E172" s="2">
        <v>864.0</v>
      </c>
      <c r="F172" s="2">
        <v>3118.0</v>
      </c>
      <c r="G172" s="2">
        <v>4996.0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>
        <v>2017.0</v>
      </c>
      <c r="B173" s="2" t="s">
        <v>29</v>
      </c>
      <c r="C173" s="2" t="s">
        <v>12</v>
      </c>
      <c r="D173" s="2">
        <v>3.0</v>
      </c>
      <c r="E173" s="2">
        <v>2.0</v>
      </c>
      <c r="F173" s="2">
        <v>18.0</v>
      </c>
      <c r="G173" s="2">
        <v>23.0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>
        <v>2017.0</v>
      </c>
      <c r="B174" s="2" t="s">
        <v>29</v>
      </c>
      <c r="C174" s="2" t="s">
        <v>15</v>
      </c>
      <c r="D174" s="2">
        <v>198.0</v>
      </c>
      <c r="E174" s="2">
        <v>168.0</v>
      </c>
      <c r="F174" s="2">
        <v>724.0</v>
      </c>
      <c r="G174" s="2">
        <v>1090.0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>
        <v>2017.0</v>
      </c>
      <c r="B175" s="2" t="s">
        <v>29</v>
      </c>
      <c r="C175" s="2" t="s">
        <v>16</v>
      </c>
      <c r="D175" s="2">
        <v>1.0</v>
      </c>
      <c r="E175" s="2">
        <v>1.0</v>
      </c>
      <c r="F175" s="2">
        <v>7.0</v>
      </c>
      <c r="G175" s="2">
        <v>9.0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>
        <v>2017.0</v>
      </c>
      <c r="B176" s="2" t="s">
        <v>29</v>
      </c>
      <c r="C176" s="2" t="s">
        <v>14</v>
      </c>
      <c r="D176" s="2">
        <v>948.0</v>
      </c>
      <c r="E176" s="2">
        <v>852.0</v>
      </c>
      <c r="F176" s="2">
        <v>3214.0</v>
      </c>
      <c r="G176" s="2">
        <v>5014.0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>
        <v>2017.0</v>
      </c>
      <c r="B177" s="2" t="s">
        <v>29</v>
      </c>
      <c r="C177" s="2" t="s">
        <v>17</v>
      </c>
      <c r="D177" s="2">
        <v>1.0</v>
      </c>
      <c r="E177" s="2">
        <v>2.0</v>
      </c>
      <c r="F177" s="2">
        <v>13.0</v>
      </c>
      <c r="G177" s="2">
        <v>16.0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>
        <v>2017.0</v>
      </c>
      <c r="B178" s="2" t="s">
        <v>29</v>
      </c>
      <c r="C178" s="2" t="s">
        <v>19</v>
      </c>
      <c r="D178" s="2">
        <v>11.0</v>
      </c>
      <c r="E178" s="2">
        <v>11.0</v>
      </c>
      <c r="F178" s="2">
        <v>62.0</v>
      </c>
      <c r="G178" s="2">
        <v>84.0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>
        <v>2017.0</v>
      </c>
      <c r="B179" s="2" t="s">
        <v>29</v>
      </c>
      <c r="C179" s="2" t="s">
        <v>20</v>
      </c>
      <c r="D179" s="2">
        <v>10.0</v>
      </c>
      <c r="E179" s="2">
        <v>7.0</v>
      </c>
      <c r="F179" s="2">
        <v>19.0</v>
      </c>
      <c r="G179" s="2">
        <v>36.0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>
        <v>2017.0</v>
      </c>
      <c r="B180" s="2" t="s">
        <v>29</v>
      </c>
      <c r="C180" s="2" t="s">
        <v>21</v>
      </c>
      <c r="D180" s="2">
        <v>1.0</v>
      </c>
      <c r="E180" s="2">
        <v>0.0</v>
      </c>
      <c r="F180" s="2">
        <v>1.0</v>
      </c>
      <c r="G180" s="2">
        <v>2.0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>
        <v>2017.0</v>
      </c>
      <c r="B181" s="2" t="s">
        <v>29</v>
      </c>
      <c r="C181" s="2" t="s">
        <v>22</v>
      </c>
      <c r="D181" s="2">
        <v>3.0</v>
      </c>
      <c r="E181" s="2">
        <v>4.0</v>
      </c>
      <c r="F181" s="2">
        <v>18.0</v>
      </c>
      <c r="G181" s="2">
        <v>25.0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2">
        <v>2017.0</v>
      </c>
      <c r="B182" s="2" t="s">
        <v>29</v>
      </c>
      <c r="C182" s="2" t="s">
        <v>23</v>
      </c>
      <c r="D182" s="2">
        <v>0.0</v>
      </c>
      <c r="E182" s="2">
        <v>1.0</v>
      </c>
      <c r="F182" s="2">
        <v>2.0</v>
      </c>
      <c r="G182" s="2">
        <v>3.0</v>
      </c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2018.0</v>
      </c>
      <c r="B2" s="5" t="s">
        <v>11</v>
      </c>
      <c r="C2" s="5" t="s">
        <v>7</v>
      </c>
      <c r="D2" s="4">
        <v>2.0</v>
      </c>
      <c r="E2" s="4">
        <v>1.0</v>
      </c>
      <c r="F2" s="4">
        <v>3.0</v>
      </c>
      <c r="G2" s="4">
        <v>6.0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2018.0</v>
      </c>
      <c r="B3" s="5" t="s">
        <v>11</v>
      </c>
      <c r="C3" s="5" t="s">
        <v>33</v>
      </c>
      <c r="D3" s="4">
        <v>2.0</v>
      </c>
      <c r="E3" s="4">
        <v>3.0</v>
      </c>
      <c r="F3" s="4">
        <v>4.0</v>
      </c>
      <c r="G3" s="4">
        <v>9.0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2018.0</v>
      </c>
      <c r="B4" s="5" t="s">
        <v>11</v>
      </c>
      <c r="C4" s="5" t="s">
        <v>8</v>
      </c>
      <c r="D4" s="4">
        <v>0.0</v>
      </c>
      <c r="E4" s="4">
        <v>0.0</v>
      </c>
      <c r="F4" s="4">
        <v>0.0</v>
      </c>
      <c r="G4" s="4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2018.0</v>
      </c>
      <c r="B5" s="5" t="s">
        <v>11</v>
      </c>
      <c r="C5" s="5" t="s">
        <v>9</v>
      </c>
      <c r="D5" s="4">
        <v>2.0</v>
      </c>
      <c r="E5" s="4">
        <v>2.0</v>
      </c>
      <c r="F5" s="4">
        <v>13.0</v>
      </c>
      <c r="G5" s="4">
        <v>17.0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2018.0</v>
      </c>
      <c r="B6" s="5" t="s">
        <v>11</v>
      </c>
      <c r="C6" s="5" t="s">
        <v>10</v>
      </c>
      <c r="D6" s="4">
        <v>1014.0</v>
      </c>
      <c r="E6" s="4">
        <v>864.0</v>
      </c>
      <c r="F6" s="4">
        <v>3118.0</v>
      </c>
      <c r="G6" s="4">
        <v>4996.0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2018.0</v>
      </c>
      <c r="B7" s="5" t="s">
        <v>11</v>
      </c>
      <c r="C7" s="5" t="s">
        <v>12</v>
      </c>
      <c r="D7" s="4">
        <v>3.0</v>
      </c>
      <c r="E7" s="4">
        <v>2.0</v>
      </c>
      <c r="F7" s="4">
        <v>18.0</v>
      </c>
      <c r="G7" s="4">
        <v>23.0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2018.0</v>
      </c>
      <c r="B8" s="5" t="s">
        <v>11</v>
      </c>
      <c r="C8" s="5" t="s">
        <v>15</v>
      </c>
      <c r="D8" s="4">
        <v>198.0</v>
      </c>
      <c r="E8" s="4">
        <v>168.0</v>
      </c>
      <c r="F8" s="4">
        <v>724.0</v>
      </c>
      <c r="G8" s="4">
        <v>1090.0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2018.0</v>
      </c>
      <c r="B9" s="5" t="s">
        <v>11</v>
      </c>
      <c r="C9" s="5" t="s">
        <v>16</v>
      </c>
      <c r="D9" s="4">
        <v>1.0</v>
      </c>
      <c r="E9" s="4">
        <v>1.0</v>
      </c>
      <c r="F9" s="4">
        <v>7.0</v>
      </c>
      <c r="G9" s="4">
        <v>9.0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2018.0</v>
      </c>
      <c r="B10" s="5" t="s">
        <v>11</v>
      </c>
      <c r="C10" s="5" t="s">
        <v>14</v>
      </c>
      <c r="D10" s="4">
        <v>948.0</v>
      </c>
      <c r="E10" s="4">
        <v>852.0</v>
      </c>
      <c r="F10" s="4">
        <v>3214.0</v>
      </c>
      <c r="G10" s="4">
        <v>5014.0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2018.0</v>
      </c>
      <c r="B11" s="5" t="s">
        <v>11</v>
      </c>
      <c r="C11" s="5" t="s">
        <v>17</v>
      </c>
      <c r="D11" s="4">
        <v>1.0</v>
      </c>
      <c r="E11" s="4">
        <v>2.0</v>
      </c>
      <c r="F11" s="4">
        <v>13.0</v>
      </c>
      <c r="G11" s="4">
        <v>16.0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2018.0</v>
      </c>
      <c r="B12" s="5" t="s">
        <v>11</v>
      </c>
      <c r="C12" s="5" t="s">
        <v>19</v>
      </c>
      <c r="D12" s="4">
        <v>11.0</v>
      </c>
      <c r="E12" s="4">
        <v>11.0</v>
      </c>
      <c r="F12" s="4">
        <v>62.0</v>
      </c>
      <c r="G12" s="4">
        <v>84.0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2018.0</v>
      </c>
      <c r="B13" s="5" t="s">
        <v>11</v>
      </c>
      <c r="C13" s="5" t="s">
        <v>20</v>
      </c>
      <c r="D13" s="4">
        <v>10.0</v>
      </c>
      <c r="E13" s="4">
        <v>7.0</v>
      </c>
      <c r="F13" s="4">
        <v>19.0</v>
      </c>
      <c r="G13" s="4">
        <v>36.0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2018.0</v>
      </c>
      <c r="B14" s="5" t="s">
        <v>11</v>
      </c>
      <c r="C14" s="5" t="s">
        <v>21</v>
      </c>
      <c r="D14" s="4">
        <v>1.0</v>
      </c>
      <c r="E14" s="4">
        <v>0.0</v>
      </c>
      <c r="F14" s="4">
        <v>1.0</v>
      </c>
      <c r="G14" s="4">
        <v>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2018.0</v>
      </c>
      <c r="B15" s="5" t="s">
        <v>11</v>
      </c>
      <c r="C15" s="5" t="s">
        <v>22</v>
      </c>
      <c r="D15" s="4">
        <v>3.0</v>
      </c>
      <c r="E15" s="4">
        <v>4.0</v>
      </c>
      <c r="F15" s="4">
        <v>18.0</v>
      </c>
      <c r="G15" s="4">
        <v>25.0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2018.0</v>
      </c>
      <c r="B16" s="5" t="s">
        <v>11</v>
      </c>
      <c r="C16" s="5" t="s">
        <v>23</v>
      </c>
      <c r="D16" s="4">
        <v>0.0</v>
      </c>
      <c r="E16" s="4">
        <v>1.0</v>
      </c>
      <c r="F16" s="4">
        <v>2.0</v>
      </c>
      <c r="G16" s="4">
        <v>3.0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2018.0</v>
      </c>
      <c r="B17" s="5" t="s">
        <v>24</v>
      </c>
      <c r="C17" s="5" t="s">
        <v>7</v>
      </c>
      <c r="D17" s="4">
        <v>1.0</v>
      </c>
      <c r="E17" s="4">
        <v>0.0</v>
      </c>
      <c r="F17" s="4">
        <v>2.0</v>
      </c>
      <c r="G17" s="4">
        <v>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2018.0</v>
      </c>
      <c r="B18" s="5" t="s">
        <v>24</v>
      </c>
      <c r="C18" s="5" t="s">
        <v>33</v>
      </c>
      <c r="D18" s="4">
        <v>1.0</v>
      </c>
      <c r="E18" s="4">
        <v>2.0</v>
      </c>
      <c r="F18" s="4">
        <v>2.0</v>
      </c>
      <c r="G18" s="4">
        <v>5.0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2018.0</v>
      </c>
      <c r="B19" s="5" t="s">
        <v>24</v>
      </c>
      <c r="C19" s="5" t="s">
        <v>8</v>
      </c>
      <c r="D19" s="4">
        <v>0.0</v>
      </c>
      <c r="E19" s="4">
        <v>0.0</v>
      </c>
      <c r="F19" s="4">
        <v>0.0</v>
      </c>
      <c r="G19" s="4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2018.0</v>
      </c>
      <c r="B20" s="5" t="s">
        <v>24</v>
      </c>
      <c r="C20" s="5" t="s">
        <v>9</v>
      </c>
      <c r="D20" s="4">
        <v>1.0</v>
      </c>
      <c r="E20" s="4">
        <v>1.0</v>
      </c>
      <c r="F20" s="4">
        <v>11.0</v>
      </c>
      <c r="G20" s="4">
        <v>13.0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2018.0</v>
      </c>
      <c r="B21" s="5" t="s">
        <v>24</v>
      </c>
      <c r="C21" s="5" t="s">
        <v>10</v>
      </c>
      <c r="D21" s="4">
        <v>912.0</v>
      </c>
      <c r="E21" s="4">
        <v>784.0</v>
      </c>
      <c r="F21" s="4">
        <v>2814.0</v>
      </c>
      <c r="G21" s="4">
        <v>4510.0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2018.0</v>
      </c>
      <c r="B22" s="5" t="s">
        <v>24</v>
      </c>
      <c r="C22" s="5" t="s">
        <v>12</v>
      </c>
      <c r="D22" s="4">
        <v>2.0</v>
      </c>
      <c r="E22" s="4">
        <v>2.0</v>
      </c>
      <c r="F22" s="4">
        <v>14.0</v>
      </c>
      <c r="G22" s="4">
        <v>18.0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2018.0</v>
      </c>
      <c r="B23" s="5" t="s">
        <v>24</v>
      </c>
      <c r="C23" s="5" t="s">
        <v>15</v>
      </c>
      <c r="D23" s="4">
        <v>178.0</v>
      </c>
      <c r="E23" s="4">
        <v>151.0</v>
      </c>
      <c r="F23" s="4">
        <v>654.0</v>
      </c>
      <c r="G23" s="4">
        <v>983.0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2018.0</v>
      </c>
      <c r="B24" s="5" t="s">
        <v>24</v>
      </c>
      <c r="C24" s="5" t="s">
        <v>16</v>
      </c>
      <c r="D24" s="4">
        <v>1.0</v>
      </c>
      <c r="E24" s="4">
        <v>0.0</v>
      </c>
      <c r="F24" s="4">
        <v>5.0</v>
      </c>
      <c r="G24" s="4">
        <v>6.0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2018.0</v>
      </c>
      <c r="B25" s="5" t="s">
        <v>24</v>
      </c>
      <c r="C25" s="5" t="s">
        <v>14</v>
      </c>
      <c r="D25" s="4">
        <v>842.0</v>
      </c>
      <c r="E25" s="4">
        <v>771.0</v>
      </c>
      <c r="F25" s="4">
        <v>2884.0</v>
      </c>
      <c r="G25" s="4">
        <v>4497.0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2018.0</v>
      </c>
      <c r="B26" s="5" t="s">
        <v>24</v>
      </c>
      <c r="C26" s="5" t="s">
        <v>17</v>
      </c>
      <c r="D26" s="4">
        <v>1.0</v>
      </c>
      <c r="E26" s="4">
        <v>1.0</v>
      </c>
      <c r="F26" s="4">
        <v>11.0</v>
      </c>
      <c r="G26" s="4">
        <v>13.0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2018.0</v>
      </c>
      <c r="B27" s="5" t="s">
        <v>24</v>
      </c>
      <c r="C27" s="5" t="s">
        <v>19</v>
      </c>
      <c r="D27" s="4">
        <v>9.0</v>
      </c>
      <c r="E27" s="4">
        <v>9.0</v>
      </c>
      <c r="F27" s="4">
        <v>51.0</v>
      </c>
      <c r="G27" s="4">
        <v>69.0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2018.0</v>
      </c>
      <c r="B28" s="5" t="s">
        <v>24</v>
      </c>
      <c r="C28" s="5" t="s">
        <v>20</v>
      </c>
      <c r="D28" s="4">
        <v>9.0</v>
      </c>
      <c r="E28" s="4">
        <v>6.0</v>
      </c>
      <c r="F28" s="4">
        <v>16.0</v>
      </c>
      <c r="G28" s="4">
        <v>31.0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2018.0</v>
      </c>
      <c r="B29" s="5" t="s">
        <v>24</v>
      </c>
      <c r="C29" s="5" t="s">
        <v>21</v>
      </c>
      <c r="D29" s="4">
        <v>0.0</v>
      </c>
      <c r="E29" s="4">
        <v>0.0</v>
      </c>
      <c r="F29" s="4">
        <v>1.0</v>
      </c>
      <c r="G29" s="4">
        <v>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2018.0</v>
      </c>
      <c r="B30" s="5" t="s">
        <v>24</v>
      </c>
      <c r="C30" s="5" t="s">
        <v>22</v>
      </c>
      <c r="D30" s="4">
        <v>2.0</v>
      </c>
      <c r="E30" s="4">
        <v>3.0</v>
      </c>
      <c r="F30" s="4">
        <v>15.0</v>
      </c>
      <c r="G30" s="4">
        <v>20.0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2018.0</v>
      </c>
      <c r="B31" s="5" t="s">
        <v>24</v>
      </c>
      <c r="C31" s="5" t="s">
        <v>23</v>
      </c>
      <c r="D31" s="4">
        <v>0.0</v>
      </c>
      <c r="E31" s="4">
        <v>0.0</v>
      </c>
      <c r="F31" s="4">
        <v>1.0</v>
      </c>
      <c r="G31" s="4">
        <v>1.0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2018.0</v>
      </c>
      <c r="B32" s="5" t="s">
        <v>26</v>
      </c>
      <c r="C32" s="5" t="s">
        <v>7</v>
      </c>
      <c r="D32" s="4">
        <v>2.0</v>
      </c>
      <c r="E32" s="4">
        <v>1.0</v>
      </c>
      <c r="F32" s="4">
        <v>3.0</v>
      </c>
      <c r="G32" s="4">
        <v>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2018.0</v>
      </c>
      <c r="B33" s="5" t="s">
        <v>26</v>
      </c>
      <c r="C33" s="5" t="s">
        <v>33</v>
      </c>
      <c r="D33" s="4">
        <v>2.0</v>
      </c>
      <c r="E33" s="4">
        <v>3.0</v>
      </c>
      <c r="F33" s="4">
        <v>5.0</v>
      </c>
      <c r="G33" s="4">
        <v>10.0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2018.0</v>
      </c>
      <c r="B34" s="5" t="s">
        <v>26</v>
      </c>
      <c r="C34" s="5" t="s">
        <v>8</v>
      </c>
      <c r="D34" s="4">
        <v>0.0</v>
      </c>
      <c r="E34" s="4">
        <v>0.0</v>
      </c>
      <c r="F34" s="4">
        <v>0.0</v>
      </c>
      <c r="G34" s="4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2018.0</v>
      </c>
      <c r="B35" s="5" t="s">
        <v>26</v>
      </c>
      <c r="C35" s="5" t="s">
        <v>9</v>
      </c>
      <c r="D35" s="4">
        <v>3.0</v>
      </c>
      <c r="E35" s="4">
        <v>2.0</v>
      </c>
      <c r="F35" s="4">
        <v>14.0</v>
      </c>
      <c r="G35" s="4">
        <v>19.0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2018.0</v>
      </c>
      <c r="B36" s="5" t="s">
        <v>26</v>
      </c>
      <c r="C36" s="5" t="s">
        <v>10</v>
      </c>
      <c r="D36" s="4">
        <v>1124.0</v>
      </c>
      <c r="E36" s="4">
        <v>918.0</v>
      </c>
      <c r="F36" s="4">
        <v>3416.0</v>
      </c>
      <c r="G36" s="4">
        <v>5458.0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2018.0</v>
      </c>
      <c r="B37" s="5" t="s">
        <v>26</v>
      </c>
      <c r="C37" s="5" t="s">
        <v>12</v>
      </c>
      <c r="D37" s="4">
        <v>4.0</v>
      </c>
      <c r="E37" s="4">
        <v>2.0</v>
      </c>
      <c r="F37" s="4">
        <v>21.0</v>
      </c>
      <c r="G37" s="4">
        <v>27.0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2018.0</v>
      </c>
      <c r="B38" s="5" t="s">
        <v>26</v>
      </c>
      <c r="C38" s="5" t="s">
        <v>15</v>
      </c>
      <c r="D38" s="4">
        <v>212.0</v>
      </c>
      <c r="E38" s="4">
        <v>181.0</v>
      </c>
      <c r="F38" s="4">
        <v>792.0</v>
      </c>
      <c r="G38" s="4">
        <v>1185.0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2018.0</v>
      </c>
      <c r="B39" s="5" t="s">
        <v>26</v>
      </c>
      <c r="C39" s="5" t="s">
        <v>16</v>
      </c>
      <c r="D39" s="4">
        <v>2.0</v>
      </c>
      <c r="E39" s="4">
        <v>1.0</v>
      </c>
      <c r="F39" s="4">
        <v>8.0</v>
      </c>
      <c r="G39" s="4">
        <v>11.0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2018.0</v>
      </c>
      <c r="B40" s="5" t="s">
        <v>26</v>
      </c>
      <c r="C40" s="5" t="s">
        <v>14</v>
      </c>
      <c r="D40" s="4">
        <v>1084.0</v>
      </c>
      <c r="E40" s="4">
        <v>942.0</v>
      </c>
      <c r="F40" s="4">
        <v>3584.0</v>
      </c>
      <c r="G40" s="4">
        <v>5610.0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2018.0</v>
      </c>
      <c r="B41" s="5" t="s">
        <v>26</v>
      </c>
      <c r="C41" s="5" t="s">
        <v>17</v>
      </c>
      <c r="D41" s="4">
        <v>2.0</v>
      </c>
      <c r="E41" s="4">
        <v>3.0</v>
      </c>
      <c r="F41" s="4">
        <v>15.0</v>
      </c>
      <c r="G41" s="4">
        <v>20.0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2018.0</v>
      </c>
      <c r="B42" s="5" t="s">
        <v>26</v>
      </c>
      <c r="C42" s="5" t="s">
        <v>19</v>
      </c>
      <c r="D42" s="4">
        <v>14.0</v>
      </c>
      <c r="E42" s="4">
        <v>12.0</v>
      </c>
      <c r="F42" s="4">
        <v>68.0</v>
      </c>
      <c r="G42" s="4">
        <v>94.0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2018.0</v>
      </c>
      <c r="B43" s="5" t="s">
        <v>26</v>
      </c>
      <c r="C43" s="5" t="s">
        <v>20</v>
      </c>
      <c r="D43" s="4">
        <v>11.0</v>
      </c>
      <c r="E43" s="4">
        <v>8.0</v>
      </c>
      <c r="F43" s="4">
        <v>21.0</v>
      </c>
      <c r="G43" s="4">
        <v>40.0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2018.0</v>
      </c>
      <c r="B44" s="5" t="s">
        <v>26</v>
      </c>
      <c r="C44" s="5" t="s">
        <v>21</v>
      </c>
      <c r="D44" s="4">
        <v>1.0</v>
      </c>
      <c r="E44" s="4">
        <v>0.0</v>
      </c>
      <c r="F44" s="4">
        <v>2.0</v>
      </c>
      <c r="G44" s="4">
        <v>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2018.0</v>
      </c>
      <c r="B45" s="5" t="s">
        <v>26</v>
      </c>
      <c r="C45" s="5" t="s">
        <v>22</v>
      </c>
      <c r="D45" s="4">
        <v>4.0</v>
      </c>
      <c r="E45" s="4">
        <v>5.0</v>
      </c>
      <c r="F45" s="4">
        <v>20.0</v>
      </c>
      <c r="G45" s="4">
        <v>29.0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2018.0</v>
      </c>
      <c r="B46" s="5" t="s">
        <v>26</v>
      </c>
      <c r="C46" s="5" t="s">
        <v>23</v>
      </c>
      <c r="D46" s="4">
        <v>0.0</v>
      </c>
      <c r="E46" s="4">
        <v>1.0</v>
      </c>
      <c r="F46" s="4">
        <v>2.0</v>
      </c>
      <c r="G46" s="4">
        <v>3.0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2018.0</v>
      </c>
      <c r="B47" s="5" t="s">
        <v>13</v>
      </c>
      <c r="C47" s="5" t="s">
        <v>7</v>
      </c>
      <c r="D47" s="4">
        <v>1.0</v>
      </c>
      <c r="E47" s="4">
        <v>0.0</v>
      </c>
      <c r="F47" s="4">
        <v>2.0</v>
      </c>
      <c r="G47" s="4">
        <v>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2018.0</v>
      </c>
      <c r="B48" s="5" t="s">
        <v>13</v>
      </c>
      <c r="C48" s="5" t="s">
        <v>33</v>
      </c>
      <c r="D48" s="4">
        <v>1.0</v>
      </c>
      <c r="E48" s="4">
        <v>2.0</v>
      </c>
      <c r="F48" s="4">
        <v>3.0</v>
      </c>
      <c r="G48" s="4">
        <v>6.0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2018.0</v>
      </c>
      <c r="B49" s="5" t="s">
        <v>13</v>
      </c>
      <c r="C49" s="5" t="s">
        <v>8</v>
      </c>
      <c r="D49" s="4">
        <v>0.0</v>
      </c>
      <c r="E49" s="4">
        <v>0.0</v>
      </c>
      <c r="F49" s="4">
        <v>0.0</v>
      </c>
      <c r="G49" s="4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2018.0</v>
      </c>
      <c r="B50" s="5" t="s">
        <v>13</v>
      </c>
      <c r="C50" s="5" t="s">
        <v>9</v>
      </c>
      <c r="D50" s="4">
        <v>2.0</v>
      </c>
      <c r="E50" s="4">
        <v>2.0</v>
      </c>
      <c r="F50" s="4">
        <v>12.0</v>
      </c>
      <c r="G50" s="4">
        <v>16.0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2018.0</v>
      </c>
      <c r="B51" s="5" t="s">
        <v>13</v>
      </c>
      <c r="C51" s="5" t="s">
        <v>10</v>
      </c>
      <c r="D51" s="4">
        <v>948.0</v>
      </c>
      <c r="E51" s="4">
        <v>812.0</v>
      </c>
      <c r="F51" s="4">
        <v>2914.0</v>
      </c>
      <c r="G51" s="4">
        <v>4674.0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>
        <v>2018.0</v>
      </c>
      <c r="B52" s="5" t="s">
        <v>13</v>
      </c>
      <c r="C52" s="5" t="s">
        <v>12</v>
      </c>
      <c r="D52" s="4">
        <v>3.0</v>
      </c>
      <c r="E52" s="4">
        <v>2.0</v>
      </c>
      <c r="F52" s="4">
        <v>16.0</v>
      </c>
      <c r="G52" s="4">
        <v>21.0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>
        <v>2018.0</v>
      </c>
      <c r="B53" s="5" t="s">
        <v>13</v>
      </c>
      <c r="C53" s="5" t="s">
        <v>15</v>
      </c>
      <c r="D53" s="4">
        <v>187.0</v>
      </c>
      <c r="E53" s="4">
        <v>159.0</v>
      </c>
      <c r="F53" s="4">
        <v>694.0</v>
      </c>
      <c r="G53" s="4">
        <v>1040.0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>
        <v>2018.0</v>
      </c>
      <c r="B54" s="5" t="s">
        <v>13</v>
      </c>
      <c r="C54" s="5" t="s">
        <v>16</v>
      </c>
      <c r="D54" s="4">
        <v>1.0</v>
      </c>
      <c r="E54" s="4">
        <v>0.0</v>
      </c>
      <c r="F54" s="4">
        <v>6.0</v>
      </c>
      <c r="G54" s="4">
        <v>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>
        <v>2018.0</v>
      </c>
      <c r="B55" s="5" t="s">
        <v>13</v>
      </c>
      <c r="C55" s="5" t="s">
        <v>14</v>
      </c>
      <c r="D55" s="4">
        <v>872.0</v>
      </c>
      <c r="E55" s="4">
        <v>804.0</v>
      </c>
      <c r="F55" s="4">
        <v>2984.0</v>
      </c>
      <c r="G55" s="4">
        <v>4660.0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>
        <v>2018.0</v>
      </c>
      <c r="B56" s="5" t="s">
        <v>13</v>
      </c>
      <c r="C56" s="5" t="s">
        <v>17</v>
      </c>
      <c r="D56" s="4">
        <v>1.0</v>
      </c>
      <c r="E56" s="4">
        <v>2.0</v>
      </c>
      <c r="F56" s="4">
        <v>13.0</v>
      </c>
      <c r="G56" s="4">
        <v>16.0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>
        <v>2018.0</v>
      </c>
      <c r="B57" s="5" t="s">
        <v>13</v>
      </c>
      <c r="C57" s="5" t="s">
        <v>19</v>
      </c>
      <c r="D57" s="4">
        <v>11.0</v>
      </c>
      <c r="E57" s="4">
        <v>10.0</v>
      </c>
      <c r="F57" s="4">
        <v>54.0</v>
      </c>
      <c r="G57" s="4">
        <v>75.0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>
        <v>2018.0</v>
      </c>
      <c r="B58" s="5" t="s">
        <v>13</v>
      </c>
      <c r="C58" s="5" t="s">
        <v>20</v>
      </c>
      <c r="D58" s="4">
        <v>10.0</v>
      </c>
      <c r="E58" s="4">
        <v>7.0</v>
      </c>
      <c r="F58" s="4">
        <v>17.0</v>
      </c>
      <c r="G58" s="4">
        <v>34.0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>
        <v>2018.0</v>
      </c>
      <c r="B59" s="5" t="s">
        <v>13</v>
      </c>
      <c r="C59" s="5" t="s">
        <v>21</v>
      </c>
      <c r="D59" s="4">
        <v>0.0</v>
      </c>
      <c r="E59" s="4">
        <v>0.0</v>
      </c>
      <c r="F59" s="4">
        <v>1.0</v>
      </c>
      <c r="G59" s="4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2018.0</v>
      </c>
      <c r="B60" s="5" t="s">
        <v>13</v>
      </c>
      <c r="C60" s="5" t="s">
        <v>22</v>
      </c>
      <c r="D60" s="4">
        <v>3.0</v>
      </c>
      <c r="E60" s="4">
        <v>4.0</v>
      </c>
      <c r="F60" s="4">
        <v>17.0</v>
      </c>
      <c r="G60" s="4">
        <v>24.0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2018.0</v>
      </c>
      <c r="B61" s="5" t="s">
        <v>13</v>
      </c>
      <c r="C61" s="5" t="s">
        <v>23</v>
      </c>
      <c r="D61" s="4">
        <v>0.0</v>
      </c>
      <c r="E61" s="4">
        <v>0.0</v>
      </c>
      <c r="F61" s="4">
        <v>2.0</v>
      </c>
      <c r="G61" s="4">
        <v>2.0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>
        <v>2018.0</v>
      </c>
      <c r="B62" s="5" t="s">
        <v>30</v>
      </c>
      <c r="C62" s="5" t="s">
        <v>7</v>
      </c>
      <c r="D62" s="4">
        <v>1.0</v>
      </c>
      <c r="E62" s="4">
        <v>0.0</v>
      </c>
      <c r="F62" s="4">
        <v>1.0</v>
      </c>
      <c r="G62" s="4">
        <v>2.0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>
        <v>2018.0</v>
      </c>
      <c r="B63" s="5" t="s">
        <v>30</v>
      </c>
      <c r="C63" s="5" t="s">
        <v>33</v>
      </c>
      <c r="D63" s="4">
        <v>2.0</v>
      </c>
      <c r="E63" s="4">
        <v>2.0</v>
      </c>
      <c r="F63" s="4">
        <v>2.0</v>
      </c>
      <c r="G63" s="4">
        <v>6.0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>
        <v>2018.0</v>
      </c>
      <c r="B64" s="5" t="s">
        <v>30</v>
      </c>
      <c r="C64" s="5" t="s">
        <v>8</v>
      </c>
      <c r="D64" s="4">
        <v>0.0</v>
      </c>
      <c r="E64" s="4">
        <v>0.0</v>
      </c>
      <c r="F64" s="4">
        <v>0.0</v>
      </c>
      <c r="G64" s="4">
        <v>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>
        <v>2018.0</v>
      </c>
      <c r="B65" s="5" t="s">
        <v>30</v>
      </c>
      <c r="C65" s="5" t="s">
        <v>9</v>
      </c>
      <c r="D65" s="4">
        <v>1.0</v>
      </c>
      <c r="E65" s="4">
        <v>1.0</v>
      </c>
      <c r="F65" s="4">
        <v>11.0</v>
      </c>
      <c r="G65" s="4">
        <v>13.0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>
        <v>2018.0</v>
      </c>
      <c r="B66" s="5" t="s">
        <v>30</v>
      </c>
      <c r="C66" s="5" t="s">
        <v>10</v>
      </c>
      <c r="D66" s="4">
        <v>912.0</v>
      </c>
      <c r="E66" s="4">
        <v>784.0</v>
      </c>
      <c r="F66" s="4">
        <v>2814.0</v>
      </c>
      <c r="G66" s="4">
        <v>4510.0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>
        <v>2018.0</v>
      </c>
      <c r="B67" s="5" t="s">
        <v>30</v>
      </c>
      <c r="C67" s="5" t="s">
        <v>12</v>
      </c>
      <c r="D67" s="4">
        <v>2.0</v>
      </c>
      <c r="E67" s="4">
        <v>2.0</v>
      </c>
      <c r="F67" s="4">
        <v>14.0</v>
      </c>
      <c r="G67" s="4">
        <v>18.0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>
        <v>2018.0</v>
      </c>
      <c r="B68" s="5" t="s">
        <v>30</v>
      </c>
      <c r="C68" s="5" t="s">
        <v>15</v>
      </c>
      <c r="D68" s="4">
        <v>178.0</v>
      </c>
      <c r="E68" s="4">
        <v>151.0</v>
      </c>
      <c r="F68" s="4">
        <v>654.0</v>
      </c>
      <c r="G68" s="4">
        <v>983.0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>
        <v>2018.0</v>
      </c>
      <c r="B69" s="5" t="s">
        <v>30</v>
      </c>
      <c r="C69" s="5" t="s">
        <v>16</v>
      </c>
      <c r="D69" s="4">
        <v>1.0</v>
      </c>
      <c r="E69" s="4">
        <v>0.0</v>
      </c>
      <c r="F69" s="4">
        <v>5.0</v>
      </c>
      <c r="G69" s="4">
        <v>6.0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>
        <v>2018.0</v>
      </c>
      <c r="B70" s="5" t="s">
        <v>30</v>
      </c>
      <c r="C70" s="5" t="s">
        <v>14</v>
      </c>
      <c r="D70" s="4">
        <v>842.0</v>
      </c>
      <c r="E70" s="4">
        <v>771.0</v>
      </c>
      <c r="F70" s="4">
        <v>2884.0</v>
      </c>
      <c r="G70" s="4">
        <v>4497.0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>
        <v>2018.0</v>
      </c>
      <c r="B71" s="5" t="s">
        <v>30</v>
      </c>
      <c r="C71" s="5" t="s">
        <v>17</v>
      </c>
      <c r="D71" s="4">
        <v>1.0</v>
      </c>
      <c r="E71" s="4">
        <v>1.0</v>
      </c>
      <c r="F71" s="4">
        <v>11.0</v>
      </c>
      <c r="G71" s="4">
        <v>13.0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>
        <v>2018.0</v>
      </c>
      <c r="B72" s="5" t="s">
        <v>30</v>
      </c>
      <c r="C72" s="5" t="s">
        <v>19</v>
      </c>
      <c r="D72" s="4">
        <v>9.0</v>
      </c>
      <c r="E72" s="4">
        <v>9.0</v>
      </c>
      <c r="F72" s="4">
        <v>51.0</v>
      </c>
      <c r="G72" s="4">
        <v>69.0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>
        <v>2018.0</v>
      </c>
      <c r="B73" s="5" t="s">
        <v>30</v>
      </c>
      <c r="C73" s="5" t="s">
        <v>20</v>
      </c>
      <c r="D73" s="4">
        <v>9.0</v>
      </c>
      <c r="E73" s="4">
        <v>6.0</v>
      </c>
      <c r="F73" s="4">
        <v>16.0</v>
      </c>
      <c r="G73" s="4">
        <v>31.0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>
        <v>2018.0</v>
      </c>
      <c r="B74" s="5" t="s">
        <v>30</v>
      </c>
      <c r="C74" s="5" t="s">
        <v>21</v>
      </c>
      <c r="D74" s="4">
        <v>0.0</v>
      </c>
      <c r="E74" s="4">
        <v>0.0</v>
      </c>
      <c r="F74" s="4">
        <v>1.0</v>
      </c>
      <c r="G74" s="4">
        <v>1.0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>
        <v>2018.0</v>
      </c>
      <c r="B75" s="5" t="s">
        <v>30</v>
      </c>
      <c r="C75" s="5" t="s">
        <v>22</v>
      </c>
      <c r="D75" s="4">
        <v>2.0</v>
      </c>
      <c r="E75" s="4">
        <v>3.0</v>
      </c>
      <c r="F75" s="4">
        <v>15.0</v>
      </c>
      <c r="G75" s="4">
        <v>20.0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>
        <v>2018.0</v>
      </c>
      <c r="B76" s="5" t="s">
        <v>30</v>
      </c>
      <c r="C76" s="5" t="s">
        <v>23</v>
      </c>
      <c r="D76" s="4">
        <v>0.0</v>
      </c>
      <c r="E76" s="4">
        <v>0.0</v>
      </c>
      <c r="F76" s="4">
        <v>1.0</v>
      </c>
      <c r="G76" s="4">
        <v>1.0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>
        <v>2018.0</v>
      </c>
      <c r="B77" s="5" t="s">
        <v>28</v>
      </c>
      <c r="C77" s="5" t="s">
        <v>7</v>
      </c>
      <c r="D77" s="4">
        <v>2.0</v>
      </c>
      <c r="E77" s="4">
        <v>1.0</v>
      </c>
      <c r="F77" s="4">
        <v>3.0</v>
      </c>
      <c r="G77" s="4">
        <v>6.0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>
        <v>2018.0</v>
      </c>
      <c r="B78" s="5" t="s">
        <v>28</v>
      </c>
      <c r="C78" s="5" t="s">
        <v>33</v>
      </c>
      <c r="D78" s="4">
        <v>2.0</v>
      </c>
      <c r="E78" s="4">
        <v>2.0</v>
      </c>
      <c r="F78" s="4">
        <v>3.0</v>
      </c>
      <c r="G78" s="4">
        <v>7.0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>
        <v>2018.0</v>
      </c>
      <c r="B79" s="5" t="s">
        <v>28</v>
      </c>
      <c r="C79" s="5" t="s">
        <v>8</v>
      </c>
      <c r="D79" s="4">
        <v>0.0</v>
      </c>
      <c r="E79" s="4">
        <v>0.0</v>
      </c>
      <c r="F79" s="4">
        <v>0.0</v>
      </c>
      <c r="G79" s="4">
        <v>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>
        <v>2018.0</v>
      </c>
      <c r="B80" s="5" t="s">
        <v>28</v>
      </c>
      <c r="C80" s="5" t="s">
        <v>9</v>
      </c>
      <c r="D80" s="4">
        <v>2.0</v>
      </c>
      <c r="E80" s="4">
        <v>2.0</v>
      </c>
      <c r="F80" s="4">
        <v>13.0</v>
      </c>
      <c r="G80" s="4">
        <v>17.0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>
        <v>2018.0</v>
      </c>
      <c r="B81" s="5" t="s">
        <v>28</v>
      </c>
      <c r="C81" s="5" t="s">
        <v>10</v>
      </c>
      <c r="D81" s="4">
        <v>1014.0</v>
      </c>
      <c r="E81" s="4">
        <v>864.0</v>
      </c>
      <c r="F81" s="4">
        <v>3118.0</v>
      </c>
      <c r="G81" s="4">
        <v>4996.0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>
        <v>2018.0</v>
      </c>
      <c r="B82" s="5" t="s">
        <v>28</v>
      </c>
      <c r="C82" s="5" t="s">
        <v>12</v>
      </c>
      <c r="D82" s="4">
        <v>3.0</v>
      </c>
      <c r="E82" s="4">
        <v>2.0</v>
      </c>
      <c r="F82" s="4">
        <v>18.0</v>
      </c>
      <c r="G82" s="4">
        <v>23.0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>
        <v>2018.0</v>
      </c>
      <c r="B83" s="5" t="s">
        <v>28</v>
      </c>
      <c r="C83" s="5" t="s">
        <v>15</v>
      </c>
      <c r="D83" s="4">
        <v>198.0</v>
      </c>
      <c r="E83" s="4">
        <v>168.0</v>
      </c>
      <c r="F83" s="4">
        <v>724.0</v>
      </c>
      <c r="G83" s="4">
        <v>1090.0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>
        <v>2018.0</v>
      </c>
      <c r="B84" s="5" t="s">
        <v>28</v>
      </c>
      <c r="C84" s="5" t="s">
        <v>16</v>
      </c>
      <c r="D84" s="4">
        <v>1.0</v>
      </c>
      <c r="E84" s="4">
        <v>1.0</v>
      </c>
      <c r="F84" s="4">
        <v>7.0</v>
      </c>
      <c r="G84" s="4">
        <v>9.0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>
        <v>2018.0</v>
      </c>
      <c r="B85" s="5" t="s">
        <v>28</v>
      </c>
      <c r="C85" s="5" t="s">
        <v>14</v>
      </c>
      <c r="D85" s="4">
        <v>948.0</v>
      </c>
      <c r="E85" s="4">
        <v>852.0</v>
      </c>
      <c r="F85" s="4">
        <v>3214.0</v>
      </c>
      <c r="G85" s="4">
        <v>5014.0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>
        <v>2018.0</v>
      </c>
      <c r="B86" s="5" t="s">
        <v>28</v>
      </c>
      <c r="C86" s="5" t="s">
        <v>17</v>
      </c>
      <c r="D86" s="4">
        <v>1.0</v>
      </c>
      <c r="E86" s="4">
        <v>2.0</v>
      </c>
      <c r="F86" s="4">
        <v>13.0</v>
      </c>
      <c r="G86" s="4">
        <v>16.0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>
        <v>2018.0</v>
      </c>
      <c r="B87" s="5" t="s">
        <v>28</v>
      </c>
      <c r="C87" s="5" t="s">
        <v>19</v>
      </c>
      <c r="D87" s="4">
        <v>11.0</v>
      </c>
      <c r="E87" s="4">
        <v>11.0</v>
      </c>
      <c r="F87" s="4">
        <v>62.0</v>
      </c>
      <c r="G87" s="4">
        <v>84.0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>
        <v>2018.0</v>
      </c>
      <c r="B88" s="5" t="s">
        <v>28</v>
      </c>
      <c r="C88" s="5" t="s">
        <v>20</v>
      </c>
      <c r="D88" s="4">
        <v>10.0</v>
      </c>
      <c r="E88" s="4">
        <v>7.0</v>
      </c>
      <c r="F88" s="4">
        <v>19.0</v>
      </c>
      <c r="G88" s="4">
        <v>36.0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>
        <v>2018.0</v>
      </c>
      <c r="B89" s="5" t="s">
        <v>28</v>
      </c>
      <c r="C89" s="5" t="s">
        <v>21</v>
      </c>
      <c r="D89" s="4">
        <v>1.0</v>
      </c>
      <c r="E89" s="4">
        <v>0.0</v>
      </c>
      <c r="F89" s="4">
        <v>1.0</v>
      </c>
      <c r="G89" s="4">
        <v>2.0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>
        <v>2018.0</v>
      </c>
      <c r="B90" s="5" t="s">
        <v>28</v>
      </c>
      <c r="C90" s="5" t="s">
        <v>22</v>
      </c>
      <c r="D90" s="4">
        <v>3.0</v>
      </c>
      <c r="E90" s="4">
        <v>4.0</v>
      </c>
      <c r="F90" s="4">
        <v>18.0</v>
      </c>
      <c r="G90" s="4">
        <v>25.0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>
        <v>2018.0</v>
      </c>
      <c r="B91" s="5" t="s">
        <v>28</v>
      </c>
      <c r="C91" s="5" t="s">
        <v>23</v>
      </c>
      <c r="D91" s="4">
        <v>0.0</v>
      </c>
      <c r="E91" s="4">
        <v>1.0</v>
      </c>
      <c r="F91" s="4">
        <v>2.0</v>
      </c>
      <c r="G91" s="4">
        <v>3.0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>
        <v>2018.0</v>
      </c>
      <c r="B92" s="5" t="s">
        <v>31</v>
      </c>
      <c r="C92" s="5" t="s">
        <v>7</v>
      </c>
      <c r="D92" s="4">
        <v>1.0</v>
      </c>
      <c r="E92" s="4">
        <v>0.0</v>
      </c>
      <c r="F92" s="4">
        <v>2.0</v>
      </c>
      <c r="G92" s="4">
        <v>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>
        <v>2018.0</v>
      </c>
      <c r="B93" s="5" t="s">
        <v>31</v>
      </c>
      <c r="C93" s="5" t="s">
        <v>33</v>
      </c>
      <c r="D93" s="4">
        <v>1.0</v>
      </c>
      <c r="E93" s="4">
        <v>2.0</v>
      </c>
      <c r="F93" s="4">
        <v>3.0</v>
      </c>
      <c r="G93" s="4">
        <v>6.0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>
        <v>2018.0</v>
      </c>
      <c r="B94" s="5" t="s">
        <v>31</v>
      </c>
      <c r="C94" s="5" t="s">
        <v>8</v>
      </c>
      <c r="D94" s="4">
        <v>0.0</v>
      </c>
      <c r="E94" s="4">
        <v>0.0</v>
      </c>
      <c r="F94" s="4">
        <v>0.0</v>
      </c>
      <c r="G94" s="4">
        <v>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>
        <v>2018.0</v>
      </c>
      <c r="B95" s="5" t="s">
        <v>31</v>
      </c>
      <c r="C95" s="5" t="s">
        <v>9</v>
      </c>
      <c r="D95" s="4">
        <v>1.0</v>
      </c>
      <c r="E95" s="4">
        <v>2.0</v>
      </c>
      <c r="F95" s="4">
        <v>11.0</v>
      </c>
      <c r="G95" s="4">
        <v>14.0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>
        <v>2018.0</v>
      </c>
      <c r="B96" s="5" t="s">
        <v>31</v>
      </c>
      <c r="C96" s="5" t="s">
        <v>10</v>
      </c>
      <c r="D96" s="4">
        <v>842.0</v>
      </c>
      <c r="E96" s="4">
        <v>741.0</v>
      </c>
      <c r="F96" s="4">
        <v>2831.0</v>
      </c>
      <c r="G96" s="4">
        <v>4414.0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>
        <v>2018.0</v>
      </c>
      <c r="B97" s="5" t="s">
        <v>31</v>
      </c>
      <c r="C97" s="5" t="s">
        <v>12</v>
      </c>
      <c r="D97" s="4">
        <v>2.0</v>
      </c>
      <c r="E97" s="4">
        <v>2.0</v>
      </c>
      <c r="F97" s="4">
        <v>15.0</v>
      </c>
      <c r="G97" s="4">
        <v>19.0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>
        <v>2018.0</v>
      </c>
      <c r="B98" s="5" t="s">
        <v>31</v>
      </c>
      <c r="C98" s="5" t="s">
        <v>15</v>
      </c>
      <c r="D98" s="4">
        <v>172.0</v>
      </c>
      <c r="E98" s="4">
        <v>151.0</v>
      </c>
      <c r="F98" s="4">
        <v>649.0</v>
      </c>
      <c r="G98" s="4">
        <v>972.0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>
        <v>2018.0</v>
      </c>
      <c r="B99" s="5" t="s">
        <v>31</v>
      </c>
      <c r="C99" s="5" t="s">
        <v>16</v>
      </c>
      <c r="D99" s="4">
        <v>1.0</v>
      </c>
      <c r="E99" s="4">
        <v>0.0</v>
      </c>
      <c r="F99" s="4">
        <v>5.0</v>
      </c>
      <c r="G99" s="4">
        <v>6.0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>
        <v>2018.0</v>
      </c>
      <c r="B100" s="5" t="s">
        <v>31</v>
      </c>
      <c r="C100" s="5" t="s">
        <v>14</v>
      </c>
      <c r="D100" s="4">
        <v>811.0</v>
      </c>
      <c r="E100" s="4">
        <v>743.0</v>
      </c>
      <c r="F100" s="4">
        <v>2894.0</v>
      </c>
      <c r="G100" s="4">
        <v>4448.0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>
        <v>2018.0</v>
      </c>
      <c r="B101" s="5" t="s">
        <v>31</v>
      </c>
      <c r="C101" s="5" t="s">
        <v>17</v>
      </c>
      <c r="D101" s="4">
        <v>1.0</v>
      </c>
      <c r="E101" s="4">
        <v>2.0</v>
      </c>
      <c r="F101" s="4">
        <v>12.0</v>
      </c>
      <c r="G101" s="4">
        <v>15.0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>
        <v>2018.0</v>
      </c>
      <c r="B102" s="5" t="s">
        <v>31</v>
      </c>
      <c r="C102" s="5" t="s">
        <v>19</v>
      </c>
      <c r="D102" s="4">
        <v>9.0</v>
      </c>
      <c r="E102" s="4">
        <v>9.0</v>
      </c>
      <c r="F102" s="4">
        <v>51.0</v>
      </c>
      <c r="G102" s="4">
        <v>69.0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>
        <v>2018.0</v>
      </c>
      <c r="B103" s="5" t="s">
        <v>31</v>
      </c>
      <c r="C103" s="5" t="s">
        <v>20</v>
      </c>
      <c r="D103" s="4">
        <v>9.0</v>
      </c>
      <c r="E103" s="4">
        <v>6.0</v>
      </c>
      <c r="F103" s="4">
        <v>17.0</v>
      </c>
      <c r="G103" s="4">
        <v>32.0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>
        <v>2018.0</v>
      </c>
      <c r="B104" s="5" t="s">
        <v>31</v>
      </c>
      <c r="C104" s="5" t="s">
        <v>21</v>
      </c>
      <c r="D104" s="4">
        <v>0.0</v>
      </c>
      <c r="E104" s="4">
        <v>0.0</v>
      </c>
      <c r="F104" s="4">
        <v>1.0</v>
      </c>
      <c r="G104" s="4">
        <v>1.0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>
        <v>2018.0</v>
      </c>
      <c r="B105" s="5" t="s">
        <v>31</v>
      </c>
      <c r="C105" s="5" t="s">
        <v>22</v>
      </c>
      <c r="D105" s="4">
        <v>3.0</v>
      </c>
      <c r="E105" s="4">
        <v>4.0</v>
      </c>
      <c r="F105" s="4">
        <v>16.0</v>
      </c>
      <c r="G105" s="4">
        <v>23.0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>
        <v>2018.0</v>
      </c>
      <c r="B106" s="5" t="s">
        <v>31</v>
      </c>
      <c r="C106" s="5" t="s">
        <v>23</v>
      </c>
      <c r="D106" s="4">
        <v>0.0</v>
      </c>
      <c r="E106" s="4">
        <v>0.0</v>
      </c>
      <c r="F106" s="4">
        <v>2.0</v>
      </c>
      <c r="G106" s="4">
        <v>2.0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>
        <v>2018.0</v>
      </c>
      <c r="B107" s="5" t="s">
        <v>32</v>
      </c>
      <c r="C107" s="5" t="s">
        <v>7</v>
      </c>
      <c r="D107" s="4">
        <v>2.0</v>
      </c>
      <c r="E107" s="4">
        <v>0.0</v>
      </c>
      <c r="F107" s="4">
        <v>1.0</v>
      </c>
      <c r="G107" s="4">
        <v>3.0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>
        <v>2018.0</v>
      </c>
      <c r="B108" s="5" t="s">
        <v>32</v>
      </c>
      <c r="C108" s="5" t="s">
        <v>33</v>
      </c>
      <c r="D108" s="4">
        <v>2.0</v>
      </c>
      <c r="E108" s="4">
        <v>2.0</v>
      </c>
      <c r="F108" s="4">
        <v>4.0</v>
      </c>
      <c r="G108" s="4">
        <v>8.0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>
        <v>2018.0</v>
      </c>
      <c r="B109" s="5" t="s">
        <v>32</v>
      </c>
      <c r="C109" s="5" t="s">
        <v>8</v>
      </c>
      <c r="D109" s="4">
        <v>0.0</v>
      </c>
      <c r="E109" s="4">
        <v>0.0</v>
      </c>
      <c r="F109" s="4">
        <v>0.0</v>
      </c>
      <c r="G109" s="4">
        <v>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>
        <v>2018.0</v>
      </c>
      <c r="B110" s="5" t="s">
        <v>32</v>
      </c>
      <c r="C110" s="5" t="s">
        <v>9</v>
      </c>
      <c r="D110" s="4">
        <v>2.0</v>
      </c>
      <c r="E110" s="4">
        <v>3.0</v>
      </c>
      <c r="F110" s="4">
        <v>12.0</v>
      </c>
      <c r="G110" s="4">
        <v>17.0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>
        <v>2018.0</v>
      </c>
      <c r="B111" s="5" t="s">
        <v>32</v>
      </c>
      <c r="C111" s="5" t="s">
        <v>10</v>
      </c>
      <c r="D111" s="4">
        <v>913.0</v>
      </c>
      <c r="E111" s="4">
        <v>805.0</v>
      </c>
      <c r="F111" s="4">
        <v>2914.0</v>
      </c>
      <c r="G111" s="4">
        <v>4632.0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>
        <v>2018.0</v>
      </c>
      <c r="B112" s="5" t="s">
        <v>32</v>
      </c>
      <c r="C112" s="5" t="s">
        <v>12</v>
      </c>
      <c r="D112" s="4">
        <v>3.0</v>
      </c>
      <c r="E112" s="4">
        <v>2.0</v>
      </c>
      <c r="F112" s="4">
        <v>17.0</v>
      </c>
      <c r="G112" s="4">
        <v>22.0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>
        <v>2018.0</v>
      </c>
      <c r="B113" s="5" t="s">
        <v>32</v>
      </c>
      <c r="C113" s="5" t="s">
        <v>15</v>
      </c>
      <c r="D113" s="4">
        <v>191.0</v>
      </c>
      <c r="E113" s="4">
        <v>168.0</v>
      </c>
      <c r="F113" s="4">
        <v>702.0</v>
      </c>
      <c r="G113" s="4">
        <v>1061.0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>
        <v>2018.0</v>
      </c>
      <c r="B114" s="5" t="s">
        <v>32</v>
      </c>
      <c r="C114" s="5" t="s">
        <v>16</v>
      </c>
      <c r="D114" s="4">
        <v>1.0</v>
      </c>
      <c r="E114" s="4">
        <v>0.0</v>
      </c>
      <c r="F114" s="4">
        <v>6.0</v>
      </c>
      <c r="G114" s="4">
        <v>7.0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>
        <v>2018.0</v>
      </c>
      <c r="B115" s="5" t="s">
        <v>32</v>
      </c>
      <c r="C115" s="5" t="s">
        <v>14</v>
      </c>
      <c r="D115" s="4">
        <v>884.0</v>
      </c>
      <c r="E115" s="4">
        <v>812.0</v>
      </c>
      <c r="F115" s="4">
        <v>3012.0</v>
      </c>
      <c r="G115" s="4">
        <v>4708.0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>
        <v>2018.0</v>
      </c>
      <c r="B116" s="5" t="s">
        <v>32</v>
      </c>
      <c r="C116" s="5" t="s">
        <v>17</v>
      </c>
      <c r="D116" s="4">
        <v>1.0</v>
      </c>
      <c r="E116" s="4">
        <v>2.0</v>
      </c>
      <c r="F116" s="4">
        <v>13.0</v>
      </c>
      <c r="G116" s="4">
        <v>16.0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>
        <v>2018.0</v>
      </c>
      <c r="B117" s="5" t="s">
        <v>32</v>
      </c>
      <c r="C117" s="5" t="s">
        <v>19</v>
      </c>
      <c r="D117" s="4">
        <v>11.0</v>
      </c>
      <c r="E117" s="4">
        <v>10.0</v>
      </c>
      <c r="F117" s="4">
        <v>56.0</v>
      </c>
      <c r="G117" s="4">
        <v>77.0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>
        <v>2018.0</v>
      </c>
      <c r="B118" s="5" t="s">
        <v>32</v>
      </c>
      <c r="C118" s="5" t="s">
        <v>20</v>
      </c>
      <c r="D118" s="4">
        <v>10.0</v>
      </c>
      <c r="E118" s="4">
        <v>7.0</v>
      </c>
      <c r="F118" s="4">
        <v>18.0</v>
      </c>
      <c r="G118" s="4">
        <v>35.0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>
        <v>2018.0</v>
      </c>
      <c r="B119" s="5" t="s">
        <v>32</v>
      </c>
      <c r="C119" s="5" t="s">
        <v>21</v>
      </c>
      <c r="D119" s="4">
        <v>0.0</v>
      </c>
      <c r="E119" s="4">
        <v>0.0</v>
      </c>
      <c r="F119" s="4">
        <v>1.0</v>
      </c>
      <c r="G119" s="4">
        <v>1.0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>
        <v>2018.0</v>
      </c>
      <c r="B120" s="5" t="s">
        <v>32</v>
      </c>
      <c r="C120" s="5" t="s">
        <v>22</v>
      </c>
      <c r="D120" s="4">
        <v>3.0</v>
      </c>
      <c r="E120" s="4">
        <v>4.0</v>
      </c>
      <c r="F120" s="4">
        <v>18.0</v>
      </c>
      <c r="G120" s="4">
        <v>25.0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>
        <v>2018.0</v>
      </c>
      <c r="B121" s="5" t="s">
        <v>32</v>
      </c>
      <c r="C121" s="5" t="s">
        <v>23</v>
      </c>
      <c r="D121" s="4">
        <v>0.0</v>
      </c>
      <c r="E121" s="4">
        <v>0.0</v>
      </c>
      <c r="F121" s="4">
        <v>2.0</v>
      </c>
      <c r="G121" s="4">
        <v>2.0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>
        <v>2018.0</v>
      </c>
      <c r="B122" s="5" t="s">
        <v>18</v>
      </c>
      <c r="C122" s="5" t="s">
        <v>7</v>
      </c>
      <c r="D122" s="4">
        <v>1.0</v>
      </c>
      <c r="E122" s="4">
        <v>1.0</v>
      </c>
      <c r="F122" s="4">
        <v>2.0</v>
      </c>
      <c r="G122" s="4">
        <v>4.0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>
        <v>2018.0</v>
      </c>
      <c r="B123" s="5" t="s">
        <v>18</v>
      </c>
      <c r="C123" s="5" t="s">
        <v>33</v>
      </c>
      <c r="D123" s="4">
        <v>1.0</v>
      </c>
      <c r="E123" s="4">
        <v>2.0</v>
      </c>
      <c r="F123" s="4">
        <v>2.0</v>
      </c>
      <c r="G123" s="4">
        <v>5.0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>
        <v>2018.0</v>
      </c>
      <c r="B124" s="5" t="s">
        <v>18</v>
      </c>
      <c r="C124" s="5" t="s">
        <v>8</v>
      </c>
      <c r="D124" s="4">
        <v>0.0</v>
      </c>
      <c r="E124" s="4">
        <v>0.0</v>
      </c>
      <c r="F124" s="4">
        <v>0.0</v>
      </c>
      <c r="G124" s="4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>
        <v>2018.0</v>
      </c>
      <c r="B125" s="5" t="s">
        <v>18</v>
      </c>
      <c r="C125" s="5" t="s">
        <v>9</v>
      </c>
      <c r="D125" s="4">
        <v>2.0</v>
      </c>
      <c r="E125" s="4">
        <v>2.0</v>
      </c>
      <c r="F125" s="4">
        <v>12.0</v>
      </c>
      <c r="G125" s="4">
        <v>16.0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>
        <v>2018.0</v>
      </c>
      <c r="B126" s="5" t="s">
        <v>18</v>
      </c>
      <c r="C126" s="5" t="s">
        <v>10</v>
      </c>
      <c r="D126" s="4">
        <v>948.0</v>
      </c>
      <c r="E126" s="4">
        <v>812.0</v>
      </c>
      <c r="F126" s="4">
        <v>2914.0</v>
      </c>
      <c r="G126" s="4">
        <v>4674.0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>
        <v>2018.0</v>
      </c>
      <c r="B127" s="5" t="s">
        <v>18</v>
      </c>
      <c r="C127" s="5" t="s">
        <v>12</v>
      </c>
      <c r="D127" s="4">
        <v>3.0</v>
      </c>
      <c r="E127" s="4">
        <v>2.0</v>
      </c>
      <c r="F127" s="4">
        <v>16.0</v>
      </c>
      <c r="G127" s="4">
        <v>21.0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>
        <v>2018.0</v>
      </c>
      <c r="B128" s="5" t="s">
        <v>18</v>
      </c>
      <c r="C128" s="5" t="s">
        <v>15</v>
      </c>
      <c r="D128" s="4">
        <v>187.0</v>
      </c>
      <c r="E128" s="4">
        <v>159.0</v>
      </c>
      <c r="F128" s="4">
        <v>694.0</v>
      </c>
      <c r="G128" s="4">
        <v>1040.0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>
        <v>2018.0</v>
      </c>
      <c r="B129" s="5" t="s">
        <v>18</v>
      </c>
      <c r="C129" s="5" t="s">
        <v>16</v>
      </c>
      <c r="D129" s="4">
        <v>1.0</v>
      </c>
      <c r="E129" s="4">
        <v>0.0</v>
      </c>
      <c r="F129" s="4">
        <v>6.0</v>
      </c>
      <c r="G129" s="4">
        <v>7.0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>
        <v>2018.0</v>
      </c>
      <c r="B130" s="5" t="s">
        <v>18</v>
      </c>
      <c r="C130" s="5" t="s">
        <v>14</v>
      </c>
      <c r="D130" s="4">
        <v>872.0</v>
      </c>
      <c r="E130" s="4">
        <v>804.0</v>
      </c>
      <c r="F130" s="4">
        <v>2984.0</v>
      </c>
      <c r="G130" s="4">
        <v>4660.0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>
        <v>2018.0</v>
      </c>
      <c r="B131" s="5" t="s">
        <v>18</v>
      </c>
      <c r="C131" s="5" t="s">
        <v>17</v>
      </c>
      <c r="D131" s="4">
        <v>1.0</v>
      </c>
      <c r="E131" s="4">
        <v>2.0</v>
      </c>
      <c r="F131" s="4">
        <v>13.0</v>
      </c>
      <c r="G131" s="4">
        <v>16.0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>
        <v>2018.0</v>
      </c>
      <c r="B132" s="5" t="s">
        <v>18</v>
      </c>
      <c r="C132" s="5" t="s">
        <v>19</v>
      </c>
      <c r="D132" s="4">
        <v>11.0</v>
      </c>
      <c r="E132" s="4">
        <v>10.0</v>
      </c>
      <c r="F132" s="4">
        <v>54.0</v>
      </c>
      <c r="G132" s="4">
        <v>75.0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>
        <v>2018.0</v>
      </c>
      <c r="B133" s="5" t="s">
        <v>18</v>
      </c>
      <c r="C133" s="5" t="s">
        <v>20</v>
      </c>
      <c r="D133" s="4">
        <v>10.0</v>
      </c>
      <c r="E133" s="4">
        <v>7.0</v>
      </c>
      <c r="F133" s="4">
        <v>17.0</v>
      </c>
      <c r="G133" s="4">
        <v>34.0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>
        <v>2018.0</v>
      </c>
      <c r="B134" s="5" t="s">
        <v>18</v>
      </c>
      <c r="C134" s="5" t="s">
        <v>21</v>
      </c>
      <c r="D134" s="4">
        <v>0.0</v>
      </c>
      <c r="E134" s="4">
        <v>0.0</v>
      </c>
      <c r="F134" s="4">
        <v>1.0</v>
      </c>
      <c r="G134" s="4">
        <v>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>
        <v>2018.0</v>
      </c>
      <c r="B135" s="5" t="s">
        <v>18</v>
      </c>
      <c r="C135" s="5" t="s">
        <v>22</v>
      </c>
      <c r="D135" s="4">
        <v>3.0</v>
      </c>
      <c r="E135" s="4">
        <v>4.0</v>
      </c>
      <c r="F135" s="4">
        <v>17.0</v>
      </c>
      <c r="G135" s="4">
        <v>24.0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>
        <v>2018.0</v>
      </c>
      <c r="B136" s="5" t="s">
        <v>18</v>
      </c>
      <c r="C136" s="5" t="s">
        <v>23</v>
      </c>
      <c r="D136" s="4">
        <v>0.0</v>
      </c>
      <c r="E136" s="4">
        <v>0.0</v>
      </c>
      <c r="F136" s="4">
        <v>2.0</v>
      </c>
      <c r="G136" s="4">
        <v>2.0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>
        <v>2018.0</v>
      </c>
      <c r="B137" s="5" t="s">
        <v>25</v>
      </c>
      <c r="C137" s="5" t="s">
        <v>7</v>
      </c>
      <c r="D137" s="4">
        <v>1.0</v>
      </c>
      <c r="E137" s="4">
        <v>0.0</v>
      </c>
      <c r="F137" s="4">
        <v>2.0</v>
      </c>
      <c r="G137" s="4">
        <v>3.0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>
        <v>2018.0</v>
      </c>
      <c r="B138" s="5" t="s">
        <v>25</v>
      </c>
      <c r="C138" s="5" t="s">
        <v>33</v>
      </c>
      <c r="D138" s="4">
        <v>2.0</v>
      </c>
      <c r="E138" s="4">
        <v>2.0</v>
      </c>
      <c r="F138" s="4">
        <v>3.0</v>
      </c>
      <c r="G138" s="4">
        <v>7.0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>
        <v>2018.0</v>
      </c>
      <c r="B139" s="5" t="s">
        <v>25</v>
      </c>
      <c r="C139" s="5" t="s">
        <v>8</v>
      </c>
      <c r="D139" s="4">
        <v>0.0</v>
      </c>
      <c r="E139" s="4">
        <v>0.0</v>
      </c>
      <c r="F139" s="4">
        <v>0.0</v>
      </c>
      <c r="G139" s="4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>
        <v>2018.0</v>
      </c>
      <c r="B140" s="5" t="s">
        <v>25</v>
      </c>
      <c r="C140" s="5" t="s">
        <v>9</v>
      </c>
      <c r="D140" s="4">
        <v>1.0</v>
      </c>
      <c r="E140" s="4">
        <v>1.0</v>
      </c>
      <c r="F140" s="4">
        <v>11.0</v>
      </c>
      <c r="G140" s="4">
        <v>13.0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>
        <v>2018.0</v>
      </c>
      <c r="B141" s="5" t="s">
        <v>25</v>
      </c>
      <c r="C141" s="5" t="s">
        <v>10</v>
      </c>
      <c r="D141" s="4">
        <v>912.0</v>
      </c>
      <c r="E141" s="4">
        <v>784.0</v>
      </c>
      <c r="F141" s="4">
        <v>2814.0</v>
      </c>
      <c r="G141" s="4">
        <v>4510.0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>
        <v>2018.0</v>
      </c>
      <c r="B142" s="5" t="s">
        <v>25</v>
      </c>
      <c r="C142" s="5" t="s">
        <v>12</v>
      </c>
      <c r="D142" s="4">
        <v>2.0</v>
      </c>
      <c r="E142" s="4">
        <v>2.0</v>
      </c>
      <c r="F142" s="4">
        <v>14.0</v>
      </c>
      <c r="G142" s="4">
        <v>18.0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>
        <v>2018.0</v>
      </c>
      <c r="B143" s="5" t="s">
        <v>25</v>
      </c>
      <c r="C143" s="5" t="s">
        <v>15</v>
      </c>
      <c r="D143" s="4">
        <v>178.0</v>
      </c>
      <c r="E143" s="4">
        <v>151.0</v>
      </c>
      <c r="F143" s="4">
        <v>654.0</v>
      </c>
      <c r="G143" s="4">
        <v>983.0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>
        <v>2018.0</v>
      </c>
      <c r="B144" s="5" t="s">
        <v>25</v>
      </c>
      <c r="C144" s="5" t="s">
        <v>16</v>
      </c>
      <c r="D144" s="4">
        <v>1.0</v>
      </c>
      <c r="E144" s="4">
        <v>0.0</v>
      </c>
      <c r="F144" s="4">
        <v>5.0</v>
      </c>
      <c r="G144" s="4">
        <v>6.0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>
        <v>2018.0</v>
      </c>
      <c r="B145" s="5" t="s">
        <v>25</v>
      </c>
      <c r="C145" s="5" t="s">
        <v>14</v>
      </c>
      <c r="D145" s="4">
        <v>842.0</v>
      </c>
      <c r="E145" s="4">
        <v>771.0</v>
      </c>
      <c r="F145" s="4">
        <v>2884.0</v>
      </c>
      <c r="G145" s="4">
        <v>4497.0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>
        <v>2018.0</v>
      </c>
      <c r="B146" s="5" t="s">
        <v>25</v>
      </c>
      <c r="C146" s="5" t="s">
        <v>17</v>
      </c>
      <c r="D146" s="4">
        <v>1.0</v>
      </c>
      <c r="E146" s="4">
        <v>1.0</v>
      </c>
      <c r="F146" s="4">
        <v>11.0</v>
      </c>
      <c r="G146" s="4">
        <v>13.0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>
        <v>2018.0</v>
      </c>
      <c r="B147" s="5" t="s">
        <v>25</v>
      </c>
      <c r="C147" s="5" t="s">
        <v>19</v>
      </c>
      <c r="D147" s="4">
        <v>9.0</v>
      </c>
      <c r="E147" s="4">
        <v>9.0</v>
      </c>
      <c r="F147" s="4">
        <v>51.0</v>
      </c>
      <c r="G147" s="4">
        <v>69.0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>
        <v>2018.0</v>
      </c>
      <c r="B148" s="5" t="s">
        <v>25</v>
      </c>
      <c r="C148" s="5" t="s">
        <v>20</v>
      </c>
      <c r="D148" s="4">
        <v>9.0</v>
      </c>
      <c r="E148" s="4">
        <v>6.0</v>
      </c>
      <c r="F148" s="4">
        <v>16.0</v>
      </c>
      <c r="G148" s="4">
        <v>31.0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>
        <v>2018.0</v>
      </c>
      <c r="B149" s="5" t="s">
        <v>25</v>
      </c>
      <c r="C149" s="5" t="s">
        <v>21</v>
      </c>
      <c r="D149" s="4">
        <v>0.0</v>
      </c>
      <c r="E149" s="4">
        <v>0.0</v>
      </c>
      <c r="F149" s="4">
        <v>1.0</v>
      </c>
      <c r="G149" s="4">
        <v>1.0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>
        <v>2018.0</v>
      </c>
      <c r="B150" s="5" t="s">
        <v>25</v>
      </c>
      <c r="C150" s="5" t="s">
        <v>22</v>
      </c>
      <c r="D150" s="4">
        <v>2.0</v>
      </c>
      <c r="E150" s="4">
        <v>3.0</v>
      </c>
      <c r="F150" s="4">
        <v>15.0</v>
      </c>
      <c r="G150" s="4">
        <v>20.0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>
        <v>2018.0</v>
      </c>
      <c r="B151" s="5" t="s">
        <v>25</v>
      </c>
      <c r="C151" s="5" t="s">
        <v>23</v>
      </c>
      <c r="D151" s="4">
        <v>0.0</v>
      </c>
      <c r="E151" s="4">
        <v>0.0</v>
      </c>
      <c r="F151" s="4">
        <v>1.0</v>
      </c>
      <c r="G151" s="4">
        <v>1.0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>
        <v>2018.0</v>
      </c>
      <c r="B152" s="2" t="s">
        <v>27</v>
      </c>
      <c r="C152" s="2" t="s">
        <v>7</v>
      </c>
      <c r="D152" s="2">
        <v>1.0</v>
      </c>
      <c r="E152" s="2">
        <v>0.0</v>
      </c>
      <c r="F152" s="2">
        <v>2.0</v>
      </c>
      <c r="G152" s="2">
        <v>3.0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>
        <v>2018.0</v>
      </c>
      <c r="B153" s="2" t="s">
        <v>27</v>
      </c>
      <c r="C153" s="2" t="s">
        <v>33</v>
      </c>
      <c r="D153" s="2">
        <v>1.0</v>
      </c>
      <c r="E153" s="2">
        <v>2.0</v>
      </c>
      <c r="F153" s="2">
        <v>2.0</v>
      </c>
      <c r="G153" s="2">
        <v>5.0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>
        <v>2018.0</v>
      </c>
      <c r="B154" s="2" t="s">
        <v>27</v>
      </c>
      <c r="C154" s="2" t="s">
        <v>8</v>
      </c>
      <c r="D154" s="2">
        <v>0.0</v>
      </c>
      <c r="E154" s="2">
        <v>0.0</v>
      </c>
      <c r="F154" s="2">
        <v>0.0</v>
      </c>
      <c r="G154" s="2">
        <v>0.0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>
        <v>2018.0</v>
      </c>
      <c r="B155" s="2" t="s">
        <v>27</v>
      </c>
      <c r="C155" s="2" t="s">
        <v>9</v>
      </c>
      <c r="D155" s="2">
        <v>1.0</v>
      </c>
      <c r="E155" s="2">
        <v>1.0</v>
      </c>
      <c r="F155" s="2">
        <v>11.0</v>
      </c>
      <c r="G155" s="2">
        <v>13.0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>
        <v>2018.0</v>
      </c>
      <c r="B156" s="2" t="s">
        <v>27</v>
      </c>
      <c r="C156" s="2" t="s">
        <v>10</v>
      </c>
      <c r="D156" s="2">
        <v>912.0</v>
      </c>
      <c r="E156" s="2">
        <v>784.0</v>
      </c>
      <c r="F156" s="2">
        <v>2814.0</v>
      </c>
      <c r="G156" s="2">
        <v>4510.0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>
        <v>2018.0</v>
      </c>
      <c r="B157" s="2" t="s">
        <v>27</v>
      </c>
      <c r="C157" s="2" t="s">
        <v>12</v>
      </c>
      <c r="D157" s="2">
        <v>2.0</v>
      </c>
      <c r="E157" s="2">
        <v>2.0</v>
      </c>
      <c r="F157" s="2">
        <v>14.0</v>
      </c>
      <c r="G157" s="2">
        <v>18.0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>
        <v>2018.0</v>
      </c>
      <c r="B158" s="2" t="s">
        <v>27</v>
      </c>
      <c r="C158" s="2" t="s">
        <v>15</v>
      </c>
      <c r="D158" s="2">
        <v>178.0</v>
      </c>
      <c r="E158" s="2">
        <v>151.0</v>
      </c>
      <c r="F158" s="2">
        <v>654.0</v>
      </c>
      <c r="G158" s="2">
        <v>983.0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>
        <v>2018.0</v>
      </c>
      <c r="B159" s="2" t="s">
        <v>27</v>
      </c>
      <c r="C159" s="2" t="s">
        <v>16</v>
      </c>
      <c r="D159" s="2">
        <v>1.0</v>
      </c>
      <c r="E159" s="2">
        <v>0.0</v>
      </c>
      <c r="F159" s="2">
        <v>5.0</v>
      </c>
      <c r="G159" s="2">
        <v>6.0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>
        <v>2018.0</v>
      </c>
      <c r="B160" s="2" t="s">
        <v>27</v>
      </c>
      <c r="C160" s="2" t="s">
        <v>14</v>
      </c>
      <c r="D160" s="2">
        <v>842.0</v>
      </c>
      <c r="E160" s="2">
        <v>771.0</v>
      </c>
      <c r="F160" s="2">
        <v>2884.0</v>
      </c>
      <c r="G160" s="2">
        <v>4497.0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>
        <v>2018.0</v>
      </c>
      <c r="B161" s="2" t="s">
        <v>27</v>
      </c>
      <c r="C161" s="2" t="s">
        <v>17</v>
      </c>
      <c r="D161" s="2">
        <v>1.0</v>
      </c>
      <c r="E161" s="2">
        <v>1.0</v>
      </c>
      <c r="F161" s="2">
        <v>11.0</v>
      </c>
      <c r="G161" s="2">
        <v>13.0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>
        <v>2018.0</v>
      </c>
      <c r="B162" s="2" t="s">
        <v>27</v>
      </c>
      <c r="C162" s="2" t="s">
        <v>19</v>
      </c>
      <c r="D162" s="2">
        <v>9.0</v>
      </c>
      <c r="E162" s="2">
        <v>9.0</v>
      </c>
      <c r="F162" s="2">
        <v>51.0</v>
      </c>
      <c r="G162" s="2">
        <v>69.0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>
        <v>2018.0</v>
      </c>
      <c r="B163" s="2" t="s">
        <v>27</v>
      </c>
      <c r="C163" s="2" t="s">
        <v>20</v>
      </c>
      <c r="D163" s="2">
        <v>9.0</v>
      </c>
      <c r="E163" s="2">
        <v>6.0</v>
      </c>
      <c r="F163" s="2">
        <v>16.0</v>
      </c>
      <c r="G163" s="2">
        <v>31.0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>
        <v>2018.0</v>
      </c>
      <c r="B164" s="2" t="s">
        <v>27</v>
      </c>
      <c r="C164" s="2" t="s">
        <v>21</v>
      </c>
      <c r="D164" s="2">
        <v>0.0</v>
      </c>
      <c r="E164" s="2">
        <v>0.0</v>
      </c>
      <c r="F164" s="2">
        <v>1.0</v>
      </c>
      <c r="G164" s="2">
        <v>1.0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>
        <v>2018.0</v>
      </c>
      <c r="B165" s="2" t="s">
        <v>27</v>
      </c>
      <c r="C165" s="2" t="s">
        <v>22</v>
      </c>
      <c r="D165" s="2">
        <v>2.0</v>
      </c>
      <c r="E165" s="2">
        <v>3.0</v>
      </c>
      <c r="F165" s="2">
        <v>15.0</v>
      </c>
      <c r="G165" s="2">
        <v>20.0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>
        <v>2018.0</v>
      </c>
      <c r="B166" s="2" t="s">
        <v>27</v>
      </c>
      <c r="C166" s="2" t="s">
        <v>23</v>
      </c>
      <c r="D166" s="2">
        <v>0.0</v>
      </c>
      <c r="E166" s="2">
        <v>0.0</v>
      </c>
      <c r="F166" s="2">
        <v>1.0</v>
      </c>
      <c r="G166" s="2">
        <v>1.0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>
        <v>2018.0</v>
      </c>
      <c r="B167" s="2" t="s">
        <v>29</v>
      </c>
      <c r="C167" s="2" t="s">
        <v>7</v>
      </c>
      <c r="D167" s="2">
        <v>2.0</v>
      </c>
      <c r="E167" s="2">
        <v>1.0</v>
      </c>
      <c r="F167" s="2">
        <v>3.0</v>
      </c>
      <c r="G167" s="2">
        <v>6.0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>
        <v>2018.0</v>
      </c>
      <c r="B168" s="2" t="s">
        <v>29</v>
      </c>
      <c r="C168" s="2" t="s">
        <v>33</v>
      </c>
      <c r="D168" s="2">
        <v>2.0</v>
      </c>
      <c r="E168" s="2">
        <v>3.0</v>
      </c>
      <c r="F168" s="2">
        <v>4.0</v>
      </c>
      <c r="G168" s="2">
        <v>9.0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>
        <v>2018.0</v>
      </c>
      <c r="B169" s="2" t="s">
        <v>29</v>
      </c>
      <c r="C169" s="2" t="s">
        <v>8</v>
      </c>
      <c r="D169" s="2">
        <v>0.0</v>
      </c>
      <c r="E169" s="2">
        <v>0.0</v>
      </c>
      <c r="F169" s="2">
        <v>0.0</v>
      </c>
      <c r="G169" s="2">
        <v>0.0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>
        <v>2018.0</v>
      </c>
      <c r="B170" s="2" t="s">
        <v>29</v>
      </c>
      <c r="C170" s="2" t="s">
        <v>9</v>
      </c>
      <c r="D170" s="2">
        <v>2.0</v>
      </c>
      <c r="E170" s="2">
        <v>2.0</v>
      </c>
      <c r="F170" s="2">
        <v>13.0</v>
      </c>
      <c r="G170" s="2">
        <v>17.0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>
        <v>2018.0</v>
      </c>
      <c r="B171" s="2" t="s">
        <v>29</v>
      </c>
      <c r="C171" s="2" t="s">
        <v>10</v>
      </c>
      <c r="D171" s="2">
        <v>1014.0</v>
      </c>
      <c r="E171" s="2">
        <v>864.0</v>
      </c>
      <c r="F171" s="2">
        <v>3118.0</v>
      </c>
      <c r="G171" s="2">
        <v>4996.0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>
        <v>2018.0</v>
      </c>
      <c r="B172" s="2" t="s">
        <v>29</v>
      </c>
      <c r="C172" s="2" t="s">
        <v>12</v>
      </c>
      <c r="D172" s="2">
        <v>3.0</v>
      </c>
      <c r="E172" s="2">
        <v>2.0</v>
      </c>
      <c r="F172" s="2">
        <v>18.0</v>
      </c>
      <c r="G172" s="2">
        <v>23.0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>
        <v>2018.0</v>
      </c>
      <c r="B173" s="2" t="s">
        <v>29</v>
      </c>
      <c r="C173" s="2" t="s">
        <v>15</v>
      </c>
      <c r="D173" s="2">
        <v>198.0</v>
      </c>
      <c r="E173" s="2">
        <v>168.0</v>
      </c>
      <c r="F173" s="2">
        <v>724.0</v>
      </c>
      <c r="G173" s="2">
        <v>1090.0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>
        <v>2018.0</v>
      </c>
      <c r="B174" s="2" t="s">
        <v>29</v>
      </c>
      <c r="C174" s="2" t="s">
        <v>16</v>
      </c>
      <c r="D174" s="2">
        <v>1.0</v>
      </c>
      <c r="E174" s="2">
        <v>1.0</v>
      </c>
      <c r="F174" s="2">
        <v>7.0</v>
      </c>
      <c r="G174" s="2">
        <v>9.0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>
        <v>2018.0</v>
      </c>
      <c r="B175" s="2" t="s">
        <v>29</v>
      </c>
      <c r="C175" s="2" t="s">
        <v>14</v>
      </c>
      <c r="D175" s="2">
        <v>948.0</v>
      </c>
      <c r="E175" s="2">
        <v>852.0</v>
      </c>
      <c r="F175" s="2">
        <v>3214.0</v>
      </c>
      <c r="G175" s="2">
        <v>5014.0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>
        <v>2018.0</v>
      </c>
      <c r="B176" s="2" t="s">
        <v>29</v>
      </c>
      <c r="C176" s="2" t="s">
        <v>17</v>
      </c>
      <c r="D176" s="2">
        <v>1.0</v>
      </c>
      <c r="E176" s="2">
        <v>2.0</v>
      </c>
      <c r="F176" s="2">
        <v>13.0</v>
      </c>
      <c r="G176" s="2">
        <v>16.0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>
        <v>2018.0</v>
      </c>
      <c r="B177" s="2" t="s">
        <v>29</v>
      </c>
      <c r="C177" s="2" t="s">
        <v>19</v>
      </c>
      <c r="D177" s="2">
        <v>11.0</v>
      </c>
      <c r="E177" s="2">
        <v>11.0</v>
      </c>
      <c r="F177" s="2">
        <v>62.0</v>
      </c>
      <c r="G177" s="2">
        <v>84.0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>
        <v>2018.0</v>
      </c>
      <c r="B178" s="2" t="s">
        <v>29</v>
      </c>
      <c r="C178" s="2" t="s">
        <v>20</v>
      </c>
      <c r="D178" s="2">
        <v>10.0</v>
      </c>
      <c r="E178" s="2">
        <v>7.0</v>
      </c>
      <c r="F178" s="2">
        <v>19.0</v>
      </c>
      <c r="G178" s="2">
        <v>36.0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>
        <v>2018.0</v>
      </c>
      <c r="B179" s="2" t="s">
        <v>29</v>
      </c>
      <c r="C179" s="2" t="s">
        <v>21</v>
      </c>
      <c r="D179" s="2">
        <v>1.0</v>
      </c>
      <c r="E179" s="2">
        <v>0.0</v>
      </c>
      <c r="F179" s="2">
        <v>1.0</v>
      </c>
      <c r="G179" s="2">
        <v>2.0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>
        <v>2018.0</v>
      </c>
      <c r="B180" s="2" t="s">
        <v>29</v>
      </c>
      <c r="C180" s="2" t="s">
        <v>22</v>
      </c>
      <c r="D180" s="2">
        <v>3.0</v>
      </c>
      <c r="E180" s="2">
        <v>4.0</v>
      </c>
      <c r="F180" s="2">
        <v>18.0</v>
      </c>
      <c r="G180" s="2">
        <v>25.0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>
        <v>2018.0</v>
      </c>
      <c r="B181" s="2" t="s">
        <v>29</v>
      </c>
      <c r="C181" s="2" t="s">
        <v>23</v>
      </c>
      <c r="D181" s="2">
        <v>0.0</v>
      </c>
      <c r="E181" s="2">
        <v>1.0</v>
      </c>
      <c r="F181" s="2">
        <v>2.0</v>
      </c>
      <c r="G181" s="2">
        <v>3.0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2019.0</v>
      </c>
      <c r="B2" s="5" t="s">
        <v>11</v>
      </c>
      <c r="C2" s="5" t="s">
        <v>7</v>
      </c>
      <c r="D2" s="4">
        <v>2.0</v>
      </c>
      <c r="E2" s="4">
        <v>1.0</v>
      </c>
      <c r="F2" s="4">
        <v>3.0</v>
      </c>
      <c r="G2" s="4">
        <v>6.0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2019.0</v>
      </c>
      <c r="B3" s="5" t="s">
        <v>11</v>
      </c>
      <c r="C3" s="5" t="s">
        <v>33</v>
      </c>
      <c r="D3" s="4">
        <v>2.0</v>
      </c>
      <c r="E3" s="4">
        <v>4.0</v>
      </c>
      <c r="F3" s="4">
        <v>7.0</v>
      </c>
      <c r="G3" s="4">
        <v>13.0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2019.0</v>
      </c>
      <c r="B4" s="5" t="s">
        <v>11</v>
      </c>
      <c r="C4" s="5" t="s">
        <v>8</v>
      </c>
      <c r="D4" s="4">
        <v>0.0</v>
      </c>
      <c r="E4" s="4">
        <v>0.0</v>
      </c>
      <c r="F4" s="4">
        <v>0.0</v>
      </c>
      <c r="G4" s="4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2019.0</v>
      </c>
      <c r="B5" s="5" t="s">
        <v>11</v>
      </c>
      <c r="C5" s="5" t="s">
        <v>9</v>
      </c>
      <c r="D5" s="4">
        <v>2.0</v>
      </c>
      <c r="E5" s="4">
        <v>2.0</v>
      </c>
      <c r="F5" s="4">
        <v>13.0</v>
      </c>
      <c r="G5" s="4">
        <v>17.0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2019.0</v>
      </c>
      <c r="B6" s="5" t="s">
        <v>11</v>
      </c>
      <c r="C6" s="5" t="s">
        <v>10</v>
      </c>
      <c r="D6" s="4">
        <v>1014.0</v>
      </c>
      <c r="E6" s="4">
        <v>864.0</v>
      </c>
      <c r="F6" s="4">
        <v>3118.0</v>
      </c>
      <c r="G6" s="4">
        <v>4996.0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2019.0</v>
      </c>
      <c r="B7" s="5" t="s">
        <v>11</v>
      </c>
      <c r="C7" s="5" t="s">
        <v>12</v>
      </c>
      <c r="D7" s="4">
        <v>3.0</v>
      </c>
      <c r="E7" s="4">
        <v>2.0</v>
      </c>
      <c r="F7" s="4">
        <v>18.0</v>
      </c>
      <c r="G7" s="4">
        <v>23.0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2019.0</v>
      </c>
      <c r="B8" s="5" t="s">
        <v>11</v>
      </c>
      <c r="C8" s="5" t="s">
        <v>15</v>
      </c>
      <c r="D8" s="4">
        <v>198.0</v>
      </c>
      <c r="E8" s="4">
        <v>168.0</v>
      </c>
      <c r="F8" s="4">
        <v>724.0</v>
      </c>
      <c r="G8" s="4">
        <v>1090.0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2019.0</v>
      </c>
      <c r="B9" s="5" t="s">
        <v>11</v>
      </c>
      <c r="C9" s="5" t="s">
        <v>16</v>
      </c>
      <c r="D9" s="4">
        <v>1.0</v>
      </c>
      <c r="E9" s="4">
        <v>1.0</v>
      </c>
      <c r="F9" s="4">
        <v>7.0</v>
      </c>
      <c r="G9" s="4">
        <v>9.0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2019.0</v>
      </c>
      <c r="B10" s="5" t="s">
        <v>11</v>
      </c>
      <c r="C10" s="5" t="s">
        <v>14</v>
      </c>
      <c r="D10" s="4">
        <v>948.0</v>
      </c>
      <c r="E10" s="4">
        <v>852.0</v>
      </c>
      <c r="F10" s="4">
        <v>3214.0</v>
      </c>
      <c r="G10" s="4">
        <v>5014.0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2019.0</v>
      </c>
      <c r="B11" s="5" t="s">
        <v>11</v>
      </c>
      <c r="C11" s="5" t="s">
        <v>17</v>
      </c>
      <c r="D11" s="4">
        <v>1.0</v>
      </c>
      <c r="E11" s="4">
        <v>2.0</v>
      </c>
      <c r="F11" s="4">
        <v>13.0</v>
      </c>
      <c r="G11" s="4">
        <v>16.0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2019.0</v>
      </c>
      <c r="B12" s="5" t="s">
        <v>11</v>
      </c>
      <c r="C12" s="5" t="s">
        <v>19</v>
      </c>
      <c r="D12" s="4">
        <v>11.0</v>
      </c>
      <c r="E12" s="4">
        <v>11.0</v>
      </c>
      <c r="F12" s="4">
        <v>62.0</v>
      </c>
      <c r="G12" s="4">
        <v>84.0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2019.0</v>
      </c>
      <c r="B13" s="5" t="s">
        <v>11</v>
      </c>
      <c r="C13" s="5" t="s">
        <v>20</v>
      </c>
      <c r="D13" s="4">
        <v>10.0</v>
      </c>
      <c r="E13" s="4">
        <v>7.0</v>
      </c>
      <c r="F13" s="4">
        <v>19.0</v>
      </c>
      <c r="G13" s="4">
        <v>36.0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2019.0</v>
      </c>
      <c r="B14" s="5" t="s">
        <v>11</v>
      </c>
      <c r="C14" s="5" t="s">
        <v>21</v>
      </c>
      <c r="D14" s="4">
        <v>1.0</v>
      </c>
      <c r="E14" s="4">
        <v>0.0</v>
      </c>
      <c r="F14" s="4">
        <v>1.0</v>
      </c>
      <c r="G14" s="4">
        <v>2.0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2019.0</v>
      </c>
      <c r="B15" s="5" t="s">
        <v>11</v>
      </c>
      <c r="C15" s="5" t="s">
        <v>22</v>
      </c>
      <c r="D15" s="4">
        <v>3.0</v>
      </c>
      <c r="E15" s="4">
        <v>4.0</v>
      </c>
      <c r="F15" s="4">
        <v>18.0</v>
      </c>
      <c r="G15" s="4">
        <v>25.0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2019.0</v>
      </c>
      <c r="B16" s="5" t="s">
        <v>11</v>
      </c>
      <c r="C16" s="5" t="s">
        <v>23</v>
      </c>
      <c r="D16" s="4">
        <v>0.0</v>
      </c>
      <c r="E16" s="4">
        <v>1.0</v>
      </c>
      <c r="F16" s="4">
        <v>2.0</v>
      </c>
      <c r="G16" s="4">
        <v>3.0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2019.0</v>
      </c>
      <c r="B17" s="5" t="s">
        <v>24</v>
      </c>
      <c r="C17" s="5" t="s">
        <v>7</v>
      </c>
      <c r="D17" s="4">
        <v>1.0</v>
      </c>
      <c r="E17" s="4">
        <v>0.0</v>
      </c>
      <c r="F17" s="4">
        <v>2.0</v>
      </c>
      <c r="G17" s="4">
        <v>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2019.0</v>
      </c>
      <c r="B18" s="5" t="s">
        <v>24</v>
      </c>
      <c r="C18" s="5" t="s">
        <v>33</v>
      </c>
      <c r="D18" s="4">
        <v>2.0</v>
      </c>
      <c r="E18" s="4">
        <v>3.0</v>
      </c>
      <c r="F18" s="4">
        <v>5.0</v>
      </c>
      <c r="G18" s="4">
        <v>10.0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2019.0</v>
      </c>
      <c r="B19" s="5" t="s">
        <v>24</v>
      </c>
      <c r="C19" s="5" t="s">
        <v>8</v>
      </c>
      <c r="D19" s="4">
        <v>0.0</v>
      </c>
      <c r="E19" s="4">
        <v>0.0</v>
      </c>
      <c r="F19" s="4">
        <v>0.0</v>
      </c>
      <c r="G19" s="4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2019.0</v>
      </c>
      <c r="B20" s="5" t="s">
        <v>24</v>
      </c>
      <c r="C20" s="5" t="s">
        <v>9</v>
      </c>
      <c r="D20" s="4">
        <v>1.0</v>
      </c>
      <c r="E20" s="4">
        <v>1.0</v>
      </c>
      <c r="F20" s="4">
        <v>11.0</v>
      </c>
      <c r="G20" s="4">
        <v>13.0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2019.0</v>
      </c>
      <c r="B21" s="5" t="s">
        <v>24</v>
      </c>
      <c r="C21" s="5" t="s">
        <v>10</v>
      </c>
      <c r="D21" s="4">
        <v>912.0</v>
      </c>
      <c r="E21" s="4">
        <v>784.0</v>
      </c>
      <c r="F21" s="4">
        <v>2814.0</v>
      </c>
      <c r="G21" s="4">
        <v>4510.0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2019.0</v>
      </c>
      <c r="B22" s="5" t="s">
        <v>24</v>
      </c>
      <c r="C22" s="5" t="s">
        <v>12</v>
      </c>
      <c r="D22" s="4">
        <v>2.0</v>
      </c>
      <c r="E22" s="4">
        <v>2.0</v>
      </c>
      <c r="F22" s="4">
        <v>14.0</v>
      </c>
      <c r="G22" s="4">
        <v>18.0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2019.0</v>
      </c>
      <c r="B23" s="5" t="s">
        <v>24</v>
      </c>
      <c r="C23" s="5" t="s">
        <v>15</v>
      </c>
      <c r="D23" s="4">
        <v>178.0</v>
      </c>
      <c r="E23" s="4">
        <v>151.0</v>
      </c>
      <c r="F23" s="4">
        <v>654.0</v>
      </c>
      <c r="G23" s="4">
        <v>983.0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2019.0</v>
      </c>
      <c r="B24" s="5" t="s">
        <v>24</v>
      </c>
      <c r="C24" s="5" t="s">
        <v>16</v>
      </c>
      <c r="D24" s="4">
        <v>1.0</v>
      </c>
      <c r="E24" s="4">
        <v>0.0</v>
      </c>
      <c r="F24" s="4">
        <v>5.0</v>
      </c>
      <c r="G24" s="4">
        <v>6.0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2019.0</v>
      </c>
      <c r="B25" s="5" t="s">
        <v>24</v>
      </c>
      <c r="C25" s="5" t="s">
        <v>14</v>
      </c>
      <c r="D25" s="4">
        <v>842.0</v>
      </c>
      <c r="E25" s="4">
        <v>771.0</v>
      </c>
      <c r="F25" s="4">
        <v>2884.0</v>
      </c>
      <c r="G25" s="4">
        <v>4497.0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2019.0</v>
      </c>
      <c r="B26" s="5" t="s">
        <v>24</v>
      </c>
      <c r="C26" s="5" t="s">
        <v>17</v>
      </c>
      <c r="D26" s="4">
        <v>1.0</v>
      </c>
      <c r="E26" s="4">
        <v>1.0</v>
      </c>
      <c r="F26" s="4">
        <v>11.0</v>
      </c>
      <c r="G26" s="4">
        <v>13.0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2019.0</v>
      </c>
      <c r="B27" s="5" t="s">
        <v>24</v>
      </c>
      <c r="C27" s="5" t="s">
        <v>19</v>
      </c>
      <c r="D27" s="4">
        <v>9.0</v>
      </c>
      <c r="E27" s="4">
        <v>9.0</v>
      </c>
      <c r="F27" s="4">
        <v>51.0</v>
      </c>
      <c r="G27" s="4">
        <v>69.0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2019.0</v>
      </c>
      <c r="B28" s="5" t="s">
        <v>24</v>
      </c>
      <c r="C28" s="5" t="s">
        <v>20</v>
      </c>
      <c r="D28" s="4">
        <v>9.0</v>
      </c>
      <c r="E28" s="4">
        <v>6.0</v>
      </c>
      <c r="F28" s="4">
        <v>16.0</v>
      </c>
      <c r="G28" s="4">
        <v>31.0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2019.0</v>
      </c>
      <c r="B29" s="5" t="s">
        <v>24</v>
      </c>
      <c r="C29" s="5" t="s">
        <v>21</v>
      </c>
      <c r="D29" s="4">
        <v>0.0</v>
      </c>
      <c r="E29" s="4">
        <v>0.0</v>
      </c>
      <c r="F29" s="4">
        <v>1.0</v>
      </c>
      <c r="G29" s="4">
        <v>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2019.0</v>
      </c>
      <c r="B30" s="5" t="s">
        <v>24</v>
      </c>
      <c r="C30" s="5" t="s">
        <v>22</v>
      </c>
      <c r="D30" s="4">
        <v>2.0</v>
      </c>
      <c r="E30" s="4">
        <v>3.0</v>
      </c>
      <c r="F30" s="4">
        <v>15.0</v>
      </c>
      <c r="G30" s="4">
        <v>20.0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2019.0</v>
      </c>
      <c r="B31" s="5" t="s">
        <v>24</v>
      </c>
      <c r="C31" s="5" t="s">
        <v>23</v>
      </c>
      <c r="D31" s="4">
        <v>0.0</v>
      </c>
      <c r="E31" s="4">
        <v>0.0</v>
      </c>
      <c r="F31" s="4">
        <v>1.0</v>
      </c>
      <c r="G31" s="4">
        <v>1.0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2019.0</v>
      </c>
      <c r="B32" s="5" t="s">
        <v>26</v>
      </c>
      <c r="C32" s="5" t="s">
        <v>7</v>
      </c>
      <c r="D32" s="4">
        <v>2.0</v>
      </c>
      <c r="E32" s="4">
        <v>1.0</v>
      </c>
      <c r="F32" s="4">
        <v>3.0</v>
      </c>
      <c r="G32" s="4">
        <v>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2019.0</v>
      </c>
      <c r="B33" s="5" t="s">
        <v>26</v>
      </c>
      <c r="C33" s="5" t="s">
        <v>33</v>
      </c>
      <c r="D33" s="4">
        <v>3.0</v>
      </c>
      <c r="E33" s="4">
        <v>4.0</v>
      </c>
      <c r="F33" s="4">
        <v>8.0</v>
      </c>
      <c r="G33" s="4">
        <v>15.0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2019.0</v>
      </c>
      <c r="B34" s="5" t="s">
        <v>26</v>
      </c>
      <c r="C34" s="5" t="s">
        <v>8</v>
      </c>
      <c r="D34" s="4">
        <v>0.0</v>
      </c>
      <c r="E34" s="4">
        <v>0.0</v>
      </c>
      <c r="F34" s="4">
        <v>0.0</v>
      </c>
      <c r="G34" s="4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2019.0</v>
      </c>
      <c r="B35" s="5" t="s">
        <v>26</v>
      </c>
      <c r="C35" s="5" t="s">
        <v>9</v>
      </c>
      <c r="D35" s="4">
        <v>3.0</v>
      </c>
      <c r="E35" s="4">
        <v>2.0</v>
      </c>
      <c r="F35" s="4">
        <v>14.0</v>
      </c>
      <c r="G35" s="4">
        <v>19.0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2019.0</v>
      </c>
      <c r="B36" s="5" t="s">
        <v>26</v>
      </c>
      <c r="C36" s="5" t="s">
        <v>10</v>
      </c>
      <c r="D36" s="4">
        <v>1124.0</v>
      </c>
      <c r="E36" s="4">
        <v>918.0</v>
      </c>
      <c r="F36" s="4">
        <v>3416.0</v>
      </c>
      <c r="G36" s="4">
        <v>5458.0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2019.0</v>
      </c>
      <c r="B37" s="5" t="s">
        <v>26</v>
      </c>
      <c r="C37" s="5" t="s">
        <v>12</v>
      </c>
      <c r="D37" s="4">
        <v>4.0</v>
      </c>
      <c r="E37" s="4">
        <v>2.0</v>
      </c>
      <c r="F37" s="4">
        <v>21.0</v>
      </c>
      <c r="G37" s="4">
        <v>27.0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2019.0</v>
      </c>
      <c r="B38" s="5" t="s">
        <v>26</v>
      </c>
      <c r="C38" s="5" t="s">
        <v>15</v>
      </c>
      <c r="D38" s="4">
        <v>212.0</v>
      </c>
      <c r="E38" s="4">
        <v>181.0</v>
      </c>
      <c r="F38" s="4">
        <v>792.0</v>
      </c>
      <c r="G38" s="4">
        <v>1185.0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2019.0</v>
      </c>
      <c r="B39" s="5" t="s">
        <v>26</v>
      </c>
      <c r="C39" s="5" t="s">
        <v>16</v>
      </c>
      <c r="D39" s="4">
        <v>2.0</v>
      </c>
      <c r="E39" s="4">
        <v>1.0</v>
      </c>
      <c r="F39" s="4">
        <v>8.0</v>
      </c>
      <c r="G39" s="4">
        <v>11.0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2019.0</v>
      </c>
      <c r="B40" s="5" t="s">
        <v>26</v>
      </c>
      <c r="C40" s="5" t="s">
        <v>14</v>
      </c>
      <c r="D40" s="4">
        <v>1084.0</v>
      </c>
      <c r="E40" s="4">
        <v>942.0</v>
      </c>
      <c r="F40" s="4">
        <v>3584.0</v>
      </c>
      <c r="G40" s="4">
        <v>5610.0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2019.0</v>
      </c>
      <c r="B41" s="5" t="s">
        <v>26</v>
      </c>
      <c r="C41" s="5" t="s">
        <v>17</v>
      </c>
      <c r="D41" s="4">
        <v>2.0</v>
      </c>
      <c r="E41" s="4">
        <v>3.0</v>
      </c>
      <c r="F41" s="4">
        <v>15.0</v>
      </c>
      <c r="G41" s="4">
        <v>20.0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2019.0</v>
      </c>
      <c r="B42" s="5" t="s">
        <v>26</v>
      </c>
      <c r="C42" s="5" t="s">
        <v>19</v>
      </c>
      <c r="D42" s="4">
        <v>14.0</v>
      </c>
      <c r="E42" s="4">
        <v>12.0</v>
      </c>
      <c r="F42" s="4">
        <v>68.0</v>
      </c>
      <c r="G42" s="4">
        <v>94.0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2019.0</v>
      </c>
      <c r="B43" s="5" t="s">
        <v>26</v>
      </c>
      <c r="C43" s="5" t="s">
        <v>20</v>
      </c>
      <c r="D43" s="4">
        <v>11.0</v>
      </c>
      <c r="E43" s="4">
        <v>8.0</v>
      </c>
      <c r="F43" s="4">
        <v>21.0</v>
      </c>
      <c r="G43" s="4">
        <v>40.0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2019.0</v>
      </c>
      <c r="B44" s="5" t="s">
        <v>26</v>
      </c>
      <c r="C44" s="5" t="s">
        <v>21</v>
      </c>
      <c r="D44" s="4">
        <v>1.0</v>
      </c>
      <c r="E44" s="4">
        <v>0.0</v>
      </c>
      <c r="F44" s="4">
        <v>2.0</v>
      </c>
      <c r="G44" s="4">
        <v>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2019.0</v>
      </c>
      <c r="B45" s="5" t="s">
        <v>26</v>
      </c>
      <c r="C45" s="5" t="s">
        <v>22</v>
      </c>
      <c r="D45" s="4">
        <v>4.0</v>
      </c>
      <c r="E45" s="4">
        <v>5.0</v>
      </c>
      <c r="F45" s="4">
        <v>20.0</v>
      </c>
      <c r="G45" s="4">
        <v>29.0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2019.0</v>
      </c>
      <c r="B46" s="5" t="s">
        <v>26</v>
      </c>
      <c r="C46" s="5" t="s">
        <v>23</v>
      </c>
      <c r="D46" s="4">
        <v>0.0</v>
      </c>
      <c r="E46" s="4">
        <v>1.0</v>
      </c>
      <c r="F46" s="4">
        <v>2.0</v>
      </c>
      <c r="G46" s="4">
        <v>3.0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2019.0</v>
      </c>
      <c r="B47" s="5" t="s">
        <v>13</v>
      </c>
      <c r="C47" s="5" t="s">
        <v>7</v>
      </c>
      <c r="D47" s="4">
        <v>1.0</v>
      </c>
      <c r="E47" s="4">
        <v>0.0</v>
      </c>
      <c r="F47" s="4">
        <v>2.0</v>
      </c>
      <c r="G47" s="4">
        <v>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2019.0</v>
      </c>
      <c r="B48" s="5" t="s">
        <v>13</v>
      </c>
      <c r="C48" s="5" t="s">
        <v>33</v>
      </c>
      <c r="D48" s="4">
        <v>2.0</v>
      </c>
      <c r="E48" s="4">
        <v>3.0</v>
      </c>
      <c r="F48" s="4">
        <v>6.0</v>
      </c>
      <c r="G48" s="4">
        <v>11.0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2019.0</v>
      </c>
      <c r="B49" s="5" t="s">
        <v>13</v>
      </c>
      <c r="C49" s="5" t="s">
        <v>8</v>
      </c>
      <c r="D49" s="4">
        <v>0.0</v>
      </c>
      <c r="E49" s="4">
        <v>0.0</v>
      </c>
      <c r="F49" s="4">
        <v>0.0</v>
      </c>
      <c r="G49" s="4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2019.0</v>
      </c>
      <c r="B50" s="5" t="s">
        <v>13</v>
      </c>
      <c r="C50" s="5" t="s">
        <v>9</v>
      </c>
      <c r="D50" s="4">
        <v>2.0</v>
      </c>
      <c r="E50" s="4">
        <v>2.0</v>
      </c>
      <c r="F50" s="4">
        <v>12.0</v>
      </c>
      <c r="G50" s="4">
        <v>16.0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2019.0</v>
      </c>
      <c r="B51" s="5" t="s">
        <v>13</v>
      </c>
      <c r="C51" s="5" t="s">
        <v>10</v>
      </c>
      <c r="D51" s="4">
        <v>948.0</v>
      </c>
      <c r="E51" s="4">
        <v>812.0</v>
      </c>
      <c r="F51" s="4">
        <v>2914.0</v>
      </c>
      <c r="G51" s="4">
        <v>4674.0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>
        <v>2019.0</v>
      </c>
      <c r="B52" s="5" t="s">
        <v>13</v>
      </c>
      <c r="C52" s="5" t="s">
        <v>12</v>
      </c>
      <c r="D52" s="4">
        <v>3.0</v>
      </c>
      <c r="E52" s="4">
        <v>2.0</v>
      </c>
      <c r="F52" s="4">
        <v>16.0</v>
      </c>
      <c r="G52" s="4">
        <v>21.0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>
        <v>2019.0</v>
      </c>
      <c r="B53" s="5" t="s">
        <v>13</v>
      </c>
      <c r="C53" s="5" t="s">
        <v>15</v>
      </c>
      <c r="D53" s="4">
        <v>187.0</v>
      </c>
      <c r="E53" s="4">
        <v>159.0</v>
      </c>
      <c r="F53" s="4">
        <v>694.0</v>
      </c>
      <c r="G53" s="4">
        <v>1040.0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>
        <v>2019.0</v>
      </c>
      <c r="B54" s="5" t="s">
        <v>13</v>
      </c>
      <c r="C54" s="5" t="s">
        <v>16</v>
      </c>
      <c r="D54" s="4">
        <v>1.0</v>
      </c>
      <c r="E54" s="4">
        <v>0.0</v>
      </c>
      <c r="F54" s="4">
        <v>6.0</v>
      </c>
      <c r="G54" s="4">
        <v>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>
        <v>2019.0</v>
      </c>
      <c r="B55" s="5" t="s">
        <v>13</v>
      </c>
      <c r="C55" s="5" t="s">
        <v>14</v>
      </c>
      <c r="D55" s="4">
        <v>872.0</v>
      </c>
      <c r="E55" s="4">
        <v>804.0</v>
      </c>
      <c r="F55" s="4">
        <v>2984.0</v>
      </c>
      <c r="G55" s="4">
        <v>4660.0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>
        <v>2019.0</v>
      </c>
      <c r="B56" s="5" t="s">
        <v>13</v>
      </c>
      <c r="C56" s="5" t="s">
        <v>17</v>
      </c>
      <c r="D56" s="4">
        <v>1.0</v>
      </c>
      <c r="E56" s="4">
        <v>2.0</v>
      </c>
      <c r="F56" s="4">
        <v>13.0</v>
      </c>
      <c r="G56" s="4">
        <v>16.0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>
        <v>2019.0</v>
      </c>
      <c r="B57" s="5" t="s">
        <v>13</v>
      </c>
      <c r="C57" s="5" t="s">
        <v>19</v>
      </c>
      <c r="D57" s="4">
        <v>11.0</v>
      </c>
      <c r="E57" s="4">
        <v>10.0</v>
      </c>
      <c r="F57" s="4">
        <v>54.0</v>
      </c>
      <c r="G57" s="4">
        <v>75.0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>
        <v>2019.0</v>
      </c>
      <c r="B58" s="5" t="s">
        <v>13</v>
      </c>
      <c r="C58" s="5" t="s">
        <v>20</v>
      </c>
      <c r="D58" s="4">
        <v>10.0</v>
      </c>
      <c r="E58" s="4">
        <v>7.0</v>
      </c>
      <c r="F58" s="4">
        <v>17.0</v>
      </c>
      <c r="G58" s="4">
        <v>34.0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>
        <v>2019.0</v>
      </c>
      <c r="B59" s="5" t="s">
        <v>13</v>
      </c>
      <c r="C59" s="5" t="s">
        <v>21</v>
      </c>
      <c r="D59" s="4">
        <v>0.0</v>
      </c>
      <c r="E59" s="4">
        <v>0.0</v>
      </c>
      <c r="F59" s="4">
        <v>1.0</v>
      </c>
      <c r="G59" s="4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2019.0</v>
      </c>
      <c r="B60" s="5" t="s">
        <v>13</v>
      </c>
      <c r="C60" s="5" t="s">
        <v>22</v>
      </c>
      <c r="D60" s="4">
        <v>3.0</v>
      </c>
      <c r="E60" s="4">
        <v>4.0</v>
      </c>
      <c r="F60" s="4">
        <v>17.0</v>
      </c>
      <c r="G60" s="4">
        <v>24.0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2019.0</v>
      </c>
      <c r="B61" s="5" t="s">
        <v>13</v>
      </c>
      <c r="C61" s="5" t="s">
        <v>23</v>
      </c>
      <c r="D61" s="4">
        <v>0.0</v>
      </c>
      <c r="E61" s="4">
        <v>0.0</v>
      </c>
      <c r="F61" s="4">
        <v>2.0</v>
      </c>
      <c r="G61" s="4">
        <v>2.0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>
        <v>2019.0</v>
      </c>
      <c r="B62" s="5" t="s">
        <v>30</v>
      </c>
      <c r="C62" s="5" t="s">
        <v>7</v>
      </c>
      <c r="D62" s="4">
        <v>1.0</v>
      </c>
      <c r="E62" s="4">
        <v>0.0</v>
      </c>
      <c r="F62" s="4">
        <v>1.0</v>
      </c>
      <c r="G62" s="4">
        <v>2.0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>
        <v>2019.0</v>
      </c>
      <c r="B63" s="5" t="s">
        <v>30</v>
      </c>
      <c r="C63" s="5" t="s">
        <v>33</v>
      </c>
      <c r="D63" s="4">
        <v>3.0</v>
      </c>
      <c r="E63" s="4">
        <v>3.0</v>
      </c>
      <c r="F63" s="4">
        <v>5.0</v>
      </c>
      <c r="G63" s="4">
        <v>11.0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>
        <v>2019.0</v>
      </c>
      <c r="B64" s="5" t="s">
        <v>30</v>
      </c>
      <c r="C64" s="5" t="s">
        <v>8</v>
      </c>
      <c r="D64" s="4">
        <v>0.0</v>
      </c>
      <c r="E64" s="4">
        <v>0.0</v>
      </c>
      <c r="F64" s="4">
        <v>0.0</v>
      </c>
      <c r="G64" s="4">
        <v>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>
        <v>2019.0</v>
      </c>
      <c r="B65" s="5" t="s">
        <v>30</v>
      </c>
      <c r="C65" s="5" t="s">
        <v>9</v>
      </c>
      <c r="D65" s="4">
        <v>1.0</v>
      </c>
      <c r="E65" s="4">
        <v>1.0</v>
      </c>
      <c r="F65" s="4">
        <v>11.0</v>
      </c>
      <c r="G65" s="4">
        <v>13.0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>
        <v>2019.0</v>
      </c>
      <c r="B66" s="5" t="s">
        <v>30</v>
      </c>
      <c r="C66" s="5" t="s">
        <v>10</v>
      </c>
      <c r="D66" s="4">
        <v>912.0</v>
      </c>
      <c r="E66" s="4">
        <v>784.0</v>
      </c>
      <c r="F66" s="4">
        <v>2814.0</v>
      </c>
      <c r="G66" s="4">
        <v>4510.0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>
        <v>2019.0</v>
      </c>
      <c r="B67" s="5" t="s">
        <v>30</v>
      </c>
      <c r="C67" s="5" t="s">
        <v>12</v>
      </c>
      <c r="D67" s="4">
        <v>2.0</v>
      </c>
      <c r="E67" s="4">
        <v>2.0</v>
      </c>
      <c r="F67" s="4">
        <v>14.0</v>
      </c>
      <c r="G67" s="4">
        <v>18.0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>
        <v>2019.0</v>
      </c>
      <c r="B68" s="5" t="s">
        <v>30</v>
      </c>
      <c r="C68" s="5" t="s">
        <v>15</v>
      </c>
      <c r="D68" s="4">
        <v>178.0</v>
      </c>
      <c r="E68" s="4">
        <v>151.0</v>
      </c>
      <c r="F68" s="4">
        <v>654.0</v>
      </c>
      <c r="G68" s="4">
        <v>983.0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>
        <v>2019.0</v>
      </c>
      <c r="B69" s="5" t="s">
        <v>30</v>
      </c>
      <c r="C69" s="5" t="s">
        <v>16</v>
      </c>
      <c r="D69" s="4">
        <v>1.0</v>
      </c>
      <c r="E69" s="4">
        <v>0.0</v>
      </c>
      <c r="F69" s="4">
        <v>5.0</v>
      </c>
      <c r="G69" s="4">
        <v>6.0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>
        <v>2019.0</v>
      </c>
      <c r="B70" s="5" t="s">
        <v>30</v>
      </c>
      <c r="C70" s="5" t="s">
        <v>14</v>
      </c>
      <c r="D70" s="4">
        <v>842.0</v>
      </c>
      <c r="E70" s="4">
        <v>771.0</v>
      </c>
      <c r="F70" s="4">
        <v>2884.0</v>
      </c>
      <c r="G70" s="4">
        <v>4497.0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>
        <v>2019.0</v>
      </c>
      <c r="B71" s="5" t="s">
        <v>30</v>
      </c>
      <c r="C71" s="5" t="s">
        <v>17</v>
      </c>
      <c r="D71" s="4">
        <v>1.0</v>
      </c>
      <c r="E71" s="4">
        <v>1.0</v>
      </c>
      <c r="F71" s="4">
        <v>11.0</v>
      </c>
      <c r="G71" s="4">
        <v>13.0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>
        <v>2019.0</v>
      </c>
      <c r="B72" s="5" t="s">
        <v>30</v>
      </c>
      <c r="C72" s="5" t="s">
        <v>19</v>
      </c>
      <c r="D72" s="4">
        <v>9.0</v>
      </c>
      <c r="E72" s="4">
        <v>9.0</v>
      </c>
      <c r="F72" s="4">
        <v>51.0</v>
      </c>
      <c r="G72" s="4">
        <v>69.0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>
        <v>2019.0</v>
      </c>
      <c r="B73" s="5" t="s">
        <v>30</v>
      </c>
      <c r="C73" s="5" t="s">
        <v>20</v>
      </c>
      <c r="D73" s="4">
        <v>9.0</v>
      </c>
      <c r="E73" s="4">
        <v>6.0</v>
      </c>
      <c r="F73" s="4">
        <v>16.0</v>
      </c>
      <c r="G73" s="4">
        <v>31.0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>
        <v>2019.0</v>
      </c>
      <c r="B74" s="5" t="s">
        <v>30</v>
      </c>
      <c r="C74" s="5" t="s">
        <v>21</v>
      </c>
      <c r="D74" s="4">
        <v>0.0</v>
      </c>
      <c r="E74" s="4">
        <v>0.0</v>
      </c>
      <c r="F74" s="4">
        <v>1.0</v>
      </c>
      <c r="G74" s="4">
        <v>1.0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>
        <v>2019.0</v>
      </c>
      <c r="B75" s="5" t="s">
        <v>30</v>
      </c>
      <c r="C75" s="5" t="s">
        <v>22</v>
      </c>
      <c r="D75" s="4">
        <v>2.0</v>
      </c>
      <c r="E75" s="4">
        <v>3.0</v>
      </c>
      <c r="F75" s="4">
        <v>15.0</v>
      </c>
      <c r="G75" s="4">
        <v>20.0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>
        <v>2019.0</v>
      </c>
      <c r="B76" s="5" t="s">
        <v>30</v>
      </c>
      <c r="C76" s="5" t="s">
        <v>23</v>
      </c>
      <c r="D76" s="4">
        <v>0.0</v>
      </c>
      <c r="E76" s="4">
        <v>0.0</v>
      </c>
      <c r="F76" s="4">
        <v>1.0</v>
      </c>
      <c r="G76" s="4">
        <v>1.0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>
        <v>2019.0</v>
      </c>
      <c r="B77" s="5" t="s">
        <v>28</v>
      </c>
      <c r="C77" s="5" t="s">
        <v>7</v>
      </c>
      <c r="D77" s="4">
        <v>2.0</v>
      </c>
      <c r="E77" s="4">
        <v>1.0</v>
      </c>
      <c r="F77" s="4">
        <v>3.0</v>
      </c>
      <c r="G77" s="4">
        <v>6.0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>
        <v>2019.0</v>
      </c>
      <c r="B78" s="5" t="s">
        <v>28</v>
      </c>
      <c r="C78" s="5" t="s">
        <v>33</v>
      </c>
      <c r="D78" s="4">
        <v>3.0</v>
      </c>
      <c r="E78" s="4">
        <v>4.0</v>
      </c>
      <c r="F78" s="4">
        <v>6.0</v>
      </c>
      <c r="G78" s="4">
        <v>13.0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>
        <v>2019.0</v>
      </c>
      <c r="B79" s="5" t="s">
        <v>28</v>
      </c>
      <c r="C79" s="5" t="s">
        <v>8</v>
      </c>
      <c r="D79" s="4">
        <v>0.0</v>
      </c>
      <c r="E79" s="4">
        <v>0.0</v>
      </c>
      <c r="F79" s="4">
        <v>0.0</v>
      </c>
      <c r="G79" s="4">
        <v>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>
        <v>2019.0</v>
      </c>
      <c r="B80" s="5" t="s">
        <v>28</v>
      </c>
      <c r="C80" s="5" t="s">
        <v>9</v>
      </c>
      <c r="D80" s="4">
        <v>2.0</v>
      </c>
      <c r="E80" s="4">
        <v>2.0</v>
      </c>
      <c r="F80" s="4">
        <v>13.0</v>
      </c>
      <c r="G80" s="4">
        <v>17.0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>
        <v>2019.0</v>
      </c>
      <c r="B81" s="5" t="s">
        <v>28</v>
      </c>
      <c r="C81" s="5" t="s">
        <v>10</v>
      </c>
      <c r="D81" s="4">
        <v>1014.0</v>
      </c>
      <c r="E81" s="4">
        <v>864.0</v>
      </c>
      <c r="F81" s="4">
        <v>3118.0</v>
      </c>
      <c r="G81" s="4">
        <v>4996.0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>
        <v>2019.0</v>
      </c>
      <c r="B82" s="5" t="s">
        <v>28</v>
      </c>
      <c r="C82" s="5" t="s">
        <v>12</v>
      </c>
      <c r="D82" s="4">
        <v>3.0</v>
      </c>
      <c r="E82" s="4">
        <v>2.0</v>
      </c>
      <c r="F82" s="4">
        <v>18.0</v>
      </c>
      <c r="G82" s="4">
        <v>23.0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>
        <v>2019.0</v>
      </c>
      <c r="B83" s="5" t="s">
        <v>28</v>
      </c>
      <c r="C83" s="5" t="s">
        <v>15</v>
      </c>
      <c r="D83" s="4">
        <v>198.0</v>
      </c>
      <c r="E83" s="4">
        <v>168.0</v>
      </c>
      <c r="F83" s="4">
        <v>724.0</v>
      </c>
      <c r="G83" s="4">
        <v>1090.0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>
        <v>2019.0</v>
      </c>
      <c r="B84" s="5" t="s">
        <v>28</v>
      </c>
      <c r="C84" s="5" t="s">
        <v>16</v>
      </c>
      <c r="D84" s="4">
        <v>1.0</v>
      </c>
      <c r="E84" s="4">
        <v>1.0</v>
      </c>
      <c r="F84" s="4">
        <v>7.0</v>
      </c>
      <c r="G84" s="4">
        <v>9.0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>
        <v>2019.0</v>
      </c>
      <c r="B85" s="5" t="s">
        <v>28</v>
      </c>
      <c r="C85" s="5" t="s">
        <v>14</v>
      </c>
      <c r="D85" s="4">
        <v>948.0</v>
      </c>
      <c r="E85" s="4">
        <v>852.0</v>
      </c>
      <c r="F85" s="4">
        <v>3214.0</v>
      </c>
      <c r="G85" s="4">
        <v>5014.0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>
        <v>2019.0</v>
      </c>
      <c r="B86" s="5" t="s">
        <v>28</v>
      </c>
      <c r="C86" s="5" t="s">
        <v>17</v>
      </c>
      <c r="D86" s="4">
        <v>1.0</v>
      </c>
      <c r="E86" s="4">
        <v>2.0</v>
      </c>
      <c r="F86" s="4">
        <v>13.0</v>
      </c>
      <c r="G86" s="4">
        <v>16.0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>
        <v>2019.0</v>
      </c>
      <c r="B87" s="5" t="s">
        <v>28</v>
      </c>
      <c r="C87" s="5" t="s">
        <v>19</v>
      </c>
      <c r="D87" s="4">
        <v>11.0</v>
      </c>
      <c r="E87" s="4">
        <v>11.0</v>
      </c>
      <c r="F87" s="4">
        <v>62.0</v>
      </c>
      <c r="G87" s="4">
        <v>84.0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>
        <v>2019.0</v>
      </c>
      <c r="B88" s="5" t="s">
        <v>28</v>
      </c>
      <c r="C88" s="5" t="s">
        <v>20</v>
      </c>
      <c r="D88" s="4">
        <v>10.0</v>
      </c>
      <c r="E88" s="4">
        <v>7.0</v>
      </c>
      <c r="F88" s="4">
        <v>19.0</v>
      </c>
      <c r="G88" s="4">
        <v>36.0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>
        <v>2019.0</v>
      </c>
      <c r="B89" s="5" t="s">
        <v>28</v>
      </c>
      <c r="C89" s="5" t="s">
        <v>21</v>
      </c>
      <c r="D89" s="4">
        <v>1.0</v>
      </c>
      <c r="E89" s="4">
        <v>0.0</v>
      </c>
      <c r="F89" s="4">
        <v>1.0</v>
      </c>
      <c r="G89" s="4">
        <v>2.0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>
        <v>2019.0</v>
      </c>
      <c r="B90" s="5" t="s">
        <v>28</v>
      </c>
      <c r="C90" s="5" t="s">
        <v>22</v>
      </c>
      <c r="D90" s="4">
        <v>3.0</v>
      </c>
      <c r="E90" s="4">
        <v>4.0</v>
      </c>
      <c r="F90" s="4">
        <v>18.0</v>
      </c>
      <c r="G90" s="4">
        <v>25.0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>
        <v>2019.0</v>
      </c>
      <c r="B91" s="5" t="s">
        <v>28</v>
      </c>
      <c r="C91" s="5" t="s">
        <v>23</v>
      </c>
      <c r="D91" s="4">
        <v>0.0</v>
      </c>
      <c r="E91" s="4">
        <v>1.0</v>
      </c>
      <c r="F91" s="4">
        <v>2.0</v>
      </c>
      <c r="G91" s="4">
        <v>3.0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>
        <v>2019.0</v>
      </c>
      <c r="B92" s="5" t="s">
        <v>31</v>
      </c>
      <c r="C92" s="5" t="s">
        <v>7</v>
      </c>
      <c r="D92" s="4">
        <v>1.0</v>
      </c>
      <c r="E92" s="4">
        <v>0.0</v>
      </c>
      <c r="F92" s="4">
        <v>2.0</v>
      </c>
      <c r="G92" s="4">
        <v>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>
        <v>2019.0</v>
      </c>
      <c r="B93" s="5" t="s">
        <v>31</v>
      </c>
      <c r="C93" s="5" t="s">
        <v>33</v>
      </c>
      <c r="D93" s="4">
        <v>2.0</v>
      </c>
      <c r="E93" s="4">
        <v>3.0</v>
      </c>
      <c r="F93" s="4">
        <v>5.0</v>
      </c>
      <c r="G93" s="4">
        <v>10.0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>
        <v>2019.0</v>
      </c>
      <c r="B94" s="5" t="s">
        <v>31</v>
      </c>
      <c r="C94" s="5" t="s">
        <v>8</v>
      </c>
      <c r="D94" s="4">
        <v>0.0</v>
      </c>
      <c r="E94" s="4">
        <v>0.0</v>
      </c>
      <c r="F94" s="4">
        <v>0.0</v>
      </c>
      <c r="G94" s="4">
        <v>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>
        <v>2019.0</v>
      </c>
      <c r="B95" s="5" t="s">
        <v>31</v>
      </c>
      <c r="C95" s="5" t="s">
        <v>9</v>
      </c>
      <c r="D95" s="4">
        <v>1.0</v>
      </c>
      <c r="E95" s="4">
        <v>2.0</v>
      </c>
      <c r="F95" s="4">
        <v>11.0</v>
      </c>
      <c r="G95" s="4">
        <v>14.0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>
        <v>2019.0</v>
      </c>
      <c r="B96" s="5" t="s">
        <v>31</v>
      </c>
      <c r="C96" s="5" t="s">
        <v>10</v>
      </c>
      <c r="D96" s="4">
        <v>842.0</v>
      </c>
      <c r="E96" s="4">
        <v>741.0</v>
      </c>
      <c r="F96" s="4">
        <v>2831.0</v>
      </c>
      <c r="G96" s="4">
        <v>4414.0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>
        <v>2019.0</v>
      </c>
      <c r="B97" s="5" t="s">
        <v>31</v>
      </c>
      <c r="C97" s="5" t="s">
        <v>12</v>
      </c>
      <c r="D97" s="4">
        <v>2.0</v>
      </c>
      <c r="E97" s="4">
        <v>2.0</v>
      </c>
      <c r="F97" s="4">
        <v>15.0</v>
      </c>
      <c r="G97" s="4">
        <v>19.0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>
        <v>2019.0</v>
      </c>
      <c r="B98" s="5" t="s">
        <v>31</v>
      </c>
      <c r="C98" s="5" t="s">
        <v>15</v>
      </c>
      <c r="D98" s="4">
        <v>172.0</v>
      </c>
      <c r="E98" s="4">
        <v>151.0</v>
      </c>
      <c r="F98" s="4">
        <v>649.0</v>
      </c>
      <c r="G98" s="4">
        <v>972.0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>
        <v>2019.0</v>
      </c>
      <c r="B99" s="5" t="s">
        <v>31</v>
      </c>
      <c r="C99" s="5" t="s">
        <v>16</v>
      </c>
      <c r="D99" s="4">
        <v>1.0</v>
      </c>
      <c r="E99" s="4">
        <v>0.0</v>
      </c>
      <c r="F99" s="4">
        <v>5.0</v>
      </c>
      <c r="G99" s="4">
        <v>6.0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>
        <v>2019.0</v>
      </c>
      <c r="B100" s="5" t="s">
        <v>31</v>
      </c>
      <c r="C100" s="5" t="s">
        <v>14</v>
      </c>
      <c r="D100" s="4">
        <v>811.0</v>
      </c>
      <c r="E100" s="4">
        <v>743.0</v>
      </c>
      <c r="F100" s="4">
        <v>2894.0</v>
      </c>
      <c r="G100" s="4">
        <v>4448.0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>
        <v>2019.0</v>
      </c>
      <c r="B101" s="5" t="s">
        <v>31</v>
      </c>
      <c r="C101" s="5" t="s">
        <v>17</v>
      </c>
      <c r="D101" s="4">
        <v>1.0</v>
      </c>
      <c r="E101" s="4">
        <v>2.0</v>
      </c>
      <c r="F101" s="4">
        <v>12.0</v>
      </c>
      <c r="G101" s="4">
        <v>15.0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>
        <v>2019.0</v>
      </c>
      <c r="B102" s="5" t="s">
        <v>31</v>
      </c>
      <c r="C102" s="5" t="s">
        <v>19</v>
      </c>
      <c r="D102" s="4">
        <v>9.0</v>
      </c>
      <c r="E102" s="4">
        <v>9.0</v>
      </c>
      <c r="F102" s="4">
        <v>51.0</v>
      </c>
      <c r="G102" s="4">
        <v>69.0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>
        <v>2019.0</v>
      </c>
      <c r="B103" s="5" t="s">
        <v>31</v>
      </c>
      <c r="C103" s="5" t="s">
        <v>20</v>
      </c>
      <c r="D103" s="4">
        <v>9.0</v>
      </c>
      <c r="E103" s="4">
        <v>6.0</v>
      </c>
      <c r="F103" s="4">
        <v>17.0</v>
      </c>
      <c r="G103" s="4">
        <v>32.0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>
        <v>2019.0</v>
      </c>
      <c r="B104" s="5" t="s">
        <v>31</v>
      </c>
      <c r="C104" s="5" t="s">
        <v>21</v>
      </c>
      <c r="D104" s="4">
        <v>0.0</v>
      </c>
      <c r="E104" s="4">
        <v>0.0</v>
      </c>
      <c r="F104" s="4">
        <v>1.0</v>
      </c>
      <c r="G104" s="4">
        <v>1.0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>
        <v>2019.0</v>
      </c>
      <c r="B105" s="5" t="s">
        <v>31</v>
      </c>
      <c r="C105" s="5" t="s">
        <v>22</v>
      </c>
      <c r="D105" s="4">
        <v>3.0</v>
      </c>
      <c r="E105" s="4">
        <v>4.0</v>
      </c>
      <c r="F105" s="4">
        <v>16.0</v>
      </c>
      <c r="G105" s="4">
        <v>23.0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>
        <v>2019.0</v>
      </c>
      <c r="B106" s="5" t="s">
        <v>31</v>
      </c>
      <c r="C106" s="5" t="s">
        <v>23</v>
      </c>
      <c r="D106" s="4">
        <v>0.0</v>
      </c>
      <c r="E106" s="4">
        <v>0.0</v>
      </c>
      <c r="F106" s="4">
        <v>2.0</v>
      </c>
      <c r="G106" s="4">
        <v>2.0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>
        <v>2019.0</v>
      </c>
      <c r="B107" s="5" t="s">
        <v>32</v>
      </c>
      <c r="C107" s="5" t="s">
        <v>7</v>
      </c>
      <c r="D107" s="4">
        <v>2.0</v>
      </c>
      <c r="E107" s="4">
        <v>0.0</v>
      </c>
      <c r="F107" s="4">
        <v>1.0</v>
      </c>
      <c r="G107" s="4">
        <v>3.0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>
        <v>2019.0</v>
      </c>
      <c r="B108" s="5" t="s">
        <v>32</v>
      </c>
      <c r="C108" s="5" t="s">
        <v>33</v>
      </c>
      <c r="D108" s="4">
        <v>2.0</v>
      </c>
      <c r="E108" s="4">
        <v>3.0</v>
      </c>
      <c r="F108" s="4">
        <v>6.0</v>
      </c>
      <c r="G108" s="4">
        <v>11.0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>
        <v>2019.0</v>
      </c>
      <c r="B109" s="5" t="s">
        <v>32</v>
      </c>
      <c r="C109" s="5" t="s">
        <v>8</v>
      </c>
      <c r="D109" s="4">
        <v>0.0</v>
      </c>
      <c r="E109" s="4">
        <v>0.0</v>
      </c>
      <c r="F109" s="4">
        <v>0.0</v>
      </c>
      <c r="G109" s="4">
        <v>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>
        <v>2019.0</v>
      </c>
      <c r="B110" s="5" t="s">
        <v>32</v>
      </c>
      <c r="C110" s="5" t="s">
        <v>9</v>
      </c>
      <c r="D110" s="4">
        <v>2.0</v>
      </c>
      <c r="E110" s="4">
        <v>3.0</v>
      </c>
      <c r="F110" s="4">
        <v>12.0</v>
      </c>
      <c r="G110" s="4">
        <v>17.0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>
        <v>2019.0</v>
      </c>
      <c r="B111" s="5" t="s">
        <v>32</v>
      </c>
      <c r="C111" s="5" t="s">
        <v>10</v>
      </c>
      <c r="D111" s="4">
        <v>913.0</v>
      </c>
      <c r="E111" s="4">
        <v>805.0</v>
      </c>
      <c r="F111" s="4">
        <v>2914.0</v>
      </c>
      <c r="G111" s="4">
        <v>4632.0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>
        <v>2019.0</v>
      </c>
      <c r="B112" s="5" t="s">
        <v>32</v>
      </c>
      <c r="C112" s="5" t="s">
        <v>12</v>
      </c>
      <c r="D112" s="4">
        <v>3.0</v>
      </c>
      <c r="E112" s="4">
        <v>2.0</v>
      </c>
      <c r="F112" s="4">
        <v>17.0</v>
      </c>
      <c r="G112" s="4">
        <v>22.0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>
        <v>2019.0</v>
      </c>
      <c r="B113" s="5" t="s">
        <v>32</v>
      </c>
      <c r="C113" s="5" t="s">
        <v>15</v>
      </c>
      <c r="D113" s="4">
        <v>191.0</v>
      </c>
      <c r="E113" s="4">
        <v>168.0</v>
      </c>
      <c r="F113" s="4">
        <v>702.0</v>
      </c>
      <c r="G113" s="4">
        <v>1061.0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>
        <v>2019.0</v>
      </c>
      <c r="B114" s="5" t="s">
        <v>32</v>
      </c>
      <c r="C114" s="5" t="s">
        <v>16</v>
      </c>
      <c r="D114" s="4">
        <v>1.0</v>
      </c>
      <c r="E114" s="4">
        <v>0.0</v>
      </c>
      <c r="F114" s="4">
        <v>6.0</v>
      </c>
      <c r="G114" s="4">
        <v>7.0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>
        <v>2019.0</v>
      </c>
      <c r="B115" s="5" t="s">
        <v>32</v>
      </c>
      <c r="C115" s="5" t="s">
        <v>14</v>
      </c>
      <c r="D115" s="4">
        <v>884.0</v>
      </c>
      <c r="E115" s="4">
        <v>812.0</v>
      </c>
      <c r="F115" s="4">
        <v>3012.0</v>
      </c>
      <c r="G115" s="4">
        <v>4708.0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>
        <v>2019.0</v>
      </c>
      <c r="B116" s="5" t="s">
        <v>32</v>
      </c>
      <c r="C116" s="5" t="s">
        <v>17</v>
      </c>
      <c r="D116" s="4">
        <v>1.0</v>
      </c>
      <c r="E116" s="4">
        <v>2.0</v>
      </c>
      <c r="F116" s="4">
        <v>13.0</v>
      </c>
      <c r="G116" s="4">
        <v>16.0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>
        <v>2019.0</v>
      </c>
      <c r="B117" s="5" t="s">
        <v>32</v>
      </c>
      <c r="C117" s="5" t="s">
        <v>19</v>
      </c>
      <c r="D117" s="4">
        <v>11.0</v>
      </c>
      <c r="E117" s="4">
        <v>10.0</v>
      </c>
      <c r="F117" s="4">
        <v>56.0</v>
      </c>
      <c r="G117" s="4">
        <v>77.0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>
        <v>2019.0</v>
      </c>
      <c r="B118" s="5" t="s">
        <v>32</v>
      </c>
      <c r="C118" s="5" t="s">
        <v>20</v>
      </c>
      <c r="D118" s="4">
        <v>10.0</v>
      </c>
      <c r="E118" s="4">
        <v>7.0</v>
      </c>
      <c r="F118" s="4">
        <v>18.0</v>
      </c>
      <c r="G118" s="4">
        <v>35.0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>
        <v>2019.0</v>
      </c>
      <c r="B119" s="5" t="s">
        <v>32</v>
      </c>
      <c r="C119" s="5" t="s">
        <v>21</v>
      </c>
      <c r="D119" s="4">
        <v>0.0</v>
      </c>
      <c r="E119" s="4">
        <v>0.0</v>
      </c>
      <c r="F119" s="4">
        <v>1.0</v>
      </c>
      <c r="G119" s="4">
        <v>1.0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>
        <v>2019.0</v>
      </c>
      <c r="B120" s="5" t="s">
        <v>32</v>
      </c>
      <c r="C120" s="5" t="s">
        <v>22</v>
      </c>
      <c r="D120" s="4">
        <v>3.0</v>
      </c>
      <c r="E120" s="4">
        <v>4.0</v>
      </c>
      <c r="F120" s="4">
        <v>18.0</v>
      </c>
      <c r="G120" s="4">
        <v>25.0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>
        <v>2019.0</v>
      </c>
      <c r="B121" s="5" t="s">
        <v>32</v>
      </c>
      <c r="C121" s="5" t="s">
        <v>23</v>
      </c>
      <c r="D121" s="4">
        <v>0.0</v>
      </c>
      <c r="E121" s="4">
        <v>0.0</v>
      </c>
      <c r="F121" s="4">
        <v>2.0</v>
      </c>
      <c r="G121" s="4">
        <v>2.0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>
        <v>2019.0</v>
      </c>
      <c r="B122" s="5" t="s">
        <v>18</v>
      </c>
      <c r="C122" s="5" t="s">
        <v>7</v>
      </c>
      <c r="D122" s="4">
        <v>1.0</v>
      </c>
      <c r="E122" s="4">
        <v>1.0</v>
      </c>
      <c r="F122" s="4">
        <v>2.0</v>
      </c>
      <c r="G122" s="4">
        <v>4.0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>
        <v>2019.0</v>
      </c>
      <c r="B123" s="5" t="s">
        <v>18</v>
      </c>
      <c r="C123" s="5" t="s">
        <v>33</v>
      </c>
      <c r="D123" s="4">
        <v>2.0</v>
      </c>
      <c r="E123" s="4">
        <v>3.0</v>
      </c>
      <c r="F123" s="4">
        <v>5.0</v>
      </c>
      <c r="G123" s="4">
        <v>10.0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>
        <v>2019.0</v>
      </c>
      <c r="B124" s="5" t="s">
        <v>18</v>
      </c>
      <c r="C124" s="5" t="s">
        <v>8</v>
      </c>
      <c r="D124" s="4">
        <v>0.0</v>
      </c>
      <c r="E124" s="4">
        <v>0.0</v>
      </c>
      <c r="F124" s="4">
        <v>0.0</v>
      </c>
      <c r="G124" s="4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>
        <v>2019.0</v>
      </c>
      <c r="B125" s="5" t="s">
        <v>18</v>
      </c>
      <c r="C125" s="5" t="s">
        <v>9</v>
      </c>
      <c r="D125" s="4">
        <v>2.0</v>
      </c>
      <c r="E125" s="4">
        <v>2.0</v>
      </c>
      <c r="F125" s="4">
        <v>12.0</v>
      </c>
      <c r="G125" s="4">
        <v>16.0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>
        <v>2019.0</v>
      </c>
      <c r="B126" s="5" t="s">
        <v>18</v>
      </c>
      <c r="C126" s="5" t="s">
        <v>10</v>
      </c>
      <c r="D126" s="4">
        <v>948.0</v>
      </c>
      <c r="E126" s="4">
        <v>812.0</v>
      </c>
      <c r="F126" s="4">
        <v>2914.0</v>
      </c>
      <c r="G126" s="4">
        <v>4674.0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>
        <v>2019.0</v>
      </c>
      <c r="B127" s="5" t="s">
        <v>18</v>
      </c>
      <c r="C127" s="5" t="s">
        <v>12</v>
      </c>
      <c r="D127" s="4">
        <v>3.0</v>
      </c>
      <c r="E127" s="4">
        <v>2.0</v>
      </c>
      <c r="F127" s="4">
        <v>16.0</v>
      </c>
      <c r="G127" s="4">
        <v>21.0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>
        <v>2019.0</v>
      </c>
      <c r="B128" s="5" t="s">
        <v>18</v>
      </c>
      <c r="C128" s="5" t="s">
        <v>15</v>
      </c>
      <c r="D128" s="4">
        <v>187.0</v>
      </c>
      <c r="E128" s="4">
        <v>159.0</v>
      </c>
      <c r="F128" s="4">
        <v>694.0</v>
      </c>
      <c r="G128" s="4">
        <v>1040.0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>
        <v>2019.0</v>
      </c>
      <c r="B129" s="5" t="s">
        <v>18</v>
      </c>
      <c r="C129" s="5" t="s">
        <v>16</v>
      </c>
      <c r="D129" s="4">
        <v>1.0</v>
      </c>
      <c r="E129" s="4">
        <v>0.0</v>
      </c>
      <c r="F129" s="4">
        <v>6.0</v>
      </c>
      <c r="G129" s="4">
        <v>7.0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>
        <v>2019.0</v>
      </c>
      <c r="B130" s="5" t="s">
        <v>18</v>
      </c>
      <c r="C130" s="5" t="s">
        <v>14</v>
      </c>
      <c r="D130" s="4">
        <v>872.0</v>
      </c>
      <c r="E130" s="4">
        <v>804.0</v>
      </c>
      <c r="F130" s="4">
        <v>2984.0</v>
      </c>
      <c r="G130" s="4">
        <v>4660.0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>
        <v>2019.0</v>
      </c>
      <c r="B131" s="5" t="s">
        <v>18</v>
      </c>
      <c r="C131" s="5" t="s">
        <v>17</v>
      </c>
      <c r="D131" s="4">
        <v>1.0</v>
      </c>
      <c r="E131" s="4">
        <v>2.0</v>
      </c>
      <c r="F131" s="4">
        <v>13.0</v>
      </c>
      <c r="G131" s="4">
        <v>16.0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>
        <v>2019.0</v>
      </c>
      <c r="B132" s="5" t="s">
        <v>18</v>
      </c>
      <c r="C132" s="5" t="s">
        <v>19</v>
      </c>
      <c r="D132" s="4">
        <v>11.0</v>
      </c>
      <c r="E132" s="4">
        <v>10.0</v>
      </c>
      <c r="F132" s="4">
        <v>54.0</v>
      </c>
      <c r="G132" s="4">
        <v>75.0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>
        <v>2019.0</v>
      </c>
      <c r="B133" s="5" t="s">
        <v>18</v>
      </c>
      <c r="C133" s="5" t="s">
        <v>20</v>
      </c>
      <c r="D133" s="4">
        <v>10.0</v>
      </c>
      <c r="E133" s="4">
        <v>7.0</v>
      </c>
      <c r="F133" s="4">
        <v>17.0</v>
      </c>
      <c r="G133" s="4">
        <v>34.0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>
        <v>2019.0</v>
      </c>
      <c r="B134" s="5" t="s">
        <v>18</v>
      </c>
      <c r="C134" s="5" t="s">
        <v>21</v>
      </c>
      <c r="D134" s="4">
        <v>0.0</v>
      </c>
      <c r="E134" s="4">
        <v>0.0</v>
      </c>
      <c r="F134" s="4">
        <v>1.0</v>
      </c>
      <c r="G134" s="4">
        <v>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>
        <v>2019.0</v>
      </c>
      <c r="B135" s="5" t="s">
        <v>18</v>
      </c>
      <c r="C135" s="5" t="s">
        <v>22</v>
      </c>
      <c r="D135" s="4">
        <v>3.0</v>
      </c>
      <c r="E135" s="4">
        <v>4.0</v>
      </c>
      <c r="F135" s="4">
        <v>17.0</v>
      </c>
      <c r="G135" s="4">
        <v>24.0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>
        <v>2019.0</v>
      </c>
      <c r="B136" s="5" t="s">
        <v>18</v>
      </c>
      <c r="C136" s="5" t="s">
        <v>23</v>
      </c>
      <c r="D136" s="4">
        <v>0.0</v>
      </c>
      <c r="E136" s="4">
        <v>0.0</v>
      </c>
      <c r="F136" s="4">
        <v>2.0</v>
      </c>
      <c r="G136" s="4">
        <v>2.0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>
        <v>2019.0</v>
      </c>
      <c r="B137" s="5" t="s">
        <v>25</v>
      </c>
      <c r="C137" s="5" t="s">
        <v>7</v>
      </c>
      <c r="D137" s="4">
        <v>1.0</v>
      </c>
      <c r="E137" s="4">
        <v>0.0</v>
      </c>
      <c r="F137" s="4">
        <v>2.0</v>
      </c>
      <c r="G137" s="4">
        <v>3.0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>
        <v>2019.0</v>
      </c>
      <c r="B138" s="5" t="s">
        <v>25</v>
      </c>
      <c r="C138" s="5" t="s">
        <v>33</v>
      </c>
      <c r="D138" s="4">
        <v>3.0</v>
      </c>
      <c r="E138" s="4">
        <v>3.0</v>
      </c>
      <c r="F138" s="4">
        <v>6.0</v>
      </c>
      <c r="G138" s="4">
        <v>12.0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>
        <v>2019.0</v>
      </c>
      <c r="B139" s="5" t="s">
        <v>25</v>
      </c>
      <c r="C139" s="5" t="s">
        <v>8</v>
      </c>
      <c r="D139" s="4">
        <v>0.0</v>
      </c>
      <c r="E139" s="4">
        <v>0.0</v>
      </c>
      <c r="F139" s="4">
        <v>0.0</v>
      </c>
      <c r="G139" s="4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>
        <v>2019.0</v>
      </c>
      <c r="B140" s="5" t="s">
        <v>25</v>
      </c>
      <c r="C140" s="5" t="s">
        <v>9</v>
      </c>
      <c r="D140" s="4">
        <v>1.0</v>
      </c>
      <c r="E140" s="4">
        <v>1.0</v>
      </c>
      <c r="F140" s="4">
        <v>11.0</v>
      </c>
      <c r="G140" s="4">
        <v>13.0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>
        <v>2019.0</v>
      </c>
      <c r="B141" s="5" t="s">
        <v>25</v>
      </c>
      <c r="C141" s="5" t="s">
        <v>10</v>
      </c>
      <c r="D141" s="4">
        <v>912.0</v>
      </c>
      <c r="E141" s="4">
        <v>784.0</v>
      </c>
      <c r="F141" s="4">
        <v>2814.0</v>
      </c>
      <c r="G141" s="4">
        <v>4510.0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>
        <v>2019.0</v>
      </c>
      <c r="B142" s="5" t="s">
        <v>25</v>
      </c>
      <c r="C142" s="5" t="s">
        <v>12</v>
      </c>
      <c r="D142" s="4">
        <v>2.0</v>
      </c>
      <c r="E142" s="4">
        <v>2.0</v>
      </c>
      <c r="F142" s="4">
        <v>14.0</v>
      </c>
      <c r="G142" s="4">
        <v>18.0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>
        <v>2019.0</v>
      </c>
      <c r="B143" s="5" t="s">
        <v>25</v>
      </c>
      <c r="C143" s="5" t="s">
        <v>15</v>
      </c>
      <c r="D143" s="4">
        <v>178.0</v>
      </c>
      <c r="E143" s="4">
        <v>151.0</v>
      </c>
      <c r="F143" s="4">
        <v>654.0</v>
      </c>
      <c r="G143" s="4">
        <v>983.0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>
        <v>2019.0</v>
      </c>
      <c r="B144" s="5" t="s">
        <v>25</v>
      </c>
      <c r="C144" s="5" t="s">
        <v>16</v>
      </c>
      <c r="D144" s="4">
        <v>1.0</v>
      </c>
      <c r="E144" s="4">
        <v>0.0</v>
      </c>
      <c r="F144" s="4">
        <v>5.0</v>
      </c>
      <c r="G144" s="4">
        <v>6.0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>
        <v>2019.0</v>
      </c>
      <c r="B145" s="5" t="s">
        <v>25</v>
      </c>
      <c r="C145" s="5" t="s">
        <v>14</v>
      </c>
      <c r="D145" s="4">
        <v>842.0</v>
      </c>
      <c r="E145" s="4">
        <v>771.0</v>
      </c>
      <c r="F145" s="4">
        <v>2884.0</v>
      </c>
      <c r="G145" s="4">
        <v>4497.0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>
        <v>2019.0</v>
      </c>
      <c r="B146" s="5" t="s">
        <v>25</v>
      </c>
      <c r="C146" s="5" t="s">
        <v>17</v>
      </c>
      <c r="D146" s="4">
        <v>1.0</v>
      </c>
      <c r="E146" s="4">
        <v>1.0</v>
      </c>
      <c r="F146" s="4">
        <v>11.0</v>
      </c>
      <c r="G146" s="4">
        <v>13.0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>
        <v>2019.0</v>
      </c>
      <c r="B147" s="5" t="s">
        <v>25</v>
      </c>
      <c r="C147" s="5" t="s">
        <v>19</v>
      </c>
      <c r="D147" s="4">
        <v>9.0</v>
      </c>
      <c r="E147" s="4">
        <v>9.0</v>
      </c>
      <c r="F147" s="4">
        <v>51.0</v>
      </c>
      <c r="G147" s="4">
        <v>69.0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>
        <v>2019.0</v>
      </c>
      <c r="B148" s="5" t="s">
        <v>25</v>
      </c>
      <c r="C148" s="5" t="s">
        <v>20</v>
      </c>
      <c r="D148" s="4">
        <v>9.0</v>
      </c>
      <c r="E148" s="4">
        <v>6.0</v>
      </c>
      <c r="F148" s="4">
        <v>16.0</v>
      </c>
      <c r="G148" s="4">
        <v>31.0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>
        <v>2019.0</v>
      </c>
      <c r="B149" s="5" t="s">
        <v>25</v>
      </c>
      <c r="C149" s="5" t="s">
        <v>21</v>
      </c>
      <c r="D149" s="4">
        <v>0.0</v>
      </c>
      <c r="E149" s="4">
        <v>0.0</v>
      </c>
      <c r="F149" s="4">
        <v>1.0</v>
      </c>
      <c r="G149" s="4">
        <v>1.0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>
        <v>2019.0</v>
      </c>
      <c r="B150" s="5" t="s">
        <v>25</v>
      </c>
      <c r="C150" s="5" t="s">
        <v>22</v>
      </c>
      <c r="D150" s="4">
        <v>2.0</v>
      </c>
      <c r="E150" s="4">
        <v>3.0</v>
      </c>
      <c r="F150" s="4">
        <v>15.0</v>
      </c>
      <c r="G150" s="4">
        <v>20.0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>
        <v>2019.0</v>
      </c>
      <c r="B151" s="5" t="s">
        <v>25</v>
      </c>
      <c r="C151" s="5" t="s">
        <v>23</v>
      </c>
      <c r="D151" s="4">
        <v>0.0</v>
      </c>
      <c r="E151" s="4">
        <v>0.0</v>
      </c>
      <c r="F151" s="4">
        <v>1.0</v>
      </c>
      <c r="G151" s="4">
        <v>1.0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2">
        <v>2019.0</v>
      </c>
      <c r="B152" s="2" t="s">
        <v>27</v>
      </c>
      <c r="C152" s="2" t="s">
        <v>7</v>
      </c>
      <c r="D152" s="2">
        <v>1.0</v>
      </c>
      <c r="E152" s="2">
        <v>0.0</v>
      </c>
      <c r="F152" s="2">
        <v>2.0</v>
      </c>
      <c r="G152" s="2">
        <v>3.0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2">
        <v>2019.0</v>
      </c>
      <c r="B153" s="2" t="s">
        <v>27</v>
      </c>
      <c r="C153" s="2" t="s">
        <v>33</v>
      </c>
      <c r="D153" s="2">
        <v>2.0</v>
      </c>
      <c r="E153" s="2">
        <v>3.0</v>
      </c>
      <c r="F153" s="2">
        <v>5.0</v>
      </c>
      <c r="G153" s="2">
        <v>10.0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2">
        <v>2019.0</v>
      </c>
      <c r="B154" s="2" t="s">
        <v>27</v>
      </c>
      <c r="C154" s="2" t="s">
        <v>8</v>
      </c>
      <c r="D154" s="2">
        <v>0.0</v>
      </c>
      <c r="E154" s="2">
        <v>0.0</v>
      </c>
      <c r="F154" s="2">
        <v>0.0</v>
      </c>
      <c r="G154" s="2">
        <v>0.0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2">
        <v>2019.0</v>
      </c>
      <c r="B155" s="2" t="s">
        <v>27</v>
      </c>
      <c r="C155" s="2" t="s">
        <v>9</v>
      </c>
      <c r="D155" s="2">
        <v>2.0</v>
      </c>
      <c r="E155" s="2">
        <v>2.0</v>
      </c>
      <c r="F155" s="2">
        <v>12.0</v>
      </c>
      <c r="G155" s="2">
        <v>16.0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2">
        <v>2019.0</v>
      </c>
      <c r="B156" s="2" t="s">
        <v>27</v>
      </c>
      <c r="C156" s="2" t="s">
        <v>10</v>
      </c>
      <c r="D156" s="2">
        <v>948.0</v>
      </c>
      <c r="E156" s="2">
        <v>812.0</v>
      </c>
      <c r="F156" s="2">
        <v>2914.0</v>
      </c>
      <c r="G156" s="2">
        <v>4674.0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2">
        <v>2019.0</v>
      </c>
      <c r="B157" s="2" t="s">
        <v>27</v>
      </c>
      <c r="C157" s="2" t="s">
        <v>12</v>
      </c>
      <c r="D157" s="2">
        <v>3.0</v>
      </c>
      <c r="E157" s="2">
        <v>2.0</v>
      </c>
      <c r="F157" s="2">
        <v>16.0</v>
      </c>
      <c r="G157" s="2">
        <v>21.0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2">
        <v>2019.0</v>
      </c>
      <c r="B158" s="2" t="s">
        <v>27</v>
      </c>
      <c r="C158" s="2" t="s">
        <v>15</v>
      </c>
      <c r="D158" s="2">
        <v>187.0</v>
      </c>
      <c r="E158" s="2">
        <v>159.0</v>
      </c>
      <c r="F158" s="2">
        <v>694.0</v>
      </c>
      <c r="G158" s="2">
        <v>1040.0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2">
        <v>2019.0</v>
      </c>
      <c r="B159" s="2" t="s">
        <v>27</v>
      </c>
      <c r="C159" s="2" t="s">
        <v>16</v>
      </c>
      <c r="D159" s="2">
        <v>1.0</v>
      </c>
      <c r="E159" s="2">
        <v>0.0</v>
      </c>
      <c r="F159" s="2">
        <v>6.0</v>
      </c>
      <c r="G159" s="2">
        <v>7.0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2">
        <v>2019.0</v>
      </c>
      <c r="B160" s="2" t="s">
        <v>27</v>
      </c>
      <c r="C160" s="2" t="s">
        <v>14</v>
      </c>
      <c r="D160" s="2">
        <v>872.0</v>
      </c>
      <c r="E160" s="2">
        <v>804.0</v>
      </c>
      <c r="F160" s="2">
        <v>2984.0</v>
      </c>
      <c r="G160" s="2">
        <v>4660.0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2">
        <v>2019.0</v>
      </c>
      <c r="B161" s="2" t="s">
        <v>27</v>
      </c>
      <c r="C161" s="2" t="s">
        <v>17</v>
      </c>
      <c r="D161" s="2">
        <v>1.0</v>
      </c>
      <c r="E161" s="2">
        <v>2.0</v>
      </c>
      <c r="F161" s="2">
        <v>13.0</v>
      </c>
      <c r="G161" s="2">
        <v>16.0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2">
        <v>2019.0</v>
      </c>
      <c r="B162" s="2" t="s">
        <v>27</v>
      </c>
      <c r="C162" s="2" t="s">
        <v>19</v>
      </c>
      <c r="D162" s="2">
        <v>11.0</v>
      </c>
      <c r="E162" s="2">
        <v>10.0</v>
      </c>
      <c r="F162" s="2">
        <v>54.0</v>
      </c>
      <c r="G162" s="2">
        <v>75.0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2">
        <v>2019.0</v>
      </c>
      <c r="B163" s="2" t="s">
        <v>27</v>
      </c>
      <c r="C163" s="2" t="s">
        <v>20</v>
      </c>
      <c r="D163" s="2">
        <v>10.0</v>
      </c>
      <c r="E163" s="2">
        <v>7.0</v>
      </c>
      <c r="F163" s="2">
        <v>17.0</v>
      </c>
      <c r="G163" s="2">
        <v>34.0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2">
        <v>2019.0</v>
      </c>
      <c r="B164" s="2" t="s">
        <v>27</v>
      </c>
      <c r="C164" s="2" t="s">
        <v>21</v>
      </c>
      <c r="D164" s="2">
        <v>0.0</v>
      </c>
      <c r="E164" s="2">
        <v>0.0</v>
      </c>
      <c r="F164" s="2">
        <v>1.0</v>
      </c>
      <c r="G164" s="2">
        <v>1.0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2">
        <v>2019.0</v>
      </c>
      <c r="B165" s="2" t="s">
        <v>27</v>
      </c>
      <c r="C165" s="2" t="s">
        <v>22</v>
      </c>
      <c r="D165" s="2">
        <v>3.0</v>
      </c>
      <c r="E165" s="2">
        <v>4.0</v>
      </c>
      <c r="F165" s="2">
        <v>17.0</v>
      </c>
      <c r="G165" s="2">
        <v>24.0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2">
        <v>2019.0</v>
      </c>
      <c r="B166" s="2" t="s">
        <v>27</v>
      </c>
      <c r="C166" s="2" t="s">
        <v>23</v>
      </c>
      <c r="D166" s="2">
        <v>0.0</v>
      </c>
      <c r="E166" s="2">
        <v>0.0</v>
      </c>
      <c r="F166" s="2">
        <v>2.0</v>
      </c>
      <c r="G166" s="2">
        <v>2.0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2">
        <v>2019.0</v>
      </c>
      <c r="B167" s="2" t="s">
        <v>29</v>
      </c>
      <c r="C167" s="2" t="s">
        <v>7</v>
      </c>
      <c r="D167" s="2">
        <v>1.0</v>
      </c>
      <c r="E167" s="2">
        <v>0.0</v>
      </c>
      <c r="F167" s="2">
        <v>2.0</v>
      </c>
      <c r="G167" s="2">
        <v>3.0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2">
        <v>2019.0</v>
      </c>
      <c r="B168" s="2" t="s">
        <v>29</v>
      </c>
      <c r="C168" s="2" t="s">
        <v>33</v>
      </c>
      <c r="D168" s="2">
        <v>3.0</v>
      </c>
      <c r="E168" s="2">
        <v>3.0</v>
      </c>
      <c r="F168" s="2">
        <v>6.0</v>
      </c>
      <c r="G168" s="2">
        <v>12.0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2">
        <v>2019.0</v>
      </c>
      <c r="B169" s="2" t="s">
        <v>29</v>
      </c>
      <c r="C169" s="2" t="s">
        <v>8</v>
      </c>
      <c r="D169" s="2">
        <v>0.0</v>
      </c>
      <c r="E169" s="2">
        <v>0.0</v>
      </c>
      <c r="F169" s="2">
        <v>0.0</v>
      </c>
      <c r="G169" s="2">
        <v>0.0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2">
        <v>2019.0</v>
      </c>
      <c r="B170" s="2" t="s">
        <v>29</v>
      </c>
      <c r="C170" s="2" t="s">
        <v>9</v>
      </c>
      <c r="D170" s="2">
        <v>1.0</v>
      </c>
      <c r="E170" s="2">
        <v>1.0</v>
      </c>
      <c r="F170" s="2">
        <v>11.0</v>
      </c>
      <c r="G170" s="2">
        <v>13.0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2">
        <v>2019.0</v>
      </c>
      <c r="B171" s="2" t="s">
        <v>29</v>
      </c>
      <c r="C171" s="2" t="s">
        <v>10</v>
      </c>
      <c r="D171" s="2">
        <v>912.0</v>
      </c>
      <c r="E171" s="2">
        <v>784.0</v>
      </c>
      <c r="F171" s="2">
        <v>2814.0</v>
      </c>
      <c r="G171" s="2">
        <v>4510.0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2">
        <v>2019.0</v>
      </c>
      <c r="B172" s="2" t="s">
        <v>29</v>
      </c>
      <c r="C172" s="2" t="s">
        <v>12</v>
      </c>
      <c r="D172" s="2">
        <v>2.0</v>
      </c>
      <c r="E172" s="2">
        <v>2.0</v>
      </c>
      <c r="F172" s="2">
        <v>14.0</v>
      </c>
      <c r="G172" s="2">
        <v>18.0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2">
        <v>2019.0</v>
      </c>
      <c r="B173" s="2" t="s">
        <v>29</v>
      </c>
      <c r="C173" s="2" t="s">
        <v>15</v>
      </c>
      <c r="D173" s="2">
        <v>178.0</v>
      </c>
      <c r="E173" s="2">
        <v>151.0</v>
      </c>
      <c r="F173" s="2">
        <v>654.0</v>
      </c>
      <c r="G173" s="2">
        <v>983.0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2">
        <v>2019.0</v>
      </c>
      <c r="B174" s="2" t="s">
        <v>29</v>
      </c>
      <c r="C174" s="2" t="s">
        <v>16</v>
      </c>
      <c r="D174" s="2">
        <v>1.0</v>
      </c>
      <c r="E174" s="2">
        <v>0.0</v>
      </c>
      <c r="F174" s="2">
        <v>5.0</v>
      </c>
      <c r="G174" s="2">
        <v>6.0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2">
        <v>2019.0</v>
      </c>
      <c r="B175" s="2" t="s">
        <v>29</v>
      </c>
      <c r="C175" s="2" t="s">
        <v>14</v>
      </c>
      <c r="D175" s="2">
        <v>842.0</v>
      </c>
      <c r="E175" s="2">
        <v>771.0</v>
      </c>
      <c r="F175" s="2">
        <v>2884.0</v>
      </c>
      <c r="G175" s="2">
        <v>4497.0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2">
        <v>2019.0</v>
      </c>
      <c r="B176" s="2" t="s">
        <v>29</v>
      </c>
      <c r="C176" s="2" t="s">
        <v>17</v>
      </c>
      <c r="D176" s="2">
        <v>1.0</v>
      </c>
      <c r="E176" s="2">
        <v>1.0</v>
      </c>
      <c r="F176" s="2">
        <v>11.0</v>
      </c>
      <c r="G176" s="2">
        <v>13.0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2">
        <v>2019.0</v>
      </c>
      <c r="B177" s="2" t="s">
        <v>29</v>
      </c>
      <c r="C177" s="2" t="s">
        <v>19</v>
      </c>
      <c r="D177" s="2">
        <v>9.0</v>
      </c>
      <c r="E177" s="2">
        <v>9.0</v>
      </c>
      <c r="F177" s="2">
        <v>51.0</v>
      </c>
      <c r="G177" s="2">
        <v>69.0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2">
        <v>2019.0</v>
      </c>
      <c r="B178" s="2" t="s">
        <v>29</v>
      </c>
      <c r="C178" s="2" t="s">
        <v>20</v>
      </c>
      <c r="D178" s="2">
        <v>9.0</v>
      </c>
      <c r="E178" s="2">
        <v>6.0</v>
      </c>
      <c r="F178" s="2">
        <v>16.0</v>
      </c>
      <c r="G178" s="2">
        <v>31.0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2">
        <v>2019.0</v>
      </c>
      <c r="B179" s="2" t="s">
        <v>29</v>
      </c>
      <c r="C179" s="2" t="s">
        <v>21</v>
      </c>
      <c r="D179" s="2">
        <v>0.0</v>
      </c>
      <c r="E179" s="2">
        <v>0.0</v>
      </c>
      <c r="F179" s="2">
        <v>1.0</v>
      </c>
      <c r="G179" s="2">
        <v>1.0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2">
        <v>2019.0</v>
      </c>
      <c r="B180" s="2" t="s">
        <v>29</v>
      </c>
      <c r="C180" s="2" t="s">
        <v>22</v>
      </c>
      <c r="D180" s="2">
        <v>2.0</v>
      </c>
      <c r="E180" s="2">
        <v>3.0</v>
      </c>
      <c r="F180" s="2">
        <v>15.0</v>
      </c>
      <c r="G180" s="2">
        <v>20.0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2">
        <v>2019.0</v>
      </c>
      <c r="B181" s="2" t="s">
        <v>29</v>
      </c>
      <c r="C181" s="2" t="s">
        <v>23</v>
      </c>
      <c r="D181" s="2">
        <v>0.0</v>
      </c>
      <c r="E181" s="2">
        <v>0.0</v>
      </c>
      <c r="F181" s="2">
        <v>1.0</v>
      </c>
      <c r="G181" s="2">
        <v>1.0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</sheetData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2020.0</v>
      </c>
      <c r="B2" s="5" t="s">
        <v>11</v>
      </c>
      <c r="C2" s="5" t="s">
        <v>7</v>
      </c>
      <c r="D2" s="4">
        <v>1.0</v>
      </c>
      <c r="E2" s="4">
        <v>0.0</v>
      </c>
      <c r="F2" s="4">
        <v>2.0</v>
      </c>
      <c r="G2" s="4">
        <v>3.0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2020.0</v>
      </c>
      <c r="B3" s="5" t="s">
        <v>11</v>
      </c>
      <c r="C3" s="5" t="s">
        <v>33</v>
      </c>
      <c r="D3" s="4">
        <v>3.0</v>
      </c>
      <c r="E3" s="4">
        <v>4.0</v>
      </c>
      <c r="F3" s="4">
        <v>7.0</v>
      </c>
      <c r="G3" s="4">
        <v>14.0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2020.0</v>
      </c>
      <c r="B4" s="5" t="s">
        <v>11</v>
      </c>
      <c r="C4" s="5" t="s">
        <v>8</v>
      </c>
      <c r="D4" s="4">
        <v>0.0</v>
      </c>
      <c r="E4" s="4">
        <v>0.0</v>
      </c>
      <c r="F4" s="4">
        <v>0.0</v>
      </c>
      <c r="G4" s="4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2020.0</v>
      </c>
      <c r="B5" s="5" t="s">
        <v>11</v>
      </c>
      <c r="C5" s="5" t="s">
        <v>9</v>
      </c>
      <c r="D5" s="4">
        <v>2.0</v>
      </c>
      <c r="E5" s="4">
        <v>2.0</v>
      </c>
      <c r="F5" s="4">
        <v>12.0</v>
      </c>
      <c r="G5" s="4">
        <v>16.0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2020.0</v>
      </c>
      <c r="B6" s="5" t="s">
        <v>11</v>
      </c>
      <c r="C6" s="5" t="s">
        <v>10</v>
      </c>
      <c r="D6" s="4">
        <v>948.0</v>
      </c>
      <c r="E6" s="4">
        <v>812.0</v>
      </c>
      <c r="F6" s="4">
        <v>2914.0</v>
      </c>
      <c r="G6" s="4">
        <v>4674.0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2020.0</v>
      </c>
      <c r="B7" s="5" t="s">
        <v>11</v>
      </c>
      <c r="C7" s="5" t="s">
        <v>12</v>
      </c>
      <c r="D7" s="4">
        <v>3.0</v>
      </c>
      <c r="E7" s="4">
        <v>2.0</v>
      </c>
      <c r="F7" s="4">
        <v>16.0</v>
      </c>
      <c r="G7" s="4">
        <v>21.0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2020.0</v>
      </c>
      <c r="B8" s="5" t="s">
        <v>11</v>
      </c>
      <c r="C8" s="5" t="s">
        <v>15</v>
      </c>
      <c r="D8" s="4">
        <v>187.0</v>
      </c>
      <c r="E8" s="4">
        <v>159.0</v>
      </c>
      <c r="F8" s="4">
        <v>694.0</v>
      </c>
      <c r="G8" s="4">
        <v>1040.0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2020.0</v>
      </c>
      <c r="B9" s="5" t="s">
        <v>11</v>
      </c>
      <c r="C9" s="5" t="s">
        <v>16</v>
      </c>
      <c r="D9" s="4">
        <v>1.0</v>
      </c>
      <c r="E9" s="4">
        <v>0.0</v>
      </c>
      <c r="F9" s="4">
        <v>6.0</v>
      </c>
      <c r="G9" s="4">
        <v>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2020.0</v>
      </c>
      <c r="B10" s="5" t="s">
        <v>11</v>
      </c>
      <c r="C10" s="5" t="s">
        <v>14</v>
      </c>
      <c r="D10" s="4">
        <v>872.0</v>
      </c>
      <c r="E10" s="4">
        <v>804.0</v>
      </c>
      <c r="F10" s="4">
        <v>2984.0</v>
      </c>
      <c r="G10" s="4">
        <v>4660.0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2020.0</v>
      </c>
      <c r="B11" s="5" t="s">
        <v>11</v>
      </c>
      <c r="C11" s="5" t="s">
        <v>17</v>
      </c>
      <c r="D11" s="4">
        <v>1.0</v>
      </c>
      <c r="E11" s="4">
        <v>2.0</v>
      </c>
      <c r="F11" s="4">
        <v>13.0</v>
      </c>
      <c r="G11" s="4">
        <v>16.0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2020.0</v>
      </c>
      <c r="B12" s="5" t="s">
        <v>11</v>
      </c>
      <c r="C12" s="5" t="s">
        <v>19</v>
      </c>
      <c r="D12" s="4">
        <v>11.0</v>
      </c>
      <c r="E12" s="4">
        <v>10.0</v>
      </c>
      <c r="F12" s="4">
        <v>54.0</v>
      </c>
      <c r="G12" s="4">
        <v>75.0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2020.0</v>
      </c>
      <c r="B13" s="5" t="s">
        <v>11</v>
      </c>
      <c r="C13" s="5" t="s">
        <v>20</v>
      </c>
      <c r="D13" s="4">
        <v>10.0</v>
      </c>
      <c r="E13" s="4">
        <v>7.0</v>
      </c>
      <c r="F13" s="4">
        <v>17.0</v>
      </c>
      <c r="G13" s="4">
        <v>34.0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2020.0</v>
      </c>
      <c r="B14" s="5" t="s">
        <v>11</v>
      </c>
      <c r="C14" s="5" t="s">
        <v>21</v>
      </c>
      <c r="D14" s="4">
        <v>0.0</v>
      </c>
      <c r="E14" s="4">
        <v>0.0</v>
      </c>
      <c r="F14" s="4">
        <v>1.0</v>
      </c>
      <c r="G14" s="4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2020.0</v>
      </c>
      <c r="B15" s="5" t="s">
        <v>11</v>
      </c>
      <c r="C15" s="5" t="s">
        <v>22</v>
      </c>
      <c r="D15" s="4">
        <v>3.0</v>
      </c>
      <c r="E15" s="4">
        <v>4.0</v>
      </c>
      <c r="F15" s="4">
        <v>17.0</v>
      </c>
      <c r="G15" s="4">
        <v>24.0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2020.0</v>
      </c>
      <c r="B16" s="5" t="s">
        <v>11</v>
      </c>
      <c r="C16" s="5" t="s">
        <v>23</v>
      </c>
      <c r="D16" s="4">
        <v>0.0</v>
      </c>
      <c r="E16" s="4">
        <v>0.0</v>
      </c>
      <c r="F16" s="4">
        <v>2.0</v>
      </c>
      <c r="G16" s="4">
        <v>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2020.0</v>
      </c>
      <c r="B17" s="5" t="s">
        <v>24</v>
      </c>
      <c r="C17" s="5" t="s">
        <v>7</v>
      </c>
      <c r="D17" s="4">
        <v>1.0</v>
      </c>
      <c r="E17" s="4">
        <v>0.0</v>
      </c>
      <c r="F17" s="4">
        <v>2.0</v>
      </c>
      <c r="G17" s="4">
        <v>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2020.0</v>
      </c>
      <c r="B18" s="5" t="s">
        <v>24</v>
      </c>
      <c r="C18" s="5" t="s">
        <v>33</v>
      </c>
      <c r="D18" s="4">
        <v>3.0</v>
      </c>
      <c r="E18" s="4">
        <v>3.0</v>
      </c>
      <c r="F18" s="4">
        <v>6.0</v>
      </c>
      <c r="G18" s="4">
        <v>12.0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2020.0</v>
      </c>
      <c r="B19" s="5" t="s">
        <v>24</v>
      </c>
      <c r="C19" s="5" t="s">
        <v>8</v>
      </c>
      <c r="D19" s="4">
        <v>0.0</v>
      </c>
      <c r="E19" s="4">
        <v>0.0</v>
      </c>
      <c r="F19" s="4">
        <v>0.0</v>
      </c>
      <c r="G19" s="4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2020.0</v>
      </c>
      <c r="B20" s="5" t="s">
        <v>24</v>
      </c>
      <c r="C20" s="5" t="s">
        <v>9</v>
      </c>
      <c r="D20" s="4">
        <v>1.0</v>
      </c>
      <c r="E20" s="4">
        <v>1.0</v>
      </c>
      <c r="F20" s="4">
        <v>11.0</v>
      </c>
      <c r="G20" s="4">
        <v>13.0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2020.0</v>
      </c>
      <c r="B21" s="5" t="s">
        <v>24</v>
      </c>
      <c r="C21" s="5" t="s">
        <v>10</v>
      </c>
      <c r="D21" s="4">
        <v>912.0</v>
      </c>
      <c r="E21" s="4">
        <v>784.0</v>
      </c>
      <c r="F21" s="4">
        <v>2814.0</v>
      </c>
      <c r="G21" s="4">
        <v>4510.0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2020.0</v>
      </c>
      <c r="B22" s="5" t="s">
        <v>24</v>
      </c>
      <c r="C22" s="5" t="s">
        <v>12</v>
      </c>
      <c r="D22" s="4">
        <v>2.0</v>
      </c>
      <c r="E22" s="4">
        <v>2.0</v>
      </c>
      <c r="F22" s="4">
        <v>14.0</v>
      </c>
      <c r="G22" s="4">
        <v>18.0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2020.0</v>
      </c>
      <c r="B23" s="5" t="s">
        <v>24</v>
      </c>
      <c r="C23" s="5" t="s">
        <v>15</v>
      </c>
      <c r="D23" s="4">
        <v>178.0</v>
      </c>
      <c r="E23" s="4">
        <v>151.0</v>
      </c>
      <c r="F23" s="4">
        <v>654.0</v>
      </c>
      <c r="G23" s="4">
        <v>983.0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2020.0</v>
      </c>
      <c r="B24" s="5" t="s">
        <v>24</v>
      </c>
      <c r="C24" s="5" t="s">
        <v>16</v>
      </c>
      <c r="D24" s="4">
        <v>1.0</v>
      </c>
      <c r="E24" s="4">
        <v>0.0</v>
      </c>
      <c r="F24" s="4">
        <v>5.0</v>
      </c>
      <c r="G24" s="4">
        <v>6.0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2020.0</v>
      </c>
      <c r="B25" s="5" t="s">
        <v>24</v>
      </c>
      <c r="C25" s="5" t="s">
        <v>14</v>
      </c>
      <c r="D25" s="4">
        <v>842.0</v>
      </c>
      <c r="E25" s="4">
        <v>771.0</v>
      </c>
      <c r="F25" s="4">
        <v>2884.0</v>
      </c>
      <c r="G25" s="4">
        <v>4497.0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2020.0</v>
      </c>
      <c r="B26" s="5" t="s">
        <v>24</v>
      </c>
      <c r="C26" s="5" t="s">
        <v>17</v>
      </c>
      <c r="D26" s="4">
        <v>1.0</v>
      </c>
      <c r="E26" s="4">
        <v>1.0</v>
      </c>
      <c r="F26" s="4">
        <v>11.0</v>
      </c>
      <c r="G26" s="4">
        <v>13.0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2020.0</v>
      </c>
      <c r="B27" s="5" t="s">
        <v>24</v>
      </c>
      <c r="C27" s="5" t="s">
        <v>19</v>
      </c>
      <c r="D27" s="4">
        <v>9.0</v>
      </c>
      <c r="E27" s="4">
        <v>9.0</v>
      </c>
      <c r="F27" s="4">
        <v>51.0</v>
      </c>
      <c r="G27" s="4">
        <v>69.0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2020.0</v>
      </c>
      <c r="B28" s="5" t="s">
        <v>24</v>
      </c>
      <c r="C28" s="5" t="s">
        <v>20</v>
      </c>
      <c r="D28" s="4">
        <v>9.0</v>
      </c>
      <c r="E28" s="4">
        <v>6.0</v>
      </c>
      <c r="F28" s="4">
        <v>16.0</v>
      </c>
      <c r="G28" s="4">
        <v>31.0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2020.0</v>
      </c>
      <c r="B29" s="5" t="s">
        <v>24</v>
      </c>
      <c r="C29" s="5" t="s">
        <v>21</v>
      </c>
      <c r="D29" s="4">
        <v>0.0</v>
      </c>
      <c r="E29" s="4">
        <v>0.0</v>
      </c>
      <c r="F29" s="4">
        <v>1.0</v>
      </c>
      <c r="G29" s="4">
        <v>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2020.0</v>
      </c>
      <c r="B30" s="5" t="s">
        <v>24</v>
      </c>
      <c r="C30" s="5" t="s">
        <v>22</v>
      </c>
      <c r="D30" s="4">
        <v>2.0</v>
      </c>
      <c r="E30" s="4">
        <v>3.0</v>
      </c>
      <c r="F30" s="4">
        <v>15.0</v>
      </c>
      <c r="G30" s="4">
        <v>20.0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2020.0</v>
      </c>
      <c r="B31" s="5" t="s">
        <v>24</v>
      </c>
      <c r="C31" s="5" t="s">
        <v>23</v>
      </c>
      <c r="D31" s="4">
        <v>0.0</v>
      </c>
      <c r="E31" s="4">
        <v>0.0</v>
      </c>
      <c r="F31" s="4">
        <v>1.0</v>
      </c>
      <c r="G31" s="4">
        <v>1.0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2020.0</v>
      </c>
      <c r="B32" s="5" t="s">
        <v>26</v>
      </c>
      <c r="C32" s="5" t="s">
        <v>7</v>
      </c>
      <c r="D32" s="4">
        <v>2.0</v>
      </c>
      <c r="E32" s="4">
        <v>1.0</v>
      </c>
      <c r="F32" s="4">
        <v>3.0</v>
      </c>
      <c r="G32" s="4">
        <v>6.0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2020.0</v>
      </c>
      <c r="B33" s="5" t="s">
        <v>26</v>
      </c>
      <c r="C33" s="5" t="s">
        <v>33</v>
      </c>
      <c r="D33" s="4">
        <v>4.0</v>
      </c>
      <c r="E33" s="4">
        <v>4.0</v>
      </c>
      <c r="F33" s="4">
        <v>9.0</v>
      </c>
      <c r="G33" s="4">
        <v>17.0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2020.0</v>
      </c>
      <c r="B34" s="5" t="s">
        <v>26</v>
      </c>
      <c r="C34" s="5" t="s">
        <v>8</v>
      </c>
      <c r="D34" s="4">
        <v>0.0</v>
      </c>
      <c r="E34" s="4">
        <v>0.0</v>
      </c>
      <c r="F34" s="4">
        <v>0.0</v>
      </c>
      <c r="G34" s="4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2020.0</v>
      </c>
      <c r="B35" s="5" t="s">
        <v>26</v>
      </c>
      <c r="C35" s="5" t="s">
        <v>9</v>
      </c>
      <c r="D35" s="4">
        <v>3.0</v>
      </c>
      <c r="E35" s="4">
        <v>2.0</v>
      </c>
      <c r="F35" s="4">
        <v>14.0</v>
      </c>
      <c r="G35" s="4">
        <v>19.0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2020.0</v>
      </c>
      <c r="B36" s="5" t="s">
        <v>26</v>
      </c>
      <c r="C36" s="5" t="s">
        <v>10</v>
      </c>
      <c r="D36" s="4">
        <v>1124.0</v>
      </c>
      <c r="E36" s="4">
        <v>918.0</v>
      </c>
      <c r="F36" s="4">
        <v>3416.0</v>
      </c>
      <c r="G36" s="4">
        <v>5458.0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2020.0</v>
      </c>
      <c r="B37" s="5" t="s">
        <v>26</v>
      </c>
      <c r="C37" s="5" t="s">
        <v>12</v>
      </c>
      <c r="D37" s="4">
        <v>4.0</v>
      </c>
      <c r="E37" s="4">
        <v>2.0</v>
      </c>
      <c r="F37" s="4">
        <v>21.0</v>
      </c>
      <c r="G37" s="4">
        <v>27.0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2020.0</v>
      </c>
      <c r="B38" s="5" t="s">
        <v>26</v>
      </c>
      <c r="C38" s="5" t="s">
        <v>15</v>
      </c>
      <c r="D38" s="4">
        <v>212.0</v>
      </c>
      <c r="E38" s="4">
        <v>181.0</v>
      </c>
      <c r="F38" s="4">
        <v>792.0</v>
      </c>
      <c r="G38" s="4">
        <v>1185.0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2020.0</v>
      </c>
      <c r="B39" s="5" t="s">
        <v>26</v>
      </c>
      <c r="C39" s="5" t="s">
        <v>16</v>
      </c>
      <c r="D39" s="4">
        <v>2.0</v>
      </c>
      <c r="E39" s="4">
        <v>1.0</v>
      </c>
      <c r="F39" s="4">
        <v>8.0</v>
      </c>
      <c r="G39" s="4">
        <v>11.0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2020.0</v>
      </c>
      <c r="B40" s="5" t="s">
        <v>26</v>
      </c>
      <c r="C40" s="5" t="s">
        <v>14</v>
      </c>
      <c r="D40" s="4">
        <v>1084.0</v>
      </c>
      <c r="E40" s="4">
        <v>942.0</v>
      </c>
      <c r="F40" s="4">
        <v>3584.0</v>
      </c>
      <c r="G40" s="4">
        <v>5610.0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2020.0</v>
      </c>
      <c r="B41" s="5" t="s">
        <v>26</v>
      </c>
      <c r="C41" s="5" t="s">
        <v>17</v>
      </c>
      <c r="D41" s="4">
        <v>2.0</v>
      </c>
      <c r="E41" s="4">
        <v>3.0</v>
      </c>
      <c r="F41" s="4">
        <v>15.0</v>
      </c>
      <c r="G41" s="4">
        <v>20.0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2020.0</v>
      </c>
      <c r="B42" s="5" t="s">
        <v>26</v>
      </c>
      <c r="C42" s="5" t="s">
        <v>19</v>
      </c>
      <c r="D42" s="4">
        <v>14.0</v>
      </c>
      <c r="E42" s="4">
        <v>12.0</v>
      </c>
      <c r="F42" s="4">
        <v>68.0</v>
      </c>
      <c r="G42" s="4">
        <v>94.0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2020.0</v>
      </c>
      <c r="B43" s="5" t="s">
        <v>26</v>
      </c>
      <c r="C43" s="5" t="s">
        <v>20</v>
      </c>
      <c r="D43" s="4">
        <v>11.0</v>
      </c>
      <c r="E43" s="4">
        <v>8.0</v>
      </c>
      <c r="F43" s="4">
        <v>21.0</v>
      </c>
      <c r="G43" s="4">
        <v>40.0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2020.0</v>
      </c>
      <c r="B44" s="5" t="s">
        <v>26</v>
      </c>
      <c r="C44" s="5" t="s">
        <v>21</v>
      </c>
      <c r="D44" s="4">
        <v>1.0</v>
      </c>
      <c r="E44" s="4">
        <v>0.0</v>
      </c>
      <c r="F44" s="4">
        <v>2.0</v>
      </c>
      <c r="G44" s="4">
        <v>3.0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2020.0</v>
      </c>
      <c r="B45" s="5" t="s">
        <v>26</v>
      </c>
      <c r="C45" s="5" t="s">
        <v>22</v>
      </c>
      <c r="D45" s="4">
        <v>4.0</v>
      </c>
      <c r="E45" s="4">
        <v>5.0</v>
      </c>
      <c r="F45" s="4">
        <v>20.0</v>
      </c>
      <c r="G45" s="4">
        <v>29.0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2020.0</v>
      </c>
      <c r="B46" s="5" t="s">
        <v>26</v>
      </c>
      <c r="C46" s="5" t="s">
        <v>23</v>
      </c>
      <c r="D46" s="4">
        <v>0.0</v>
      </c>
      <c r="E46" s="4">
        <v>1.0</v>
      </c>
      <c r="F46" s="4">
        <v>2.0</v>
      </c>
      <c r="G46" s="4">
        <v>3.0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2020.0</v>
      </c>
      <c r="B47" s="5" t="s">
        <v>13</v>
      </c>
      <c r="C47" s="5" t="s">
        <v>7</v>
      </c>
      <c r="D47" s="4">
        <v>1.0</v>
      </c>
      <c r="E47" s="4">
        <v>0.0</v>
      </c>
      <c r="F47" s="4">
        <v>2.0</v>
      </c>
      <c r="G47" s="4">
        <v>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2020.0</v>
      </c>
      <c r="B48" s="5" t="s">
        <v>13</v>
      </c>
      <c r="C48" s="5" t="s">
        <v>33</v>
      </c>
      <c r="D48" s="4">
        <v>3.0</v>
      </c>
      <c r="E48" s="4">
        <v>3.0</v>
      </c>
      <c r="F48" s="4">
        <v>7.0</v>
      </c>
      <c r="G48" s="4">
        <v>13.0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2020.0</v>
      </c>
      <c r="B49" s="5" t="s">
        <v>13</v>
      </c>
      <c r="C49" s="5" t="s">
        <v>8</v>
      </c>
      <c r="D49" s="4">
        <v>0.0</v>
      </c>
      <c r="E49" s="4">
        <v>0.0</v>
      </c>
      <c r="F49" s="4">
        <v>0.0</v>
      </c>
      <c r="G49" s="4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2020.0</v>
      </c>
      <c r="B50" s="5" t="s">
        <v>13</v>
      </c>
      <c r="C50" s="5" t="s">
        <v>9</v>
      </c>
      <c r="D50" s="4">
        <v>2.0</v>
      </c>
      <c r="E50" s="4">
        <v>2.0</v>
      </c>
      <c r="F50" s="4">
        <v>12.0</v>
      </c>
      <c r="G50" s="4">
        <v>16.0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2020.0</v>
      </c>
      <c r="B51" s="5" t="s">
        <v>13</v>
      </c>
      <c r="C51" s="5" t="s">
        <v>10</v>
      </c>
      <c r="D51" s="4">
        <v>948.0</v>
      </c>
      <c r="E51" s="4">
        <v>812.0</v>
      </c>
      <c r="F51" s="4">
        <v>2914.0</v>
      </c>
      <c r="G51" s="4">
        <v>4674.0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>
        <v>2020.0</v>
      </c>
      <c r="B52" s="5" t="s">
        <v>13</v>
      </c>
      <c r="C52" s="5" t="s">
        <v>12</v>
      </c>
      <c r="D52" s="4">
        <v>3.0</v>
      </c>
      <c r="E52" s="4">
        <v>2.0</v>
      </c>
      <c r="F52" s="4">
        <v>16.0</v>
      </c>
      <c r="G52" s="4">
        <v>21.0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>
        <v>2020.0</v>
      </c>
      <c r="B53" s="5" t="s">
        <v>13</v>
      </c>
      <c r="C53" s="5" t="s">
        <v>15</v>
      </c>
      <c r="D53" s="4">
        <v>187.0</v>
      </c>
      <c r="E53" s="4">
        <v>159.0</v>
      </c>
      <c r="F53" s="4">
        <v>694.0</v>
      </c>
      <c r="G53" s="4">
        <v>1040.0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>
        <v>2020.0</v>
      </c>
      <c r="B54" s="5" t="s">
        <v>13</v>
      </c>
      <c r="C54" s="5" t="s">
        <v>16</v>
      </c>
      <c r="D54" s="4">
        <v>1.0</v>
      </c>
      <c r="E54" s="4">
        <v>0.0</v>
      </c>
      <c r="F54" s="4">
        <v>6.0</v>
      </c>
      <c r="G54" s="4">
        <v>7.0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>
        <v>2020.0</v>
      </c>
      <c r="B55" s="5" t="s">
        <v>13</v>
      </c>
      <c r="C55" s="5" t="s">
        <v>14</v>
      </c>
      <c r="D55" s="4">
        <v>872.0</v>
      </c>
      <c r="E55" s="4">
        <v>804.0</v>
      </c>
      <c r="F55" s="4">
        <v>2984.0</v>
      </c>
      <c r="G55" s="4">
        <v>4660.0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>
        <v>2020.0</v>
      </c>
      <c r="B56" s="5" t="s">
        <v>13</v>
      </c>
      <c r="C56" s="5" t="s">
        <v>17</v>
      </c>
      <c r="D56" s="4">
        <v>1.0</v>
      </c>
      <c r="E56" s="4">
        <v>2.0</v>
      </c>
      <c r="F56" s="4">
        <v>13.0</v>
      </c>
      <c r="G56" s="4">
        <v>16.0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>
        <v>2020.0</v>
      </c>
      <c r="B57" s="5" t="s">
        <v>13</v>
      </c>
      <c r="C57" s="5" t="s">
        <v>19</v>
      </c>
      <c r="D57" s="4">
        <v>11.0</v>
      </c>
      <c r="E57" s="4">
        <v>10.0</v>
      </c>
      <c r="F57" s="4">
        <v>54.0</v>
      </c>
      <c r="G57" s="4">
        <v>75.0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>
        <v>2020.0</v>
      </c>
      <c r="B58" s="5" t="s">
        <v>13</v>
      </c>
      <c r="C58" s="5" t="s">
        <v>20</v>
      </c>
      <c r="D58" s="4">
        <v>10.0</v>
      </c>
      <c r="E58" s="4">
        <v>7.0</v>
      </c>
      <c r="F58" s="4">
        <v>17.0</v>
      </c>
      <c r="G58" s="4">
        <v>34.0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>
        <v>2020.0</v>
      </c>
      <c r="B59" s="5" t="s">
        <v>13</v>
      </c>
      <c r="C59" s="5" t="s">
        <v>21</v>
      </c>
      <c r="D59" s="4">
        <v>0.0</v>
      </c>
      <c r="E59" s="4">
        <v>0.0</v>
      </c>
      <c r="F59" s="4">
        <v>1.0</v>
      </c>
      <c r="G59" s="4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2020.0</v>
      </c>
      <c r="B60" s="5" t="s">
        <v>13</v>
      </c>
      <c r="C60" s="5" t="s">
        <v>22</v>
      </c>
      <c r="D60" s="4">
        <v>3.0</v>
      </c>
      <c r="E60" s="4">
        <v>4.0</v>
      </c>
      <c r="F60" s="4">
        <v>17.0</v>
      </c>
      <c r="G60" s="4">
        <v>24.0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2020.0</v>
      </c>
      <c r="B61" s="5" t="s">
        <v>13</v>
      </c>
      <c r="C61" s="5" t="s">
        <v>23</v>
      </c>
      <c r="D61" s="4">
        <v>0.0</v>
      </c>
      <c r="E61" s="4">
        <v>0.0</v>
      </c>
      <c r="F61" s="4">
        <v>2.0</v>
      </c>
      <c r="G61" s="4">
        <v>2.0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>
        <v>2020.0</v>
      </c>
      <c r="B62" s="5" t="s">
        <v>30</v>
      </c>
      <c r="C62" s="5" t="s">
        <v>7</v>
      </c>
      <c r="D62" s="4">
        <v>1.0</v>
      </c>
      <c r="E62" s="4">
        <v>0.0</v>
      </c>
      <c r="F62" s="4">
        <v>1.0</v>
      </c>
      <c r="G62" s="4">
        <v>2.0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>
        <v>2020.0</v>
      </c>
      <c r="B63" s="5" t="s">
        <v>30</v>
      </c>
      <c r="C63" s="5" t="s">
        <v>33</v>
      </c>
      <c r="D63" s="4">
        <v>3.0</v>
      </c>
      <c r="E63" s="4">
        <v>4.0</v>
      </c>
      <c r="F63" s="4">
        <v>6.0</v>
      </c>
      <c r="G63" s="4">
        <v>13.0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>
        <v>2020.0</v>
      </c>
      <c r="B64" s="5" t="s">
        <v>30</v>
      </c>
      <c r="C64" s="5" t="s">
        <v>8</v>
      </c>
      <c r="D64" s="4">
        <v>0.0</v>
      </c>
      <c r="E64" s="4">
        <v>0.0</v>
      </c>
      <c r="F64" s="4">
        <v>0.0</v>
      </c>
      <c r="G64" s="4">
        <v>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>
        <v>2020.0</v>
      </c>
      <c r="B65" s="5" t="s">
        <v>30</v>
      </c>
      <c r="C65" s="5" t="s">
        <v>9</v>
      </c>
      <c r="D65" s="4">
        <v>1.0</v>
      </c>
      <c r="E65" s="4">
        <v>1.0</v>
      </c>
      <c r="F65" s="4">
        <v>11.0</v>
      </c>
      <c r="G65" s="4">
        <v>13.0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>
        <v>2020.0</v>
      </c>
      <c r="B66" s="5" t="s">
        <v>30</v>
      </c>
      <c r="C66" s="5" t="s">
        <v>10</v>
      </c>
      <c r="D66" s="4">
        <v>912.0</v>
      </c>
      <c r="E66" s="4">
        <v>784.0</v>
      </c>
      <c r="F66" s="4">
        <v>2814.0</v>
      </c>
      <c r="G66" s="4">
        <v>4510.0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>
        <v>2020.0</v>
      </c>
      <c r="B67" s="5" t="s">
        <v>30</v>
      </c>
      <c r="C67" s="5" t="s">
        <v>12</v>
      </c>
      <c r="D67" s="4">
        <v>2.0</v>
      </c>
      <c r="E67" s="4">
        <v>2.0</v>
      </c>
      <c r="F67" s="4">
        <v>14.0</v>
      </c>
      <c r="G67" s="4">
        <v>18.0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>
        <v>2020.0</v>
      </c>
      <c r="B68" s="5" t="s">
        <v>30</v>
      </c>
      <c r="C68" s="5" t="s">
        <v>15</v>
      </c>
      <c r="D68" s="4">
        <v>178.0</v>
      </c>
      <c r="E68" s="4">
        <v>151.0</v>
      </c>
      <c r="F68" s="4">
        <v>654.0</v>
      </c>
      <c r="G68" s="4">
        <v>983.0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>
        <v>2020.0</v>
      </c>
      <c r="B69" s="5" t="s">
        <v>30</v>
      </c>
      <c r="C69" s="5" t="s">
        <v>16</v>
      </c>
      <c r="D69" s="4">
        <v>1.0</v>
      </c>
      <c r="E69" s="4">
        <v>0.0</v>
      </c>
      <c r="F69" s="4">
        <v>5.0</v>
      </c>
      <c r="G69" s="4">
        <v>6.0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>
        <v>2020.0</v>
      </c>
      <c r="B70" s="5" t="s">
        <v>30</v>
      </c>
      <c r="C70" s="5" t="s">
        <v>14</v>
      </c>
      <c r="D70" s="4">
        <v>842.0</v>
      </c>
      <c r="E70" s="4">
        <v>771.0</v>
      </c>
      <c r="F70" s="4">
        <v>2884.0</v>
      </c>
      <c r="G70" s="4">
        <v>4497.0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>
        <v>2020.0</v>
      </c>
      <c r="B71" s="5" t="s">
        <v>30</v>
      </c>
      <c r="C71" s="5" t="s">
        <v>17</v>
      </c>
      <c r="D71" s="4">
        <v>1.0</v>
      </c>
      <c r="E71" s="4">
        <v>1.0</v>
      </c>
      <c r="F71" s="4">
        <v>11.0</v>
      </c>
      <c r="G71" s="4">
        <v>13.0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>
        <v>2020.0</v>
      </c>
      <c r="B72" s="5" t="s">
        <v>30</v>
      </c>
      <c r="C72" s="5" t="s">
        <v>19</v>
      </c>
      <c r="D72" s="4">
        <v>9.0</v>
      </c>
      <c r="E72" s="4">
        <v>9.0</v>
      </c>
      <c r="F72" s="4">
        <v>51.0</v>
      </c>
      <c r="G72" s="4">
        <v>69.0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>
        <v>2020.0</v>
      </c>
      <c r="B73" s="5" t="s">
        <v>30</v>
      </c>
      <c r="C73" s="5" t="s">
        <v>20</v>
      </c>
      <c r="D73" s="4">
        <v>9.0</v>
      </c>
      <c r="E73" s="4">
        <v>6.0</v>
      </c>
      <c r="F73" s="4">
        <v>16.0</v>
      </c>
      <c r="G73" s="4">
        <v>31.0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>
        <v>2020.0</v>
      </c>
      <c r="B74" s="5" t="s">
        <v>30</v>
      </c>
      <c r="C74" s="5" t="s">
        <v>21</v>
      </c>
      <c r="D74" s="4">
        <v>0.0</v>
      </c>
      <c r="E74" s="4">
        <v>0.0</v>
      </c>
      <c r="F74" s="4">
        <v>1.0</v>
      </c>
      <c r="G74" s="4">
        <v>1.0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>
        <v>2020.0</v>
      </c>
      <c r="B75" s="5" t="s">
        <v>30</v>
      </c>
      <c r="C75" s="5" t="s">
        <v>22</v>
      </c>
      <c r="D75" s="4">
        <v>2.0</v>
      </c>
      <c r="E75" s="4">
        <v>3.0</v>
      </c>
      <c r="F75" s="4">
        <v>15.0</v>
      </c>
      <c r="G75" s="4">
        <v>20.0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>
        <v>2020.0</v>
      </c>
      <c r="B76" s="5" t="s">
        <v>30</v>
      </c>
      <c r="C76" s="5" t="s">
        <v>23</v>
      </c>
      <c r="D76" s="4">
        <v>0.0</v>
      </c>
      <c r="E76" s="4">
        <v>0.0</v>
      </c>
      <c r="F76" s="4">
        <v>1.0</v>
      </c>
      <c r="G76" s="4">
        <v>1.0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>
        <v>2020.0</v>
      </c>
      <c r="B77" s="5" t="s">
        <v>28</v>
      </c>
      <c r="C77" s="5" t="s">
        <v>7</v>
      </c>
      <c r="D77" s="4">
        <v>2.0</v>
      </c>
      <c r="E77" s="4">
        <v>1.0</v>
      </c>
      <c r="F77" s="4">
        <v>3.0</v>
      </c>
      <c r="G77" s="4">
        <v>6.0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>
        <v>2020.0</v>
      </c>
      <c r="B78" s="5" t="s">
        <v>28</v>
      </c>
      <c r="C78" s="5" t="s">
        <v>33</v>
      </c>
      <c r="D78" s="4">
        <v>4.0</v>
      </c>
      <c r="E78" s="4">
        <v>4.0</v>
      </c>
      <c r="F78" s="4">
        <v>8.0</v>
      </c>
      <c r="G78" s="4">
        <v>16.0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>
        <v>2020.0</v>
      </c>
      <c r="B79" s="5" t="s">
        <v>28</v>
      </c>
      <c r="C79" s="5" t="s">
        <v>8</v>
      </c>
      <c r="D79" s="4">
        <v>0.0</v>
      </c>
      <c r="E79" s="4">
        <v>0.0</v>
      </c>
      <c r="F79" s="4">
        <v>0.0</v>
      </c>
      <c r="G79" s="4">
        <v>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>
        <v>2020.0</v>
      </c>
      <c r="B80" s="5" t="s">
        <v>28</v>
      </c>
      <c r="C80" s="5" t="s">
        <v>9</v>
      </c>
      <c r="D80" s="4">
        <v>2.0</v>
      </c>
      <c r="E80" s="4">
        <v>2.0</v>
      </c>
      <c r="F80" s="4">
        <v>13.0</v>
      </c>
      <c r="G80" s="4">
        <v>17.0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>
        <v>2020.0</v>
      </c>
      <c r="B81" s="5" t="s">
        <v>28</v>
      </c>
      <c r="C81" s="5" t="s">
        <v>10</v>
      </c>
      <c r="D81" s="4">
        <v>1014.0</v>
      </c>
      <c r="E81" s="4">
        <v>864.0</v>
      </c>
      <c r="F81" s="4">
        <v>3118.0</v>
      </c>
      <c r="G81" s="4">
        <v>4996.0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>
        <v>2020.0</v>
      </c>
      <c r="B82" s="5" t="s">
        <v>28</v>
      </c>
      <c r="C82" s="5" t="s">
        <v>12</v>
      </c>
      <c r="D82" s="4">
        <v>3.0</v>
      </c>
      <c r="E82" s="4">
        <v>2.0</v>
      </c>
      <c r="F82" s="4">
        <v>18.0</v>
      </c>
      <c r="G82" s="4">
        <v>23.0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>
        <v>2020.0</v>
      </c>
      <c r="B83" s="5" t="s">
        <v>28</v>
      </c>
      <c r="C83" s="5" t="s">
        <v>15</v>
      </c>
      <c r="D83" s="4">
        <v>198.0</v>
      </c>
      <c r="E83" s="4">
        <v>168.0</v>
      </c>
      <c r="F83" s="4">
        <v>724.0</v>
      </c>
      <c r="G83" s="4">
        <v>1090.0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>
        <v>2020.0</v>
      </c>
      <c r="B84" s="5" t="s">
        <v>28</v>
      </c>
      <c r="C84" s="5" t="s">
        <v>16</v>
      </c>
      <c r="D84" s="4">
        <v>1.0</v>
      </c>
      <c r="E84" s="4">
        <v>1.0</v>
      </c>
      <c r="F84" s="4">
        <v>7.0</v>
      </c>
      <c r="G84" s="4">
        <v>9.0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>
        <v>2020.0</v>
      </c>
      <c r="B85" s="5" t="s">
        <v>28</v>
      </c>
      <c r="C85" s="5" t="s">
        <v>14</v>
      </c>
      <c r="D85" s="4">
        <v>948.0</v>
      </c>
      <c r="E85" s="4">
        <v>852.0</v>
      </c>
      <c r="F85" s="4">
        <v>3214.0</v>
      </c>
      <c r="G85" s="4">
        <v>5014.0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>
        <v>2020.0</v>
      </c>
      <c r="B86" s="5" t="s">
        <v>28</v>
      </c>
      <c r="C86" s="5" t="s">
        <v>17</v>
      </c>
      <c r="D86" s="4">
        <v>1.0</v>
      </c>
      <c r="E86" s="4">
        <v>2.0</v>
      </c>
      <c r="F86" s="4">
        <v>13.0</v>
      </c>
      <c r="G86" s="4">
        <v>16.0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>
        <v>2020.0</v>
      </c>
      <c r="B87" s="5" t="s">
        <v>28</v>
      </c>
      <c r="C87" s="5" t="s">
        <v>19</v>
      </c>
      <c r="D87" s="4">
        <v>11.0</v>
      </c>
      <c r="E87" s="4">
        <v>11.0</v>
      </c>
      <c r="F87" s="4">
        <v>62.0</v>
      </c>
      <c r="G87" s="4">
        <v>84.0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>
        <v>2020.0</v>
      </c>
      <c r="B88" s="5" t="s">
        <v>28</v>
      </c>
      <c r="C88" s="5" t="s">
        <v>20</v>
      </c>
      <c r="D88" s="4">
        <v>10.0</v>
      </c>
      <c r="E88" s="4">
        <v>7.0</v>
      </c>
      <c r="F88" s="4">
        <v>19.0</v>
      </c>
      <c r="G88" s="4">
        <v>36.0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>
        <v>2020.0</v>
      </c>
      <c r="B89" s="5" t="s">
        <v>28</v>
      </c>
      <c r="C89" s="5" t="s">
        <v>21</v>
      </c>
      <c r="D89" s="4">
        <v>1.0</v>
      </c>
      <c r="E89" s="4">
        <v>0.0</v>
      </c>
      <c r="F89" s="4">
        <v>1.0</v>
      </c>
      <c r="G89" s="4">
        <v>2.0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>
        <v>2020.0</v>
      </c>
      <c r="B90" s="5" t="s">
        <v>28</v>
      </c>
      <c r="C90" s="5" t="s">
        <v>22</v>
      </c>
      <c r="D90" s="4">
        <v>3.0</v>
      </c>
      <c r="E90" s="4">
        <v>4.0</v>
      </c>
      <c r="F90" s="4">
        <v>18.0</v>
      </c>
      <c r="G90" s="4">
        <v>25.0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>
        <v>2020.0</v>
      </c>
      <c r="B91" s="5" t="s">
        <v>28</v>
      </c>
      <c r="C91" s="5" t="s">
        <v>23</v>
      </c>
      <c r="D91" s="4">
        <v>0.0</v>
      </c>
      <c r="E91" s="4">
        <v>1.0</v>
      </c>
      <c r="F91" s="4">
        <v>2.0</v>
      </c>
      <c r="G91" s="4">
        <v>3.0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>
        <v>2020.0</v>
      </c>
      <c r="B92" s="5" t="s">
        <v>31</v>
      </c>
      <c r="C92" s="5" t="s">
        <v>7</v>
      </c>
      <c r="D92" s="4">
        <v>1.0</v>
      </c>
      <c r="E92" s="4">
        <v>0.0</v>
      </c>
      <c r="F92" s="4">
        <v>2.0</v>
      </c>
      <c r="G92" s="4">
        <v>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>
        <v>2020.0</v>
      </c>
      <c r="B93" s="5" t="s">
        <v>31</v>
      </c>
      <c r="C93" s="5" t="s">
        <v>33</v>
      </c>
      <c r="D93" s="4">
        <v>3.0</v>
      </c>
      <c r="E93" s="4">
        <v>3.0</v>
      </c>
      <c r="F93" s="4">
        <v>6.0</v>
      </c>
      <c r="G93" s="4">
        <v>12.0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>
        <v>2020.0</v>
      </c>
      <c r="B94" s="5" t="s">
        <v>31</v>
      </c>
      <c r="C94" s="5" t="s">
        <v>8</v>
      </c>
      <c r="D94" s="4">
        <v>0.0</v>
      </c>
      <c r="E94" s="4">
        <v>0.0</v>
      </c>
      <c r="F94" s="4">
        <v>0.0</v>
      </c>
      <c r="G94" s="4">
        <v>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>
        <v>2020.0</v>
      </c>
      <c r="B95" s="5" t="s">
        <v>31</v>
      </c>
      <c r="C95" s="5" t="s">
        <v>9</v>
      </c>
      <c r="D95" s="4">
        <v>1.0</v>
      </c>
      <c r="E95" s="4">
        <v>2.0</v>
      </c>
      <c r="F95" s="4">
        <v>11.0</v>
      </c>
      <c r="G95" s="4">
        <v>14.0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>
        <v>2020.0</v>
      </c>
      <c r="B96" s="5" t="s">
        <v>31</v>
      </c>
      <c r="C96" s="5" t="s">
        <v>10</v>
      </c>
      <c r="D96" s="4">
        <v>842.0</v>
      </c>
      <c r="E96" s="4">
        <v>741.0</v>
      </c>
      <c r="F96" s="4">
        <v>2831.0</v>
      </c>
      <c r="G96" s="4">
        <v>4414.0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>
        <v>2020.0</v>
      </c>
      <c r="B97" s="5" t="s">
        <v>31</v>
      </c>
      <c r="C97" s="5" t="s">
        <v>12</v>
      </c>
      <c r="D97" s="4">
        <v>2.0</v>
      </c>
      <c r="E97" s="4">
        <v>2.0</v>
      </c>
      <c r="F97" s="4">
        <v>15.0</v>
      </c>
      <c r="G97" s="4">
        <v>19.0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>
        <v>2020.0</v>
      </c>
      <c r="B98" s="5" t="s">
        <v>31</v>
      </c>
      <c r="C98" s="5" t="s">
        <v>15</v>
      </c>
      <c r="D98" s="4">
        <v>172.0</v>
      </c>
      <c r="E98" s="4">
        <v>151.0</v>
      </c>
      <c r="F98" s="4">
        <v>649.0</v>
      </c>
      <c r="G98" s="4">
        <v>972.0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>
        <v>2020.0</v>
      </c>
      <c r="B99" s="5" t="s">
        <v>31</v>
      </c>
      <c r="C99" s="5" t="s">
        <v>16</v>
      </c>
      <c r="D99" s="4">
        <v>1.0</v>
      </c>
      <c r="E99" s="4">
        <v>0.0</v>
      </c>
      <c r="F99" s="4">
        <v>5.0</v>
      </c>
      <c r="G99" s="4">
        <v>6.0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>
        <v>2020.0</v>
      </c>
      <c r="B100" s="5" t="s">
        <v>31</v>
      </c>
      <c r="C100" s="5" t="s">
        <v>14</v>
      </c>
      <c r="D100" s="4">
        <v>811.0</v>
      </c>
      <c r="E100" s="4">
        <v>743.0</v>
      </c>
      <c r="F100" s="4">
        <v>2894.0</v>
      </c>
      <c r="G100" s="4">
        <v>4448.0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>
        <v>2020.0</v>
      </c>
      <c r="B101" s="5" t="s">
        <v>31</v>
      </c>
      <c r="C101" s="5" t="s">
        <v>17</v>
      </c>
      <c r="D101" s="4">
        <v>1.0</v>
      </c>
      <c r="E101" s="4">
        <v>2.0</v>
      </c>
      <c r="F101" s="4">
        <v>12.0</v>
      </c>
      <c r="G101" s="4">
        <v>15.0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>
        <v>2020.0</v>
      </c>
      <c r="B102" s="5" t="s">
        <v>31</v>
      </c>
      <c r="C102" s="5" t="s">
        <v>19</v>
      </c>
      <c r="D102" s="4">
        <v>9.0</v>
      </c>
      <c r="E102" s="4">
        <v>9.0</v>
      </c>
      <c r="F102" s="4">
        <v>51.0</v>
      </c>
      <c r="G102" s="4">
        <v>69.0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>
        <v>2020.0</v>
      </c>
      <c r="B103" s="5" t="s">
        <v>31</v>
      </c>
      <c r="C103" s="5" t="s">
        <v>20</v>
      </c>
      <c r="D103" s="4">
        <v>9.0</v>
      </c>
      <c r="E103" s="4">
        <v>6.0</v>
      </c>
      <c r="F103" s="4">
        <v>17.0</v>
      </c>
      <c r="G103" s="4">
        <v>32.0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>
        <v>2020.0</v>
      </c>
      <c r="B104" s="5" t="s">
        <v>31</v>
      </c>
      <c r="C104" s="5" t="s">
        <v>21</v>
      </c>
      <c r="D104" s="4">
        <v>0.0</v>
      </c>
      <c r="E104" s="4">
        <v>0.0</v>
      </c>
      <c r="F104" s="4">
        <v>1.0</v>
      </c>
      <c r="G104" s="4">
        <v>1.0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>
        <v>2020.0</v>
      </c>
      <c r="B105" s="5" t="s">
        <v>31</v>
      </c>
      <c r="C105" s="5" t="s">
        <v>22</v>
      </c>
      <c r="D105" s="4">
        <v>3.0</v>
      </c>
      <c r="E105" s="4">
        <v>4.0</v>
      </c>
      <c r="F105" s="4">
        <v>16.0</v>
      </c>
      <c r="G105" s="4">
        <v>23.0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>
        <v>2020.0</v>
      </c>
      <c r="B106" s="5" t="s">
        <v>31</v>
      </c>
      <c r="C106" s="5" t="s">
        <v>23</v>
      </c>
      <c r="D106" s="4">
        <v>0.0</v>
      </c>
      <c r="E106" s="4">
        <v>0.0</v>
      </c>
      <c r="F106" s="4">
        <v>2.0</v>
      </c>
      <c r="G106" s="4">
        <v>2.0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>
        <v>2020.0</v>
      </c>
      <c r="B107" s="5" t="s">
        <v>32</v>
      </c>
      <c r="C107" s="5" t="s">
        <v>7</v>
      </c>
      <c r="D107" s="4">
        <v>2.0</v>
      </c>
      <c r="E107" s="4">
        <v>0.0</v>
      </c>
      <c r="F107" s="4">
        <v>1.0</v>
      </c>
      <c r="G107" s="4">
        <v>3.0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>
        <v>2020.0</v>
      </c>
      <c r="B108" s="5" t="s">
        <v>32</v>
      </c>
      <c r="C108" s="5" t="s">
        <v>33</v>
      </c>
      <c r="D108" s="4">
        <v>3.0</v>
      </c>
      <c r="E108" s="4">
        <v>4.0</v>
      </c>
      <c r="F108" s="4">
        <v>7.0</v>
      </c>
      <c r="G108" s="4">
        <v>14.0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>
        <v>2020.0</v>
      </c>
      <c r="B109" s="5" t="s">
        <v>32</v>
      </c>
      <c r="C109" s="5" t="s">
        <v>8</v>
      </c>
      <c r="D109" s="4">
        <v>0.0</v>
      </c>
      <c r="E109" s="4">
        <v>0.0</v>
      </c>
      <c r="F109" s="4">
        <v>0.0</v>
      </c>
      <c r="G109" s="4">
        <v>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>
        <v>2020.0</v>
      </c>
      <c r="B110" s="5" t="s">
        <v>32</v>
      </c>
      <c r="C110" s="5" t="s">
        <v>9</v>
      </c>
      <c r="D110" s="4">
        <v>2.0</v>
      </c>
      <c r="E110" s="4">
        <v>3.0</v>
      </c>
      <c r="F110" s="4">
        <v>12.0</v>
      </c>
      <c r="G110" s="4">
        <v>17.0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>
        <v>2020.0</v>
      </c>
      <c r="B111" s="5" t="s">
        <v>32</v>
      </c>
      <c r="C111" s="5" t="s">
        <v>10</v>
      </c>
      <c r="D111" s="4">
        <v>913.0</v>
      </c>
      <c r="E111" s="4">
        <v>805.0</v>
      </c>
      <c r="F111" s="4">
        <v>2914.0</v>
      </c>
      <c r="G111" s="4">
        <v>4632.0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>
        <v>2020.0</v>
      </c>
      <c r="B112" s="5" t="s">
        <v>32</v>
      </c>
      <c r="C112" s="5" t="s">
        <v>12</v>
      </c>
      <c r="D112" s="4">
        <v>3.0</v>
      </c>
      <c r="E112" s="4">
        <v>2.0</v>
      </c>
      <c r="F112" s="4">
        <v>17.0</v>
      </c>
      <c r="G112" s="4">
        <v>22.0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>
        <v>2020.0</v>
      </c>
      <c r="B113" s="5" t="s">
        <v>32</v>
      </c>
      <c r="C113" s="5" t="s">
        <v>15</v>
      </c>
      <c r="D113" s="4">
        <v>191.0</v>
      </c>
      <c r="E113" s="4">
        <v>168.0</v>
      </c>
      <c r="F113" s="4">
        <v>702.0</v>
      </c>
      <c r="G113" s="4">
        <v>1061.0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>
        <v>2020.0</v>
      </c>
      <c r="B114" s="5" t="s">
        <v>32</v>
      </c>
      <c r="C114" s="5" t="s">
        <v>16</v>
      </c>
      <c r="D114" s="4">
        <v>1.0</v>
      </c>
      <c r="E114" s="4">
        <v>0.0</v>
      </c>
      <c r="F114" s="4">
        <v>6.0</v>
      </c>
      <c r="G114" s="4">
        <v>7.0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>
        <v>2020.0</v>
      </c>
      <c r="B115" s="5" t="s">
        <v>32</v>
      </c>
      <c r="C115" s="5" t="s">
        <v>14</v>
      </c>
      <c r="D115" s="4">
        <v>884.0</v>
      </c>
      <c r="E115" s="4">
        <v>812.0</v>
      </c>
      <c r="F115" s="4">
        <v>3012.0</v>
      </c>
      <c r="G115" s="4">
        <v>4708.0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>
        <v>2020.0</v>
      </c>
      <c r="B116" s="5" t="s">
        <v>32</v>
      </c>
      <c r="C116" s="5" t="s">
        <v>17</v>
      </c>
      <c r="D116" s="4">
        <v>1.0</v>
      </c>
      <c r="E116" s="4">
        <v>2.0</v>
      </c>
      <c r="F116" s="4">
        <v>13.0</v>
      </c>
      <c r="G116" s="4">
        <v>16.0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>
        <v>2020.0</v>
      </c>
      <c r="B117" s="5" t="s">
        <v>32</v>
      </c>
      <c r="C117" s="5" t="s">
        <v>19</v>
      </c>
      <c r="D117" s="4">
        <v>11.0</v>
      </c>
      <c r="E117" s="4">
        <v>10.0</v>
      </c>
      <c r="F117" s="4">
        <v>56.0</v>
      </c>
      <c r="G117" s="4">
        <v>77.0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>
        <v>2020.0</v>
      </c>
      <c r="B118" s="5" t="s">
        <v>32</v>
      </c>
      <c r="C118" s="5" t="s">
        <v>20</v>
      </c>
      <c r="D118" s="4">
        <v>10.0</v>
      </c>
      <c r="E118" s="4">
        <v>7.0</v>
      </c>
      <c r="F118" s="4">
        <v>18.0</v>
      </c>
      <c r="G118" s="4">
        <v>35.0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>
        <v>2020.0</v>
      </c>
      <c r="B119" s="5" t="s">
        <v>32</v>
      </c>
      <c r="C119" s="5" t="s">
        <v>21</v>
      </c>
      <c r="D119" s="4">
        <v>0.0</v>
      </c>
      <c r="E119" s="4">
        <v>0.0</v>
      </c>
      <c r="F119" s="4">
        <v>1.0</v>
      </c>
      <c r="G119" s="4">
        <v>1.0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>
        <v>2020.0</v>
      </c>
      <c r="B120" s="5" t="s">
        <v>32</v>
      </c>
      <c r="C120" s="5" t="s">
        <v>22</v>
      </c>
      <c r="D120" s="4">
        <v>3.0</v>
      </c>
      <c r="E120" s="4">
        <v>4.0</v>
      </c>
      <c r="F120" s="4">
        <v>18.0</v>
      </c>
      <c r="G120" s="4">
        <v>25.0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>
        <v>2020.0</v>
      </c>
      <c r="B121" s="5" t="s">
        <v>32</v>
      </c>
      <c r="C121" s="5" t="s">
        <v>23</v>
      </c>
      <c r="D121" s="4">
        <v>0.0</v>
      </c>
      <c r="E121" s="4">
        <v>0.0</v>
      </c>
      <c r="F121" s="4">
        <v>2.0</v>
      </c>
      <c r="G121" s="4">
        <v>2.0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>
        <v>2020.0</v>
      </c>
      <c r="B122" s="5" t="s">
        <v>18</v>
      </c>
      <c r="C122" s="5" t="s">
        <v>7</v>
      </c>
      <c r="D122" s="4">
        <v>1.0</v>
      </c>
      <c r="E122" s="4">
        <v>1.0</v>
      </c>
      <c r="F122" s="4">
        <v>2.0</v>
      </c>
      <c r="G122" s="4">
        <v>4.0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>
        <v>2020.0</v>
      </c>
      <c r="B123" s="5" t="s">
        <v>18</v>
      </c>
      <c r="C123" s="5" t="s">
        <v>33</v>
      </c>
      <c r="D123" s="4">
        <v>3.0</v>
      </c>
      <c r="E123" s="4">
        <v>3.0</v>
      </c>
      <c r="F123" s="4">
        <v>6.0</v>
      </c>
      <c r="G123" s="4">
        <v>12.0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>
        <v>2020.0</v>
      </c>
      <c r="B124" s="5" t="s">
        <v>18</v>
      </c>
      <c r="C124" s="5" t="s">
        <v>8</v>
      </c>
      <c r="D124" s="4">
        <v>0.0</v>
      </c>
      <c r="E124" s="4">
        <v>0.0</v>
      </c>
      <c r="F124" s="4">
        <v>0.0</v>
      </c>
      <c r="G124" s="4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>
        <v>2020.0</v>
      </c>
      <c r="B125" s="5" t="s">
        <v>18</v>
      </c>
      <c r="C125" s="5" t="s">
        <v>9</v>
      </c>
      <c r="D125" s="4">
        <v>2.0</v>
      </c>
      <c r="E125" s="4">
        <v>2.0</v>
      </c>
      <c r="F125" s="4">
        <v>12.0</v>
      </c>
      <c r="G125" s="4">
        <v>16.0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>
        <v>2020.0</v>
      </c>
      <c r="B126" s="5" t="s">
        <v>18</v>
      </c>
      <c r="C126" s="5" t="s">
        <v>10</v>
      </c>
      <c r="D126" s="4">
        <v>948.0</v>
      </c>
      <c r="E126" s="4">
        <v>812.0</v>
      </c>
      <c r="F126" s="4">
        <v>2914.0</v>
      </c>
      <c r="G126" s="4">
        <v>4674.0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>
        <v>2020.0</v>
      </c>
      <c r="B127" s="5" t="s">
        <v>18</v>
      </c>
      <c r="C127" s="5" t="s">
        <v>12</v>
      </c>
      <c r="D127" s="4">
        <v>3.0</v>
      </c>
      <c r="E127" s="4">
        <v>2.0</v>
      </c>
      <c r="F127" s="4">
        <v>16.0</v>
      </c>
      <c r="G127" s="4">
        <v>21.0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>
        <v>2020.0</v>
      </c>
      <c r="B128" s="5" t="s">
        <v>18</v>
      </c>
      <c r="C128" s="5" t="s">
        <v>15</v>
      </c>
      <c r="D128" s="4">
        <v>187.0</v>
      </c>
      <c r="E128" s="4">
        <v>159.0</v>
      </c>
      <c r="F128" s="4">
        <v>694.0</v>
      </c>
      <c r="G128" s="4">
        <v>1040.0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>
        <v>2020.0</v>
      </c>
      <c r="B129" s="5" t="s">
        <v>18</v>
      </c>
      <c r="C129" s="5" t="s">
        <v>16</v>
      </c>
      <c r="D129" s="4">
        <v>1.0</v>
      </c>
      <c r="E129" s="4">
        <v>0.0</v>
      </c>
      <c r="F129" s="4">
        <v>6.0</v>
      </c>
      <c r="G129" s="4">
        <v>7.0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>
        <v>2020.0</v>
      </c>
      <c r="B130" s="5" t="s">
        <v>18</v>
      </c>
      <c r="C130" s="5" t="s">
        <v>14</v>
      </c>
      <c r="D130" s="4">
        <v>872.0</v>
      </c>
      <c r="E130" s="4">
        <v>804.0</v>
      </c>
      <c r="F130" s="4">
        <v>2984.0</v>
      </c>
      <c r="G130" s="4">
        <v>4660.0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>
        <v>2020.0</v>
      </c>
      <c r="B131" s="5" t="s">
        <v>18</v>
      </c>
      <c r="C131" s="5" t="s">
        <v>17</v>
      </c>
      <c r="D131" s="4">
        <v>1.0</v>
      </c>
      <c r="E131" s="4">
        <v>2.0</v>
      </c>
      <c r="F131" s="4">
        <v>13.0</v>
      </c>
      <c r="G131" s="4">
        <v>16.0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>
        <v>2020.0</v>
      </c>
      <c r="B132" s="5" t="s">
        <v>18</v>
      </c>
      <c r="C132" s="5" t="s">
        <v>19</v>
      </c>
      <c r="D132" s="4">
        <v>11.0</v>
      </c>
      <c r="E132" s="4">
        <v>10.0</v>
      </c>
      <c r="F132" s="4">
        <v>54.0</v>
      </c>
      <c r="G132" s="4">
        <v>75.0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>
        <v>2020.0</v>
      </c>
      <c r="B133" s="5" t="s">
        <v>18</v>
      </c>
      <c r="C133" s="5" t="s">
        <v>20</v>
      </c>
      <c r="D133" s="4">
        <v>10.0</v>
      </c>
      <c r="E133" s="4">
        <v>7.0</v>
      </c>
      <c r="F133" s="4">
        <v>17.0</v>
      </c>
      <c r="G133" s="4">
        <v>34.0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>
        <v>2020.0</v>
      </c>
      <c r="B134" s="5" t="s">
        <v>18</v>
      </c>
      <c r="C134" s="5" t="s">
        <v>21</v>
      </c>
      <c r="D134" s="4">
        <v>0.0</v>
      </c>
      <c r="E134" s="4">
        <v>0.0</v>
      </c>
      <c r="F134" s="4">
        <v>1.0</v>
      </c>
      <c r="G134" s="4">
        <v>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>
        <v>2020.0</v>
      </c>
      <c r="B135" s="5" t="s">
        <v>18</v>
      </c>
      <c r="C135" s="5" t="s">
        <v>22</v>
      </c>
      <c r="D135" s="4">
        <v>3.0</v>
      </c>
      <c r="E135" s="4">
        <v>4.0</v>
      </c>
      <c r="F135" s="4">
        <v>17.0</v>
      </c>
      <c r="G135" s="4">
        <v>24.0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>
        <v>2020.0</v>
      </c>
      <c r="B136" s="5" t="s">
        <v>18</v>
      </c>
      <c r="C136" s="5" t="s">
        <v>23</v>
      </c>
      <c r="D136" s="4">
        <v>0.0</v>
      </c>
      <c r="E136" s="4">
        <v>0.0</v>
      </c>
      <c r="F136" s="4">
        <v>2.0</v>
      </c>
      <c r="G136" s="4">
        <v>2.0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>
        <v>2020.0</v>
      </c>
      <c r="B137" s="5" t="s">
        <v>25</v>
      </c>
      <c r="C137" s="5" t="s">
        <v>7</v>
      </c>
      <c r="D137" s="4">
        <v>1.0</v>
      </c>
      <c r="E137" s="4">
        <v>0.0</v>
      </c>
      <c r="F137" s="4">
        <v>2.0</v>
      </c>
      <c r="G137" s="4">
        <v>3.0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>
        <v>2020.0</v>
      </c>
      <c r="B138" s="5" t="s">
        <v>25</v>
      </c>
      <c r="C138" s="5" t="s">
        <v>33</v>
      </c>
      <c r="D138" s="4">
        <v>4.0</v>
      </c>
      <c r="E138" s="4">
        <v>4.0</v>
      </c>
      <c r="F138" s="4">
        <v>8.0</v>
      </c>
      <c r="G138" s="4">
        <v>16.0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>
        <v>2020.0</v>
      </c>
      <c r="B139" s="5" t="s">
        <v>25</v>
      </c>
      <c r="C139" s="5" t="s">
        <v>8</v>
      </c>
      <c r="D139" s="4">
        <v>0.0</v>
      </c>
      <c r="E139" s="4">
        <v>0.0</v>
      </c>
      <c r="F139" s="4">
        <v>0.0</v>
      </c>
      <c r="G139" s="4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>
        <v>2020.0</v>
      </c>
      <c r="B140" s="5" t="s">
        <v>25</v>
      </c>
      <c r="C140" s="5" t="s">
        <v>9</v>
      </c>
      <c r="D140" s="4">
        <v>1.0</v>
      </c>
      <c r="E140" s="4">
        <v>1.0</v>
      </c>
      <c r="F140" s="4">
        <v>11.0</v>
      </c>
      <c r="G140" s="4">
        <v>13.0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>
        <v>2020.0</v>
      </c>
      <c r="B141" s="5" t="s">
        <v>25</v>
      </c>
      <c r="C141" s="5" t="s">
        <v>10</v>
      </c>
      <c r="D141" s="4">
        <v>912.0</v>
      </c>
      <c r="E141" s="4">
        <v>784.0</v>
      </c>
      <c r="F141" s="4">
        <v>2814.0</v>
      </c>
      <c r="G141" s="4">
        <v>4510.0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>
        <v>2020.0</v>
      </c>
      <c r="B142" s="5" t="s">
        <v>25</v>
      </c>
      <c r="C142" s="5" t="s">
        <v>12</v>
      </c>
      <c r="D142" s="4">
        <v>2.0</v>
      </c>
      <c r="E142" s="4">
        <v>2.0</v>
      </c>
      <c r="F142" s="4">
        <v>14.0</v>
      </c>
      <c r="G142" s="4">
        <v>18.0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>
        <v>2020.0</v>
      </c>
      <c r="B143" s="5" t="s">
        <v>25</v>
      </c>
      <c r="C143" s="5" t="s">
        <v>15</v>
      </c>
      <c r="D143" s="4">
        <v>178.0</v>
      </c>
      <c r="E143" s="4">
        <v>151.0</v>
      </c>
      <c r="F143" s="4">
        <v>654.0</v>
      </c>
      <c r="G143" s="4">
        <v>983.0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>
        <v>2020.0</v>
      </c>
      <c r="B144" s="5" t="s">
        <v>25</v>
      </c>
      <c r="C144" s="5" t="s">
        <v>16</v>
      </c>
      <c r="D144" s="4">
        <v>1.0</v>
      </c>
      <c r="E144" s="4">
        <v>0.0</v>
      </c>
      <c r="F144" s="4">
        <v>5.0</v>
      </c>
      <c r="G144" s="4">
        <v>6.0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>
        <v>2020.0</v>
      </c>
      <c r="B145" s="5" t="s">
        <v>25</v>
      </c>
      <c r="C145" s="5" t="s">
        <v>14</v>
      </c>
      <c r="D145" s="4">
        <v>842.0</v>
      </c>
      <c r="E145" s="4">
        <v>771.0</v>
      </c>
      <c r="F145" s="4">
        <v>2884.0</v>
      </c>
      <c r="G145" s="4">
        <v>4497.0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>
        <v>2020.0</v>
      </c>
      <c r="B146" s="5" t="s">
        <v>25</v>
      </c>
      <c r="C146" s="5" t="s">
        <v>17</v>
      </c>
      <c r="D146" s="4">
        <v>1.0</v>
      </c>
      <c r="E146" s="4">
        <v>1.0</v>
      </c>
      <c r="F146" s="4">
        <v>11.0</v>
      </c>
      <c r="G146" s="4">
        <v>13.0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>
        <v>2020.0</v>
      </c>
      <c r="B147" s="5" t="s">
        <v>25</v>
      </c>
      <c r="C147" s="5" t="s">
        <v>19</v>
      </c>
      <c r="D147" s="4">
        <v>9.0</v>
      </c>
      <c r="E147" s="4">
        <v>9.0</v>
      </c>
      <c r="F147" s="4">
        <v>51.0</v>
      </c>
      <c r="G147" s="4">
        <v>69.0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>
        <v>2020.0</v>
      </c>
      <c r="B148" s="5" t="s">
        <v>25</v>
      </c>
      <c r="C148" s="5" t="s">
        <v>20</v>
      </c>
      <c r="D148" s="4">
        <v>9.0</v>
      </c>
      <c r="E148" s="4">
        <v>6.0</v>
      </c>
      <c r="F148" s="4">
        <v>16.0</v>
      </c>
      <c r="G148" s="4">
        <v>31.0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>
        <v>2020.0</v>
      </c>
      <c r="B149" s="5" t="s">
        <v>25</v>
      </c>
      <c r="C149" s="5" t="s">
        <v>21</v>
      </c>
      <c r="D149" s="4">
        <v>0.0</v>
      </c>
      <c r="E149" s="4">
        <v>0.0</v>
      </c>
      <c r="F149" s="4">
        <v>1.0</v>
      </c>
      <c r="G149" s="4">
        <v>1.0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>
        <v>2020.0</v>
      </c>
      <c r="B150" s="5" t="s">
        <v>25</v>
      </c>
      <c r="C150" s="5" t="s">
        <v>22</v>
      </c>
      <c r="D150" s="4">
        <v>2.0</v>
      </c>
      <c r="E150" s="4">
        <v>3.0</v>
      </c>
      <c r="F150" s="4">
        <v>15.0</v>
      </c>
      <c r="G150" s="4">
        <v>20.0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>
        <v>2020.0</v>
      </c>
      <c r="B151" s="5" t="s">
        <v>25</v>
      </c>
      <c r="C151" s="5" t="s">
        <v>23</v>
      </c>
      <c r="D151" s="4">
        <v>0.0</v>
      </c>
      <c r="E151" s="4">
        <v>0.0</v>
      </c>
      <c r="F151" s="4">
        <v>1.0</v>
      </c>
      <c r="G151" s="4">
        <v>1.0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>
        <v>2020.0</v>
      </c>
      <c r="B152" s="5" t="s">
        <v>27</v>
      </c>
      <c r="C152" s="5" t="s">
        <v>7</v>
      </c>
      <c r="D152" s="4">
        <v>1.0</v>
      </c>
      <c r="E152" s="4">
        <v>0.0</v>
      </c>
      <c r="F152" s="4">
        <v>2.0</v>
      </c>
      <c r="G152" s="4">
        <v>3.0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>
        <v>2020.0</v>
      </c>
      <c r="B153" s="5" t="s">
        <v>27</v>
      </c>
      <c r="C153" s="5" t="s">
        <v>33</v>
      </c>
      <c r="D153" s="4">
        <v>3.0</v>
      </c>
      <c r="E153" s="4">
        <v>3.0</v>
      </c>
      <c r="F153" s="4">
        <v>6.0</v>
      </c>
      <c r="G153" s="4">
        <v>12.0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>
        <v>2020.0</v>
      </c>
      <c r="B154" s="5" t="s">
        <v>27</v>
      </c>
      <c r="C154" s="5" t="s">
        <v>8</v>
      </c>
      <c r="D154" s="4">
        <v>0.0</v>
      </c>
      <c r="E154" s="4">
        <v>0.0</v>
      </c>
      <c r="F154" s="4">
        <v>0.0</v>
      </c>
      <c r="G154" s="4">
        <v>0.0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>
        <v>2020.0</v>
      </c>
      <c r="B155" s="5" t="s">
        <v>27</v>
      </c>
      <c r="C155" s="5" t="s">
        <v>9</v>
      </c>
      <c r="D155" s="4">
        <v>2.0</v>
      </c>
      <c r="E155" s="4">
        <v>2.0</v>
      </c>
      <c r="F155" s="4">
        <v>12.0</v>
      </c>
      <c r="G155" s="4">
        <v>16.0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>
        <v>2020.0</v>
      </c>
      <c r="B156" s="5" t="s">
        <v>27</v>
      </c>
      <c r="C156" s="5" t="s">
        <v>10</v>
      </c>
      <c r="D156" s="4">
        <v>948.0</v>
      </c>
      <c r="E156" s="4">
        <v>812.0</v>
      </c>
      <c r="F156" s="4">
        <v>2914.0</v>
      </c>
      <c r="G156" s="4">
        <v>4674.0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>
        <v>2020.0</v>
      </c>
      <c r="B157" s="5" t="s">
        <v>27</v>
      </c>
      <c r="C157" s="5" t="s">
        <v>12</v>
      </c>
      <c r="D157" s="4">
        <v>3.0</v>
      </c>
      <c r="E157" s="4">
        <v>2.0</v>
      </c>
      <c r="F157" s="4">
        <v>16.0</v>
      </c>
      <c r="G157" s="4">
        <v>21.0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>
        <v>2020.0</v>
      </c>
      <c r="B158" s="5" t="s">
        <v>27</v>
      </c>
      <c r="C158" s="5" t="s">
        <v>15</v>
      </c>
      <c r="D158" s="4">
        <v>187.0</v>
      </c>
      <c r="E158" s="4">
        <v>159.0</v>
      </c>
      <c r="F158" s="4">
        <v>694.0</v>
      </c>
      <c r="G158" s="4">
        <v>1040.0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>
        <v>2020.0</v>
      </c>
      <c r="B159" s="5" t="s">
        <v>27</v>
      </c>
      <c r="C159" s="5" t="s">
        <v>16</v>
      </c>
      <c r="D159" s="4">
        <v>1.0</v>
      </c>
      <c r="E159" s="4">
        <v>0.0</v>
      </c>
      <c r="F159" s="4">
        <v>6.0</v>
      </c>
      <c r="G159" s="4">
        <v>7.0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>
        <v>2020.0</v>
      </c>
      <c r="B160" s="5" t="s">
        <v>27</v>
      </c>
      <c r="C160" s="5" t="s">
        <v>14</v>
      </c>
      <c r="D160" s="4">
        <v>872.0</v>
      </c>
      <c r="E160" s="4">
        <v>804.0</v>
      </c>
      <c r="F160" s="4">
        <v>2984.0</v>
      </c>
      <c r="G160" s="4">
        <v>4660.0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>
        <v>2020.0</v>
      </c>
      <c r="B161" s="5" t="s">
        <v>27</v>
      </c>
      <c r="C161" s="5" t="s">
        <v>17</v>
      </c>
      <c r="D161" s="4">
        <v>1.0</v>
      </c>
      <c r="E161" s="4">
        <v>2.0</v>
      </c>
      <c r="F161" s="4">
        <v>13.0</v>
      </c>
      <c r="G161" s="4">
        <v>16.0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>
        <v>2020.0</v>
      </c>
      <c r="B162" s="5" t="s">
        <v>27</v>
      </c>
      <c r="C162" s="5" t="s">
        <v>19</v>
      </c>
      <c r="D162" s="4">
        <v>11.0</v>
      </c>
      <c r="E162" s="4">
        <v>10.0</v>
      </c>
      <c r="F162" s="4">
        <v>54.0</v>
      </c>
      <c r="G162" s="4">
        <v>75.0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>
        <v>2020.0</v>
      </c>
      <c r="B163" s="5" t="s">
        <v>27</v>
      </c>
      <c r="C163" s="5" t="s">
        <v>20</v>
      </c>
      <c r="D163" s="4">
        <v>10.0</v>
      </c>
      <c r="E163" s="4">
        <v>7.0</v>
      </c>
      <c r="F163" s="4">
        <v>17.0</v>
      </c>
      <c r="G163" s="4">
        <v>34.0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>
        <v>2020.0</v>
      </c>
      <c r="B164" s="5" t="s">
        <v>27</v>
      </c>
      <c r="C164" s="5" t="s">
        <v>21</v>
      </c>
      <c r="D164" s="4">
        <v>0.0</v>
      </c>
      <c r="E164" s="4">
        <v>0.0</v>
      </c>
      <c r="F164" s="4">
        <v>1.0</v>
      </c>
      <c r="G164" s="4">
        <v>1.0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>
        <v>2020.0</v>
      </c>
      <c r="B165" s="5" t="s">
        <v>27</v>
      </c>
      <c r="C165" s="5" t="s">
        <v>22</v>
      </c>
      <c r="D165" s="4">
        <v>3.0</v>
      </c>
      <c r="E165" s="4">
        <v>4.0</v>
      </c>
      <c r="F165" s="4">
        <v>17.0</v>
      </c>
      <c r="G165" s="4">
        <v>24.0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>
        <v>2020.0</v>
      </c>
      <c r="B166" s="5" t="s">
        <v>27</v>
      </c>
      <c r="C166" s="5" t="s">
        <v>23</v>
      </c>
      <c r="D166" s="4">
        <v>0.0</v>
      </c>
      <c r="E166" s="4">
        <v>0.0</v>
      </c>
      <c r="F166" s="4">
        <v>2.0</v>
      </c>
      <c r="G166" s="4">
        <v>2.0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>
        <v>2020.0</v>
      </c>
      <c r="B167" s="5" t="s">
        <v>29</v>
      </c>
      <c r="C167" s="5" t="s">
        <v>7</v>
      </c>
      <c r="D167" s="4">
        <v>1.0</v>
      </c>
      <c r="E167" s="4">
        <v>0.0</v>
      </c>
      <c r="F167" s="4">
        <v>2.0</v>
      </c>
      <c r="G167" s="4">
        <v>3.0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>
        <v>2020.0</v>
      </c>
      <c r="B168" s="5" t="s">
        <v>29</v>
      </c>
      <c r="C168" s="5" t="s">
        <v>33</v>
      </c>
      <c r="D168" s="4">
        <v>4.0</v>
      </c>
      <c r="E168" s="4">
        <v>4.0</v>
      </c>
      <c r="F168" s="4">
        <v>8.0</v>
      </c>
      <c r="G168" s="4">
        <v>16.0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>
        <v>2020.0</v>
      </c>
      <c r="B169" s="5" t="s">
        <v>29</v>
      </c>
      <c r="C169" s="5" t="s">
        <v>8</v>
      </c>
      <c r="D169" s="4">
        <v>0.0</v>
      </c>
      <c r="E169" s="4">
        <v>0.0</v>
      </c>
      <c r="F169" s="4">
        <v>0.0</v>
      </c>
      <c r="G169" s="4">
        <v>0.0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>
        <v>2020.0</v>
      </c>
      <c r="B170" s="5" t="s">
        <v>29</v>
      </c>
      <c r="C170" s="5" t="s">
        <v>9</v>
      </c>
      <c r="D170" s="4">
        <v>1.0</v>
      </c>
      <c r="E170" s="4">
        <v>1.0</v>
      </c>
      <c r="F170" s="4">
        <v>11.0</v>
      </c>
      <c r="G170" s="4">
        <v>13.0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>
        <v>2020.0</v>
      </c>
      <c r="B171" s="5" t="s">
        <v>29</v>
      </c>
      <c r="C171" s="5" t="s">
        <v>10</v>
      </c>
      <c r="D171" s="4">
        <v>912.0</v>
      </c>
      <c r="E171" s="4">
        <v>784.0</v>
      </c>
      <c r="F171" s="4">
        <v>2814.0</v>
      </c>
      <c r="G171" s="4">
        <v>4510.0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>
        <v>2020.0</v>
      </c>
      <c r="B172" s="5" t="s">
        <v>29</v>
      </c>
      <c r="C172" s="5" t="s">
        <v>12</v>
      </c>
      <c r="D172" s="4">
        <v>2.0</v>
      </c>
      <c r="E172" s="4">
        <v>2.0</v>
      </c>
      <c r="F172" s="4">
        <v>14.0</v>
      </c>
      <c r="G172" s="4">
        <v>18.0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>
        <v>2020.0</v>
      </c>
      <c r="B173" s="5" t="s">
        <v>29</v>
      </c>
      <c r="C173" s="5" t="s">
        <v>15</v>
      </c>
      <c r="D173" s="4">
        <v>178.0</v>
      </c>
      <c r="E173" s="4">
        <v>151.0</v>
      </c>
      <c r="F173" s="4">
        <v>654.0</v>
      </c>
      <c r="G173" s="4">
        <v>983.0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>
        <v>2020.0</v>
      </c>
      <c r="B174" s="5" t="s">
        <v>29</v>
      </c>
      <c r="C174" s="5" t="s">
        <v>16</v>
      </c>
      <c r="D174" s="4">
        <v>1.0</v>
      </c>
      <c r="E174" s="4">
        <v>0.0</v>
      </c>
      <c r="F174" s="4">
        <v>5.0</v>
      </c>
      <c r="G174" s="4">
        <v>6.0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>
        <v>2020.0</v>
      </c>
      <c r="B175" s="5" t="s">
        <v>29</v>
      </c>
      <c r="C175" s="5" t="s">
        <v>14</v>
      </c>
      <c r="D175" s="4">
        <v>842.0</v>
      </c>
      <c r="E175" s="4">
        <v>771.0</v>
      </c>
      <c r="F175" s="4">
        <v>2884.0</v>
      </c>
      <c r="G175" s="4">
        <v>4497.0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>
        <v>2020.0</v>
      </c>
      <c r="B176" s="5" t="s">
        <v>29</v>
      </c>
      <c r="C176" s="5" t="s">
        <v>17</v>
      </c>
      <c r="D176" s="4">
        <v>1.0</v>
      </c>
      <c r="E176" s="4">
        <v>1.0</v>
      </c>
      <c r="F176" s="4">
        <v>11.0</v>
      </c>
      <c r="G176" s="4">
        <v>13.0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>
        <v>2020.0</v>
      </c>
      <c r="B177" s="5" t="s">
        <v>29</v>
      </c>
      <c r="C177" s="5" t="s">
        <v>19</v>
      </c>
      <c r="D177" s="4">
        <v>9.0</v>
      </c>
      <c r="E177" s="4">
        <v>9.0</v>
      </c>
      <c r="F177" s="4">
        <v>51.0</v>
      </c>
      <c r="G177" s="4">
        <v>69.0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>
        <v>2020.0</v>
      </c>
      <c r="B178" s="5" t="s">
        <v>29</v>
      </c>
      <c r="C178" s="5" t="s">
        <v>20</v>
      </c>
      <c r="D178" s="4">
        <v>9.0</v>
      </c>
      <c r="E178" s="4">
        <v>6.0</v>
      </c>
      <c r="F178" s="4">
        <v>16.0</v>
      </c>
      <c r="G178" s="4">
        <v>31.0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>
        <v>2020.0</v>
      </c>
      <c r="B179" s="5" t="s">
        <v>29</v>
      </c>
      <c r="C179" s="5" t="s">
        <v>21</v>
      </c>
      <c r="D179" s="4">
        <v>0.0</v>
      </c>
      <c r="E179" s="4">
        <v>0.0</v>
      </c>
      <c r="F179" s="4">
        <v>1.0</v>
      </c>
      <c r="G179" s="4">
        <v>1.0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>
        <v>2020.0</v>
      </c>
      <c r="B180" s="5" t="s">
        <v>29</v>
      </c>
      <c r="C180" s="5" t="s">
        <v>22</v>
      </c>
      <c r="D180" s="4">
        <v>2.0</v>
      </c>
      <c r="E180" s="4">
        <v>3.0</v>
      </c>
      <c r="F180" s="4">
        <v>15.0</v>
      </c>
      <c r="G180" s="4">
        <v>20.0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>
        <v>2020.0</v>
      </c>
      <c r="B181" s="5" t="s">
        <v>29</v>
      </c>
      <c r="C181" s="5" t="s">
        <v>23</v>
      </c>
      <c r="D181" s="4">
        <v>0.0</v>
      </c>
      <c r="E181" s="4">
        <v>0.0</v>
      </c>
      <c r="F181" s="4">
        <v>1.0</v>
      </c>
      <c r="G181" s="4">
        <v>1.0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</sheetData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2021.0</v>
      </c>
      <c r="B2" s="5" t="s">
        <v>11</v>
      </c>
      <c r="C2" s="5" t="s">
        <v>7</v>
      </c>
      <c r="D2" s="4">
        <v>1.0</v>
      </c>
      <c r="E2" s="4">
        <v>0.0</v>
      </c>
      <c r="F2" s="4">
        <v>2.0</v>
      </c>
      <c r="G2" s="4">
        <v>3.0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2021.0</v>
      </c>
      <c r="B3" s="5" t="s">
        <v>11</v>
      </c>
      <c r="C3" s="5" t="s">
        <v>33</v>
      </c>
      <c r="D3" s="4">
        <v>4.0</v>
      </c>
      <c r="E3" s="4">
        <v>4.0</v>
      </c>
      <c r="F3" s="4">
        <v>9.0</v>
      </c>
      <c r="G3" s="4">
        <v>17.0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2021.0</v>
      </c>
      <c r="B4" s="5" t="s">
        <v>11</v>
      </c>
      <c r="C4" s="5" t="s">
        <v>8</v>
      </c>
      <c r="D4" s="4">
        <v>0.0</v>
      </c>
      <c r="E4" s="4">
        <v>0.0</v>
      </c>
      <c r="F4" s="4">
        <v>0.0</v>
      </c>
      <c r="G4" s="4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2021.0</v>
      </c>
      <c r="B5" s="5" t="s">
        <v>11</v>
      </c>
      <c r="C5" s="5" t="s">
        <v>9</v>
      </c>
      <c r="D5" s="4">
        <v>2.0</v>
      </c>
      <c r="E5" s="4">
        <v>2.0</v>
      </c>
      <c r="F5" s="4">
        <v>12.0</v>
      </c>
      <c r="G5" s="4">
        <v>16.0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2021.0</v>
      </c>
      <c r="B6" s="5" t="s">
        <v>11</v>
      </c>
      <c r="C6" s="5" t="s">
        <v>10</v>
      </c>
      <c r="D6" s="4">
        <v>948.0</v>
      </c>
      <c r="E6" s="4">
        <v>812.0</v>
      </c>
      <c r="F6" s="4">
        <v>2914.0</v>
      </c>
      <c r="G6" s="4">
        <v>4674.0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2021.0</v>
      </c>
      <c r="B7" s="5" t="s">
        <v>11</v>
      </c>
      <c r="C7" s="5" t="s">
        <v>12</v>
      </c>
      <c r="D7" s="4">
        <v>3.0</v>
      </c>
      <c r="E7" s="4">
        <v>2.0</v>
      </c>
      <c r="F7" s="4">
        <v>16.0</v>
      </c>
      <c r="G7" s="4">
        <v>21.0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2021.0</v>
      </c>
      <c r="B8" s="5" t="s">
        <v>11</v>
      </c>
      <c r="C8" s="5" t="s">
        <v>15</v>
      </c>
      <c r="D8" s="4">
        <v>187.0</v>
      </c>
      <c r="E8" s="4">
        <v>159.0</v>
      </c>
      <c r="F8" s="4">
        <v>694.0</v>
      </c>
      <c r="G8" s="4">
        <v>1040.0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2021.0</v>
      </c>
      <c r="B9" s="5" t="s">
        <v>11</v>
      </c>
      <c r="C9" s="5" t="s">
        <v>16</v>
      </c>
      <c r="D9" s="4">
        <v>1.0</v>
      </c>
      <c r="E9" s="4">
        <v>0.0</v>
      </c>
      <c r="F9" s="4">
        <v>6.0</v>
      </c>
      <c r="G9" s="4">
        <v>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2021.0</v>
      </c>
      <c r="B10" s="5" t="s">
        <v>11</v>
      </c>
      <c r="C10" s="5" t="s">
        <v>14</v>
      </c>
      <c r="D10" s="4">
        <v>872.0</v>
      </c>
      <c r="E10" s="4">
        <v>804.0</v>
      </c>
      <c r="F10" s="4">
        <v>2984.0</v>
      </c>
      <c r="G10" s="4">
        <v>4660.0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2021.0</v>
      </c>
      <c r="B11" s="5" t="s">
        <v>11</v>
      </c>
      <c r="C11" s="5" t="s">
        <v>17</v>
      </c>
      <c r="D11" s="4">
        <v>1.0</v>
      </c>
      <c r="E11" s="4">
        <v>2.0</v>
      </c>
      <c r="F11" s="4">
        <v>13.0</v>
      </c>
      <c r="G11" s="4">
        <v>16.0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2021.0</v>
      </c>
      <c r="B12" s="5" t="s">
        <v>11</v>
      </c>
      <c r="C12" s="5" t="s">
        <v>19</v>
      </c>
      <c r="D12" s="4">
        <v>11.0</v>
      </c>
      <c r="E12" s="4">
        <v>10.0</v>
      </c>
      <c r="F12" s="4">
        <v>54.0</v>
      </c>
      <c r="G12" s="4">
        <v>75.0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2021.0</v>
      </c>
      <c r="B13" s="5" t="s">
        <v>11</v>
      </c>
      <c r="C13" s="5" t="s">
        <v>20</v>
      </c>
      <c r="D13" s="4">
        <v>10.0</v>
      </c>
      <c r="E13" s="4">
        <v>7.0</v>
      </c>
      <c r="F13" s="4">
        <v>17.0</v>
      </c>
      <c r="G13" s="4">
        <v>34.0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2021.0</v>
      </c>
      <c r="B14" s="5" t="s">
        <v>11</v>
      </c>
      <c r="C14" s="5" t="s">
        <v>21</v>
      </c>
      <c r="D14" s="4">
        <v>0.0</v>
      </c>
      <c r="E14" s="4">
        <v>0.0</v>
      </c>
      <c r="F14" s="4">
        <v>1.0</v>
      </c>
      <c r="G14" s="4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2021.0</v>
      </c>
      <c r="B15" s="5" t="s">
        <v>11</v>
      </c>
      <c r="C15" s="5" t="s">
        <v>22</v>
      </c>
      <c r="D15" s="4">
        <v>3.0</v>
      </c>
      <c r="E15" s="4">
        <v>4.0</v>
      </c>
      <c r="F15" s="4">
        <v>17.0</v>
      </c>
      <c r="G15" s="4">
        <v>24.0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2021.0</v>
      </c>
      <c r="B16" s="5" t="s">
        <v>11</v>
      </c>
      <c r="C16" s="5" t="s">
        <v>23</v>
      </c>
      <c r="D16" s="4">
        <v>0.0</v>
      </c>
      <c r="E16" s="4">
        <v>0.0</v>
      </c>
      <c r="F16" s="4">
        <v>2.0</v>
      </c>
      <c r="G16" s="4">
        <v>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2021.0</v>
      </c>
      <c r="B17" s="5" t="s">
        <v>24</v>
      </c>
      <c r="C17" s="5" t="s">
        <v>7</v>
      </c>
      <c r="D17" s="4">
        <v>1.0</v>
      </c>
      <c r="E17" s="4">
        <v>0.0</v>
      </c>
      <c r="F17" s="4">
        <v>2.0</v>
      </c>
      <c r="G17" s="4">
        <v>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2021.0</v>
      </c>
      <c r="B18" s="5" t="s">
        <v>24</v>
      </c>
      <c r="C18" s="5" t="s">
        <v>33</v>
      </c>
      <c r="D18" s="4">
        <v>3.0</v>
      </c>
      <c r="E18" s="4">
        <v>4.0</v>
      </c>
      <c r="F18" s="4">
        <v>7.0</v>
      </c>
      <c r="G18" s="4">
        <v>14.0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2021.0</v>
      </c>
      <c r="B19" s="5" t="s">
        <v>24</v>
      </c>
      <c r="C19" s="5" t="s">
        <v>8</v>
      </c>
      <c r="D19" s="4">
        <v>0.0</v>
      </c>
      <c r="E19" s="4">
        <v>0.0</v>
      </c>
      <c r="F19" s="4">
        <v>0.0</v>
      </c>
      <c r="G19" s="4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2021.0</v>
      </c>
      <c r="B20" s="5" t="s">
        <v>24</v>
      </c>
      <c r="C20" s="5" t="s">
        <v>9</v>
      </c>
      <c r="D20" s="4">
        <v>2.0</v>
      </c>
      <c r="E20" s="4">
        <v>2.0</v>
      </c>
      <c r="F20" s="4">
        <v>12.0</v>
      </c>
      <c r="G20" s="4">
        <v>16.0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2021.0</v>
      </c>
      <c r="B21" s="5" t="s">
        <v>24</v>
      </c>
      <c r="C21" s="5" t="s">
        <v>10</v>
      </c>
      <c r="D21" s="4">
        <v>948.0</v>
      </c>
      <c r="E21" s="4">
        <v>812.0</v>
      </c>
      <c r="F21" s="4">
        <v>2914.0</v>
      </c>
      <c r="G21" s="4">
        <v>4674.0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2021.0</v>
      </c>
      <c r="B22" s="5" t="s">
        <v>24</v>
      </c>
      <c r="C22" s="5" t="s">
        <v>12</v>
      </c>
      <c r="D22" s="4">
        <v>3.0</v>
      </c>
      <c r="E22" s="4">
        <v>2.0</v>
      </c>
      <c r="F22" s="4">
        <v>16.0</v>
      </c>
      <c r="G22" s="4">
        <v>21.0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2021.0</v>
      </c>
      <c r="B23" s="5" t="s">
        <v>24</v>
      </c>
      <c r="C23" s="5" t="s">
        <v>15</v>
      </c>
      <c r="D23" s="4">
        <v>187.0</v>
      </c>
      <c r="E23" s="4">
        <v>159.0</v>
      </c>
      <c r="F23" s="4">
        <v>694.0</v>
      </c>
      <c r="G23" s="4">
        <v>1040.0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2021.0</v>
      </c>
      <c r="B24" s="5" t="s">
        <v>24</v>
      </c>
      <c r="C24" s="5" t="s">
        <v>16</v>
      </c>
      <c r="D24" s="4">
        <v>1.0</v>
      </c>
      <c r="E24" s="4">
        <v>0.0</v>
      </c>
      <c r="F24" s="4">
        <v>6.0</v>
      </c>
      <c r="G24" s="4">
        <v>7.0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2021.0</v>
      </c>
      <c r="B25" s="5" t="s">
        <v>24</v>
      </c>
      <c r="C25" s="5" t="s">
        <v>14</v>
      </c>
      <c r="D25" s="4">
        <v>872.0</v>
      </c>
      <c r="E25" s="4">
        <v>804.0</v>
      </c>
      <c r="F25" s="4">
        <v>2984.0</v>
      </c>
      <c r="G25" s="4">
        <v>4660.0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2021.0</v>
      </c>
      <c r="B26" s="5" t="s">
        <v>24</v>
      </c>
      <c r="C26" s="5" t="s">
        <v>17</v>
      </c>
      <c r="D26" s="4">
        <v>1.0</v>
      </c>
      <c r="E26" s="4">
        <v>2.0</v>
      </c>
      <c r="F26" s="4">
        <v>13.0</v>
      </c>
      <c r="G26" s="4">
        <v>16.0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2021.0</v>
      </c>
      <c r="B27" s="5" t="s">
        <v>24</v>
      </c>
      <c r="C27" s="5" t="s">
        <v>19</v>
      </c>
      <c r="D27" s="4">
        <v>11.0</v>
      </c>
      <c r="E27" s="4">
        <v>10.0</v>
      </c>
      <c r="F27" s="4">
        <v>54.0</v>
      </c>
      <c r="G27" s="4">
        <v>75.0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2021.0</v>
      </c>
      <c r="B28" s="5" t="s">
        <v>24</v>
      </c>
      <c r="C28" s="5" t="s">
        <v>20</v>
      </c>
      <c r="D28" s="4">
        <v>10.0</v>
      </c>
      <c r="E28" s="4">
        <v>7.0</v>
      </c>
      <c r="F28" s="4">
        <v>17.0</v>
      </c>
      <c r="G28" s="4">
        <v>34.0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2021.0</v>
      </c>
      <c r="B29" s="5" t="s">
        <v>24</v>
      </c>
      <c r="C29" s="5" t="s">
        <v>21</v>
      </c>
      <c r="D29" s="4">
        <v>0.0</v>
      </c>
      <c r="E29" s="4">
        <v>0.0</v>
      </c>
      <c r="F29" s="4">
        <v>1.0</v>
      </c>
      <c r="G29" s="4">
        <v>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2021.0</v>
      </c>
      <c r="B30" s="5" t="s">
        <v>24</v>
      </c>
      <c r="C30" s="5" t="s">
        <v>22</v>
      </c>
      <c r="D30" s="4">
        <v>3.0</v>
      </c>
      <c r="E30" s="4">
        <v>4.0</v>
      </c>
      <c r="F30" s="4">
        <v>17.0</v>
      </c>
      <c r="G30" s="4">
        <v>24.0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2021.0</v>
      </c>
      <c r="B31" s="5" t="s">
        <v>24</v>
      </c>
      <c r="C31" s="5" t="s">
        <v>23</v>
      </c>
      <c r="D31" s="4">
        <v>0.0</v>
      </c>
      <c r="E31" s="4">
        <v>0.0</v>
      </c>
      <c r="F31" s="4">
        <v>2.0</v>
      </c>
      <c r="G31" s="4">
        <v>2.0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2021.0</v>
      </c>
      <c r="B32" s="5" t="s">
        <v>26</v>
      </c>
      <c r="C32" s="5" t="s">
        <v>7</v>
      </c>
      <c r="D32" s="4">
        <v>1.0</v>
      </c>
      <c r="E32" s="4">
        <v>0.0</v>
      </c>
      <c r="F32" s="4">
        <v>2.0</v>
      </c>
      <c r="G32" s="4">
        <v>3.0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2021.0</v>
      </c>
      <c r="B33" s="5" t="s">
        <v>26</v>
      </c>
      <c r="C33" s="5" t="s">
        <v>33</v>
      </c>
      <c r="D33" s="4">
        <v>4.0</v>
      </c>
      <c r="E33" s="4">
        <v>4.0</v>
      </c>
      <c r="F33" s="4">
        <v>9.0</v>
      </c>
      <c r="G33" s="4">
        <v>17.0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2021.0</v>
      </c>
      <c r="B34" s="5" t="s">
        <v>26</v>
      </c>
      <c r="C34" s="5" t="s">
        <v>8</v>
      </c>
      <c r="D34" s="4">
        <v>0.0</v>
      </c>
      <c r="E34" s="4">
        <v>0.0</v>
      </c>
      <c r="F34" s="4">
        <v>0.0</v>
      </c>
      <c r="G34" s="4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2021.0</v>
      </c>
      <c r="B35" s="5" t="s">
        <v>26</v>
      </c>
      <c r="C35" s="5" t="s">
        <v>9</v>
      </c>
      <c r="D35" s="4">
        <v>2.0</v>
      </c>
      <c r="E35" s="4">
        <v>2.0</v>
      </c>
      <c r="F35" s="4">
        <v>12.0</v>
      </c>
      <c r="G35" s="4">
        <v>16.0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2021.0</v>
      </c>
      <c r="B36" s="5" t="s">
        <v>26</v>
      </c>
      <c r="C36" s="5" t="s">
        <v>10</v>
      </c>
      <c r="D36" s="4">
        <v>948.0</v>
      </c>
      <c r="E36" s="4">
        <v>812.0</v>
      </c>
      <c r="F36" s="4">
        <v>2914.0</v>
      </c>
      <c r="G36" s="4">
        <v>4674.0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2021.0</v>
      </c>
      <c r="B37" s="5" t="s">
        <v>26</v>
      </c>
      <c r="C37" s="5" t="s">
        <v>12</v>
      </c>
      <c r="D37" s="4">
        <v>3.0</v>
      </c>
      <c r="E37" s="4">
        <v>2.0</v>
      </c>
      <c r="F37" s="4">
        <v>16.0</v>
      </c>
      <c r="G37" s="4">
        <v>21.0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2021.0</v>
      </c>
      <c r="B38" s="5" t="s">
        <v>26</v>
      </c>
      <c r="C38" s="5" t="s">
        <v>15</v>
      </c>
      <c r="D38" s="4">
        <v>187.0</v>
      </c>
      <c r="E38" s="4">
        <v>159.0</v>
      </c>
      <c r="F38" s="4">
        <v>694.0</v>
      </c>
      <c r="G38" s="4">
        <v>1040.0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2021.0</v>
      </c>
      <c r="B39" s="5" t="s">
        <v>26</v>
      </c>
      <c r="C39" s="5" t="s">
        <v>16</v>
      </c>
      <c r="D39" s="4">
        <v>1.0</v>
      </c>
      <c r="E39" s="4">
        <v>0.0</v>
      </c>
      <c r="F39" s="4">
        <v>6.0</v>
      </c>
      <c r="G39" s="4">
        <v>7.0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2021.0</v>
      </c>
      <c r="B40" s="5" t="s">
        <v>26</v>
      </c>
      <c r="C40" s="5" t="s">
        <v>14</v>
      </c>
      <c r="D40" s="4">
        <v>872.0</v>
      </c>
      <c r="E40" s="4">
        <v>804.0</v>
      </c>
      <c r="F40" s="4">
        <v>2984.0</v>
      </c>
      <c r="G40" s="4">
        <v>4660.0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2021.0</v>
      </c>
      <c r="B41" s="5" t="s">
        <v>26</v>
      </c>
      <c r="C41" s="5" t="s">
        <v>17</v>
      </c>
      <c r="D41" s="4">
        <v>1.0</v>
      </c>
      <c r="E41" s="4">
        <v>2.0</v>
      </c>
      <c r="F41" s="4">
        <v>13.0</v>
      </c>
      <c r="G41" s="4">
        <v>16.0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2021.0</v>
      </c>
      <c r="B42" s="5" t="s">
        <v>26</v>
      </c>
      <c r="C42" s="5" t="s">
        <v>19</v>
      </c>
      <c r="D42" s="4">
        <v>11.0</v>
      </c>
      <c r="E42" s="4">
        <v>10.0</v>
      </c>
      <c r="F42" s="4">
        <v>54.0</v>
      </c>
      <c r="G42" s="4">
        <v>75.0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2021.0</v>
      </c>
      <c r="B43" s="5" t="s">
        <v>26</v>
      </c>
      <c r="C43" s="5" t="s">
        <v>20</v>
      </c>
      <c r="D43" s="4">
        <v>10.0</v>
      </c>
      <c r="E43" s="4">
        <v>7.0</v>
      </c>
      <c r="F43" s="4">
        <v>17.0</v>
      </c>
      <c r="G43" s="4">
        <v>34.0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2021.0</v>
      </c>
      <c r="B44" s="5" t="s">
        <v>26</v>
      </c>
      <c r="C44" s="5" t="s">
        <v>21</v>
      </c>
      <c r="D44" s="4">
        <v>0.0</v>
      </c>
      <c r="E44" s="4">
        <v>0.0</v>
      </c>
      <c r="F44" s="4">
        <v>1.0</v>
      </c>
      <c r="G44" s="4">
        <v>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2021.0</v>
      </c>
      <c r="B45" s="5" t="s">
        <v>26</v>
      </c>
      <c r="C45" s="5" t="s">
        <v>22</v>
      </c>
      <c r="D45" s="4">
        <v>3.0</v>
      </c>
      <c r="E45" s="4">
        <v>4.0</v>
      </c>
      <c r="F45" s="4">
        <v>17.0</v>
      </c>
      <c r="G45" s="4">
        <v>24.0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2021.0</v>
      </c>
      <c r="B46" s="5" t="s">
        <v>26</v>
      </c>
      <c r="C46" s="5" t="s">
        <v>23</v>
      </c>
      <c r="D46" s="4">
        <v>0.0</v>
      </c>
      <c r="E46" s="4">
        <v>0.0</v>
      </c>
      <c r="F46" s="4">
        <v>2.0</v>
      </c>
      <c r="G46" s="4">
        <v>2.0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2021.0</v>
      </c>
      <c r="B47" s="5" t="s">
        <v>13</v>
      </c>
      <c r="C47" s="5" t="s">
        <v>7</v>
      </c>
      <c r="D47" s="4">
        <v>1.0</v>
      </c>
      <c r="E47" s="4">
        <v>0.0</v>
      </c>
      <c r="F47" s="4">
        <v>2.0</v>
      </c>
      <c r="G47" s="4">
        <v>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2021.0</v>
      </c>
      <c r="B48" s="5" t="s">
        <v>13</v>
      </c>
      <c r="C48" s="5" t="s">
        <v>33</v>
      </c>
      <c r="D48" s="4">
        <v>3.0</v>
      </c>
      <c r="E48" s="4">
        <v>3.0</v>
      </c>
      <c r="F48" s="4">
        <v>6.0</v>
      </c>
      <c r="G48" s="4">
        <v>12.0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2021.0</v>
      </c>
      <c r="B49" s="5" t="s">
        <v>13</v>
      </c>
      <c r="C49" s="5" t="s">
        <v>8</v>
      </c>
      <c r="D49" s="4">
        <v>0.0</v>
      </c>
      <c r="E49" s="4">
        <v>0.0</v>
      </c>
      <c r="F49" s="4">
        <v>0.0</v>
      </c>
      <c r="G49" s="4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2021.0</v>
      </c>
      <c r="B50" s="5" t="s">
        <v>13</v>
      </c>
      <c r="C50" s="5" t="s">
        <v>9</v>
      </c>
      <c r="D50" s="4">
        <v>1.0</v>
      </c>
      <c r="E50" s="4">
        <v>1.0</v>
      </c>
      <c r="F50" s="4">
        <v>11.0</v>
      </c>
      <c r="G50" s="4">
        <v>13.0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2021.0</v>
      </c>
      <c r="B51" s="5" t="s">
        <v>13</v>
      </c>
      <c r="C51" s="5" t="s">
        <v>10</v>
      </c>
      <c r="D51" s="4">
        <v>912.0</v>
      </c>
      <c r="E51" s="4">
        <v>784.0</v>
      </c>
      <c r="F51" s="4">
        <v>2814.0</v>
      </c>
      <c r="G51" s="4">
        <v>4510.0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>
        <v>2021.0</v>
      </c>
      <c r="B52" s="5" t="s">
        <v>13</v>
      </c>
      <c r="C52" s="5" t="s">
        <v>12</v>
      </c>
      <c r="D52" s="4">
        <v>2.0</v>
      </c>
      <c r="E52" s="4">
        <v>2.0</v>
      </c>
      <c r="F52" s="4">
        <v>14.0</v>
      </c>
      <c r="G52" s="4">
        <v>18.0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>
        <v>2021.0</v>
      </c>
      <c r="B53" s="5" t="s">
        <v>13</v>
      </c>
      <c r="C53" s="5" t="s">
        <v>15</v>
      </c>
      <c r="D53" s="4">
        <v>178.0</v>
      </c>
      <c r="E53" s="4">
        <v>151.0</v>
      </c>
      <c r="F53" s="4">
        <v>654.0</v>
      </c>
      <c r="G53" s="4">
        <v>983.0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>
        <v>2021.0</v>
      </c>
      <c r="B54" s="5" t="s">
        <v>13</v>
      </c>
      <c r="C54" s="5" t="s">
        <v>16</v>
      </c>
      <c r="D54" s="4">
        <v>1.0</v>
      </c>
      <c r="E54" s="4">
        <v>0.0</v>
      </c>
      <c r="F54" s="4">
        <v>5.0</v>
      </c>
      <c r="G54" s="4">
        <v>6.0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>
        <v>2021.0</v>
      </c>
      <c r="B55" s="5" t="s">
        <v>13</v>
      </c>
      <c r="C55" s="5" t="s">
        <v>14</v>
      </c>
      <c r="D55" s="4">
        <v>842.0</v>
      </c>
      <c r="E55" s="4">
        <v>771.0</v>
      </c>
      <c r="F55" s="4">
        <v>2884.0</v>
      </c>
      <c r="G55" s="4">
        <v>4497.0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>
        <v>2021.0</v>
      </c>
      <c r="B56" s="5" t="s">
        <v>13</v>
      </c>
      <c r="C56" s="5" t="s">
        <v>17</v>
      </c>
      <c r="D56" s="4">
        <v>1.0</v>
      </c>
      <c r="E56" s="4">
        <v>1.0</v>
      </c>
      <c r="F56" s="4">
        <v>11.0</v>
      </c>
      <c r="G56" s="4">
        <v>13.0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>
        <v>2021.0</v>
      </c>
      <c r="B57" s="5" t="s">
        <v>13</v>
      </c>
      <c r="C57" s="5" t="s">
        <v>19</v>
      </c>
      <c r="D57" s="4">
        <v>9.0</v>
      </c>
      <c r="E57" s="4">
        <v>9.0</v>
      </c>
      <c r="F57" s="4">
        <v>51.0</v>
      </c>
      <c r="G57" s="4">
        <v>69.0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>
        <v>2021.0</v>
      </c>
      <c r="B58" s="5" t="s">
        <v>13</v>
      </c>
      <c r="C58" s="5" t="s">
        <v>20</v>
      </c>
      <c r="D58" s="4">
        <v>9.0</v>
      </c>
      <c r="E58" s="4">
        <v>6.0</v>
      </c>
      <c r="F58" s="4">
        <v>16.0</v>
      </c>
      <c r="G58" s="4">
        <v>31.0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>
        <v>2021.0</v>
      </c>
      <c r="B59" s="5" t="s">
        <v>13</v>
      </c>
      <c r="C59" s="5" t="s">
        <v>21</v>
      </c>
      <c r="D59" s="4">
        <v>0.0</v>
      </c>
      <c r="E59" s="4">
        <v>0.0</v>
      </c>
      <c r="F59" s="4">
        <v>1.0</v>
      </c>
      <c r="G59" s="4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2021.0</v>
      </c>
      <c r="B60" s="5" t="s">
        <v>13</v>
      </c>
      <c r="C60" s="5" t="s">
        <v>22</v>
      </c>
      <c r="D60" s="4">
        <v>2.0</v>
      </c>
      <c r="E60" s="4">
        <v>3.0</v>
      </c>
      <c r="F60" s="4">
        <v>15.0</v>
      </c>
      <c r="G60" s="4">
        <v>20.0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2021.0</v>
      </c>
      <c r="B61" s="5" t="s">
        <v>13</v>
      </c>
      <c r="C61" s="5" t="s">
        <v>23</v>
      </c>
      <c r="D61" s="4">
        <v>0.0</v>
      </c>
      <c r="E61" s="4">
        <v>0.0</v>
      </c>
      <c r="F61" s="4">
        <v>1.0</v>
      </c>
      <c r="G61" s="4">
        <v>1.0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>
        <v>2021.0</v>
      </c>
      <c r="B62" s="5" t="s">
        <v>30</v>
      </c>
      <c r="C62" s="5" t="s">
        <v>7</v>
      </c>
      <c r="D62" s="4">
        <v>2.0</v>
      </c>
      <c r="E62" s="4">
        <v>1.0</v>
      </c>
      <c r="F62" s="4">
        <v>3.0</v>
      </c>
      <c r="G62" s="4">
        <v>6.0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>
        <v>2021.0</v>
      </c>
      <c r="B63" s="5" t="s">
        <v>30</v>
      </c>
      <c r="C63" s="5" t="s">
        <v>33</v>
      </c>
      <c r="D63" s="4">
        <v>4.0</v>
      </c>
      <c r="E63" s="4">
        <v>4.0</v>
      </c>
      <c r="F63" s="4">
        <v>8.0</v>
      </c>
      <c r="G63" s="4">
        <v>16.0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>
        <v>2021.0</v>
      </c>
      <c r="B64" s="5" t="s">
        <v>30</v>
      </c>
      <c r="C64" s="5" t="s">
        <v>8</v>
      </c>
      <c r="D64" s="4">
        <v>0.0</v>
      </c>
      <c r="E64" s="4">
        <v>0.0</v>
      </c>
      <c r="F64" s="4">
        <v>0.0</v>
      </c>
      <c r="G64" s="4">
        <v>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>
        <v>2021.0</v>
      </c>
      <c r="B65" s="5" t="s">
        <v>30</v>
      </c>
      <c r="C65" s="5" t="s">
        <v>9</v>
      </c>
      <c r="D65" s="4">
        <v>2.0</v>
      </c>
      <c r="E65" s="4">
        <v>2.0</v>
      </c>
      <c r="F65" s="4">
        <v>13.0</v>
      </c>
      <c r="G65" s="4">
        <v>17.0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>
        <v>2021.0</v>
      </c>
      <c r="B66" s="5" t="s">
        <v>30</v>
      </c>
      <c r="C66" s="5" t="s">
        <v>10</v>
      </c>
      <c r="D66" s="4">
        <v>1014.0</v>
      </c>
      <c r="E66" s="4">
        <v>864.0</v>
      </c>
      <c r="F66" s="4">
        <v>3118.0</v>
      </c>
      <c r="G66" s="4">
        <v>4996.0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>
        <v>2021.0</v>
      </c>
      <c r="B67" s="5" t="s">
        <v>30</v>
      </c>
      <c r="C67" s="5" t="s">
        <v>12</v>
      </c>
      <c r="D67" s="4">
        <v>3.0</v>
      </c>
      <c r="E67" s="4">
        <v>2.0</v>
      </c>
      <c r="F67" s="4">
        <v>18.0</v>
      </c>
      <c r="G67" s="4">
        <v>23.0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>
        <v>2021.0</v>
      </c>
      <c r="B68" s="5" t="s">
        <v>30</v>
      </c>
      <c r="C68" s="5" t="s">
        <v>15</v>
      </c>
      <c r="D68" s="4">
        <v>198.0</v>
      </c>
      <c r="E68" s="4">
        <v>168.0</v>
      </c>
      <c r="F68" s="4">
        <v>724.0</v>
      </c>
      <c r="G68" s="4">
        <v>1090.0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>
        <v>2021.0</v>
      </c>
      <c r="B69" s="5" t="s">
        <v>30</v>
      </c>
      <c r="C69" s="5" t="s">
        <v>16</v>
      </c>
      <c r="D69" s="4">
        <v>1.0</v>
      </c>
      <c r="E69" s="4">
        <v>1.0</v>
      </c>
      <c r="F69" s="4">
        <v>7.0</v>
      </c>
      <c r="G69" s="4">
        <v>9.0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>
        <v>2021.0</v>
      </c>
      <c r="B70" s="5" t="s">
        <v>30</v>
      </c>
      <c r="C70" s="5" t="s">
        <v>14</v>
      </c>
      <c r="D70" s="4">
        <v>948.0</v>
      </c>
      <c r="E70" s="4">
        <v>852.0</v>
      </c>
      <c r="F70" s="4">
        <v>3214.0</v>
      </c>
      <c r="G70" s="4">
        <v>5014.0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>
        <v>2021.0</v>
      </c>
      <c r="B71" s="5" t="s">
        <v>30</v>
      </c>
      <c r="C71" s="5" t="s">
        <v>17</v>
      </c>
      <c r="D71" s="4">
        <v>1.0</v>
      </c>
      <c r="E71" s="4">
        <v>2.0</v>
      </c>
      <c r="F71" s="4">
        <v>13.0</v>
      </c>
      <c r="G71" s="4">
        <v>16.0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>
        <v>2021.0</v>
      </c>
      <c r="B72" s="5" t="s">
        <v>30</v>
      </c>
      <c r="C72" s="5" t="s">
        <v>19</v>
      </c>
      <c r="D72" s="4">
        <v>11.0</v>
      </c>
      <c r="E72" s="4">
        <v>11.0</v>
      </c>
      <c r="F72" s="4">
        <v>62.0</v>
      </c>
      <c r="G72" s="4">
        <v>84.0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>
        <v>2021.0</v>
      </c>
      <c r="B73" s="5" t="s">
        <v>30</v>
      </c>
      <c r="C73" s="5" t="s">
        <v>20</v>
      </c>
      <c r="D73" s="4">
        <v>10.0</v>
      </c>
      <c r="E73" s="4">
        <v>7.0</v>
      </c>
      <c r="F73" s="4">
        <v>19.0</v>
      </c>
      <c r="G73" s="4">
        <v>36.0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>
        <v>2021.0</v>
      </c>
      <c r="B74" s="5" t="s">
        <v>30</v>
      </c>
      <c r="C74" s="5" t="s">
        <v>21</v>
      </c>
      <c r="D74" s="4">
        <v>1.0</v>
      </c>
      <c r="E74" s="4">
        <v>0.0</v>
      </c>
      <c r="F74" s="4">
        <v>1.0</v>
      </c>
      <c r="G74" s="4">
        <v>2.0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>
        <v>2021.0</v>
      </c>
      <c r="B75" s="5" t="s">
        <v>30</v>
      </c>
      <c r="C75" s="5" t="s">
        <v>22</v>
      </c>
      <c r="D75" s="4">
        <v>3.0</v>
      </c>
      <c r="E75" s="4">
        <v>4.0</v>
      </c>
      <c r="F75" s="4">
        <v>18.0</v>
      </c>
      <c r="G75" s="4">
        <v>25.0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>
        <v>2021.0</v>
      </c>
      <c r="B76" s="5" t="s">
        <v>30</v>
      </c>
      <c r="C76" s="5" t="s">
        <v>23</v>
      </c>
      <c r="D76" s="4">
        <v>0.0</v>
      </c>
      <c r="E76" s="4">
        <v>1.0</v>
      </c>
      <c r="F76" s="4">
        <v>2.0</v>
      </c>
      <c r="G76" s="4">
        <v>3.0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>
        <v>2021.0</v>
      </c>
      <c r="B77" s="5" t="s">
        <v>28</v>
      </c>
      <c r="C77" s="5" t="s">
        <v>7</v>
      </c>
      <c r="D77" s="4">
        <v>1.0</v>
      </c>
      <c r="E77" s="4">
        <v>0.0</v>
      </c>
      <c r="F77" s="4">
        <v>2.0</v>
      </c>
      <c r="G77" s="4">
        <v>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>
        <v>2021.0</v>
      </c>
      <c r="B78" s="5" t="s">
        <v>28</v>
      </c>
      <c r="C78" s="5" t="s">
        <v>33</v>
      </c>
      <c r="D78" s="4">
        <v>3.0</v>
      </c>
      <c r="E78" s="4">
        <v>3.0</v>
      </c>
      <c r="F78" s="4">
        <v>6.0</v>
      </c>
      <c r="G78" s="4">
        <v>12.0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>
        <v>2021.0</v>
      </c>
      <c r="B79" s="5" t="s">
        <v>28</v>
      </c>
      <c r="C79" s="5" t="s">
        <v>8</v>
      </c>
      <c r="D79" s="4">
        <v>0.0</v>
      </c>
      <c r="E79" s="4">
        <v>0.0</v>
      </c>
      <c r="F79" s="4">
        <v>0.0</v>
      </c>
      <c r="G79" s="4">
        <v>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>
        <v>2021.0</v>
      </c>
      <c r="B80" s="5" t="s">
        <v>28</v>
      </c>
      <c r="C80" s="5" t="s">
        <v>9</v>
      </c>
      <c r="D80" s="4">
        <v>1.0</v>
      </c>
      <c r="E80" s="4">
        <v>2.0</v>
      </c>
      <c r="F80" s="4">
        <v>11.0</v>
      </c>
      <c r="G80" s="4">
        <v>14.0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>
        <v>2021.0</v>
      </c>
      <c r="B81" s="5" t="s">
        <v>28</v>
      </c>
      <c r="C81" s="5" t="s">
        <v>10</v>
      </c>
      <c r="D81" s="4">
        <v>842.0</v>
      </c>
      <c r="E81" s="4">
        <v>741.0</v>
      </c>
      <c r="F81" s="4">
        <v>2831.0</v>
      </c>
      <c r="G81" s="4">
        <v>4414.0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>
        <v>2021.0</v>
      </c>
      <c r="B82" s="5" t="s">
        <v>28</v>
      </c>
      <c r="C82" s="5" t="s">
        <v>12</v>
      </c>
      <c r="D82" s="4">
        <v>2.0</v>
      </c>
      <c r="E82" s="4">
        <v>2.0</v>
      </c>
      <c r="F82" s="4">
        <v>15.0</v>
      </c>
      <c r="G82" s="4">
        <v>19.0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>
        <v>2021.0</v>
      </c>
      <c r="B83" s="5" t="s">
        <v>28</v>
      </c>
      <c r="C83" s="5" t="s">
        <v>15</v>
      </c>
      <c r="D83" s="4">
        <v>172.0</v>
      </c>
      <c r="E83" s="4">
        <v>151.0</v>
      </c>
      <c r="F83" s="4">
        <v>649.0</v>
      </c>
      <c r="G83" s="4">
        <v>972.0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>
        <v>2021.0</v>
      </c>
      <c r="B84" s="5" t="s">
        <v>28</v>
      </c>
      <c r="C84" s="5" t="s">
        <v>16</v>
      </c>
      <c r="D84" s="4">
        <v>1.0</v>
      </c>
      <c r="E84" s="4">
        <v>0.0</v>
      </c>
      <c r="F84" s="4">
        <v>5.0</v>
      </c>
      <c r="G84" s="4">
        <v>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>
        <v>2021.0</v>
      </c>
      <c r="B85" s="5" t="s">
        <v>28</v>
      </c>
      <c r="C85" s="5" t="s">
        <v>14</v>
      </c>
      <c r="D85" s="4">
        <v>811.0</v>
      </c>
      <c r="E85" s="4">
        <v>743.0</v>
      </c>
      <c r="F85" s="4">
        <v>2894.0</v>
      </c>
      <c r="G85" s="4">
        <v>4448.0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>
        <v>2021.0</v>
      </c>
      <c r="B86" s="5" t="s">
        <v>28</v>
      </c>
      <c r="C86" s="5" t="s">
        <v>17</v>
      </c>
      <c r="D86" s="4">
        <v>1.0</v>
      </c>
      <c r="E86" s="4">
        <v>2.0</v>
      </c>
      <c r="F86" s="4">
        <v>12.0</v>
      </c>
      <c r="G86" s="4">
        <v>15.0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>
        <v>2021.0</v>
      </c>
      <c r="B87" s="5" t="s">
        <v>28</v>
      </c>
      <c r="C87" s="5" t="s">
        <v>19</v>
      </c>
      <c r="D87" s="4">
        <v>9.0</v>
      </c>
      <c r="E87" s="4">
        <v>9.0</v>
      </c>
      <c r="F87" s="4">
        <v>51.0</v>
      </c>
      <c r="G87" s="4">
        <v>69.0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>
        <v>2021.0</v>
      </c>
      <c r="B88" s="5" t="s">
        <v>28</v>
      </c>
      <c r="C88" s="5" t="s">
        <v>20</v>
      </c>
      <c r="D88" s="4">
        <v>9.0</v>
      </c>
      <c r="E88" s="4">
        <v>6.0</v>
      </c>
      <c r="F88" s="4">
        <v>17.0</v>
      </c>
      <c r="G88" s="4">
        <v>32.0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>
        <v>2021.0</v>
      </c>
      <c r="B89" s="5" t="s">
        <v>28</v>
      </c>
      <c r="C89" s="5" t="s">
        <v>21</v>
      </c>
      <c r="D89" s="4">
        <v>0.0</v>
      </c>
      <c r="E89" s="4">
        <v>0.0</v>
      </c>
      <c r="F89" s="4">
        <v>1.0</v>
      </c>
      <c r="G89" s="4">
        <v>1.0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>
        <v>2021.0</v>
      </c>
      <c r="B90" s="5" t="s">
        <v>28</v>
      </c>
      <c r="C90" s="5" t="s">
        <v>22</v>
      </c>
      <c r="D90" s="4">
        <v>3.0</v>
      </c>
      <c r="E90" s="4">
        <v>4.0</v>
      </c>
      <c r="F90" s="4">
        <v>16.0</v>
      </c>
      <c r="G90" s="4">
        <v>23.0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>
        <v>2021.0</v>
      </c>
      <c r="B91" s="5" t="s">
        <v>28</v>
      </c>
      <c r="C91" s="5" t="s">
        <v>23</v>
      </c>
      <c r="D91" s="4">
        <v>0.0</v>
      </c>
      <c r="E91" s="4">
        <v>0.0</v>
      </c>
      <c r="F91" s="4">
        <v>2.0</v>
      </c>
      <c r="G91" s="4">
        <v>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>
        <v>2021.0</v>
      </c>
      <c r="B92" s="5" t="s">
        <v>31</v>
      </c>
      <c r="C92" s="5" t="s">
        <v>7</v>
      </c>
      <c r="D92" s="4">
        <v>2.0</v>
      </c>
      <c r="E92" s="4">
        <v>0.0</v>
      </c>
      <c r="F92" s="4">
        <v>1.0</v>
      </c>
      <c r="G92" s="4">
        <v>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>
        <v>2021.0</v>
      </c>
      <c r="B93" s="5" t="s">
        <v>31</v>
      </c>
      <c r="C93" s="5" t="s">
        <v>33</v>
      </c>
      <c r="D93" s="4">
        <v>3.0</v>
      </c>
      <c r="E93" s="4">
        <v>4.0</v>
      </c>
      <c r="F93" s="4">
        <v>7.0</v>
      </c>
      <c r="G93" s="4">
        <v>14.0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>
        <v>2021.0</v>
      </c>
      <c r="B94" s="5" t="s">
        <v>31</v>
      </c>
      <c r="C94" s="5" t="s">
        <v>8</v>
      </c>
      <c r="D94" s="4">
        <v>0.0</v>
      </c>
      <c r="E94" s="4">
        <v>0.0</v>
      </c>
      <c r="F94" s="4">
        <v>0.0</v>
      </c>
      <c r="G94" s="4">
        <v>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>
        <v>2021.0</v>
      </c>
      <c r="B95" s="5" t="s">
        <v>31</v>
      </c>
      <c r="C95" s="5" t="s">
        <v>9</v>
      </c>
      <c r="D95" s="4">
        <v>2.0</v>
      </c>
      <c r="E95" s="4">
        <v>3.0</v>
      </c>
      <c r="F95" s="4">
        <v>12.0</v>
      </c>
      <c r="G95" s="4">
        <v>17.0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>
        <v>2021.0</v>
      </c>
      <c r="B96" s="5" t="s">
        <v>31</v>
      </c>
      <c r="C96" s="5" t="s">
        <v>10</v>
      </c>
      <c r="D96" s="4">
        <v>913.0</v>
      </c>
      <c r="E96" s="4">
        <v>805.0</v>
      </c>
      <c r="F96" s="4">
        <v>2914.0</v>
      </c>
      <c r="G96" s="4">
        <v>4632.0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>
        <v>2021.0</v>
      </c>
      <c r="B97" s="5" t="s">
        <v>31</v>
      </c>
      <c r="C97" s="5" t="s">
        <v>12</v>
      </c>
      <c r="D97" s="4">
        <v>3.0</v>
      </c>
      <c r="E97" s="4">
        <v>2.0</v>
      </c>
      <c r="F97" s="4">
        <v>17.0</v>
      </c>
      <c r="G97" s="4">
        <v>22.0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>
        <v>2021.0</v>
      </c>
      <c r="B98" s="5" t="s">
        <v>31</v>
      </c>
      <c r="C98" s="5" t="s">
        <v>15</v>
      </c>
      <c r="D98" s="4">
        <v>191.0</v>
      </c>
      <c r="E98" s="4">
        <v>168.0</v>
      </c>
      <c r="F98" s="4">
        <v>702.0</v>
      </c>
      <c r="G98" s="4">
        <v>1061.0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>
        <v>2021.0</v>
      </c>
      <c r="B99" s="5" t="s">
        <v>31</v>
      </c>
      <c r="C99" s="5" t="s">
        <v>16</v>
      </c>
      <c r="D99" s="4">
        <v>1.0</v>
      </c>
      <c r="E99" s="4">
        <v>0.0</v>
      </c>
      <c r="F99" s="4">
        <v>6.0</v>
      </c>
      <c r="G99" s="4">
        <v>7.0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>
        <v>2021.0</v>
      </c>
      <c r="B100" s="5" t="s">
        <v>31</v>
      </c>
      <c r="C100" s="5" t="s">
        <v>14</v>
      </c>
      <c r="D100" s="4">
        <v>884.0</v>
      </c>
      <c r="E100" s="4">
        <v>812.0</v>
      </c>
      <c r="F100" s="4">
        <v>3012.0</v>
      </c>
      <c r="G100" s="4">
        <v>4708.0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>
        <v>2021.0</v>
      </c>
      <c r="B101" s="5" t="s">
        <v>31</v>
      </c>
      <c r="C101" s="5" t="s">
        <v>17</v>
      </c>
      <c r="D101" s="4">
        <v>1.0</v>
      </c>
      <c r="E101" s="4">
        <v>2.0</v>
      </c>
      <c r="F101" s="4">
        <v>13.0</v>
      </c>
      <c r="G101" s="4">
        <v>16.0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>
        <v>2021.0</v>
      </c>
      <c r="B102" s="5" t="s">
        <v>31</v>
      </c>
      <c r="C102" s="5" t="s">
        <v>19</v>
      </c>
      <c r="D102" s="4">
        <v>11.0</v>
      </c>
      <c r="E102" s="4">
        <v>10.0</v>
      </c>
      <c r="F102" s="4">
        <v>56.0</v>
      </c>
      <c r="G102" s="4">
        <v>77.0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>
        <v>2021.0</v>
      </c>
      <c r="B103" s="5" t="s">
        <v>31</v>
      </c>
      <c r="C103" s="5" t="s">
        <v>20</v>
      </c>
      <c r="D103" s="4">
        <v>10.0</v>
      </c>
      <c r="E103" s="4">
        <v>7.0</v>
      </c>
      <c r="F103" s="4">
        <v>18.0</v>
      </c>
      <c r="G103" s="4">
        <v>35.0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>
        <v>2021.0</v>
      </c>
      <c r="B104" s="5" t="s">
        <v>31</v>
      </c>
      <c r="C104" s="5" t="s">
        <v>21</v>
      </c>
      <c r="D104" s="4">
        <v>0.0</v>
      </c>
      <c r="E104" s="4">
        <v>0.0</v>
      </c>
      <c r="F104" s="4">
        <v>1.0</v>
      </c>
      <c r="G104" s="4">
        <v>1.0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>
        <v>2021.0</v>
      </c>
      <c r="B105" s="5" t="s">
        <v>31</v>
      </c>
      <c r="C105" s="5" t="s">
        <v>22</v>
      </c>
      <c r="D105" s="4">
        <v>3.0</v>
      </c>
      <c r="E105" s="4">
        <v>4.0</v>
      </c>
      <c r="F105" s="4">
        <v>18.0</v>
      </c>
      <c r="G105" s="4">
        <v>25.0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>
        <v>2021.0</v>
      </c>
      <c r="B106" s="5" t="s">
        <v>31</v>
      </c>
      <c r="C106" s="5" t="s">
        <v>23</v>
      </c>
      <c r="D106" s="4">
        <v>0.0</v>
      </c>
      <c r="E106" s="4">
        <v>0.0</v>
      </c>
      <c r="F106" s="4">
        <v>2.0</v>
      </c>
      <c r="G106" s="4">
        <v>2.0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>
        <v>2021.0</v>
      </c>
      <c r="B107" s="5" t="s">
        <v>32</v>
      </c>
      <c r="C107" s="5" t="s">
        <v>7</v>
      </c>
      <c r="D107" s="4">
        <v>1.0</v>
      </c>
      <c r="E107" s="4">
        <v>1.0</v>
      </c>
      <c r="F107" s="4">
        <v>2.0</v>
      </c>
      <c r="G107" s="4">
        <v>4.0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>
        <v>2021.0</v>
      </c>
      <c r="B108" s="5" t="s">
        <v>32</v>
      </c>
      <c r="C108" s="5" t="s">
        <v>33</v>
      </c>
      <c r="D108" s="4">
        <v>3.0</v>
      </c>
      <c r="E108" s="4">
        <v>3.0</v>
      </c>
      <c r="F108" s="4">
        <v>6.0</v>
      </c>
      <c r="G108" s="4">
        <v>12.0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>
        <v>2021.0</v>
      </c>
      <c r="B109" s="5" t="s">
        <v>32</v>
      </c>
      <c r="C109" s="5" t="s">
        <v>8</v>
      </c>
      <c r="D109" s="4">
        <v>0.0</v>
      </c>
      <c r="E109" s="4">
        <v>0.0</v>
      </c>
      <c r="F109" s="4">
        <v>0.0</v>
      </c>
      <c r="G109" s="4">
        <v>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>
        <v>2021.0</v>
      </c>
      <c r="B110" s="5" t="s">
        <v>32</v>
      </c>
      <c r="C110" s="5" t="s">
        <v>9</v>
      </c>
      <c r="D110" s="4">
        <v>2.0</v>
      </c>
      <c r="E110" s="4">
        <v>2.0</v>
      </c>
      <c r="F110" s="4">
        <v>12.0</v>
      </c>
      <c r="G110" s="4">
        <v>16.0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>
        <v>2021.0</v>
      </c>
      <c r="B111" s="5" t="s">
        <v>32</v>
      </c>
      <c r="C111" s="5" t="s">
        <v>10</v>
      </c>
      <c r="D111" s="4">
        <v>948.0</v>
      </c>
      <c r="E111" s="4">
        <v>812.0</v>
      </c>
      <c r="F111" s="4">
        <v>2914.0</v>
      </c>
      <c r="G111" s="4">
        <v>4674.0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>
        <v>2021.0</v>
      </c>
      <c r="B112" s="5" t="s">
        <v>32</v>
      </c>
      <c r="C112" s="5" t="s">
        <v>12</v>
      </c>
      <c r="D112" s="4">
        <v>3.0</v>
      </c>
      <c r="E112" s="4">
        <v>2.0</v>
      </c>
      <c r="F112" s="4">
        <v>16.0</v>
      </c>
      <c r="G112" s="4">
        <v>21.0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>
        <v>2021.0</v>
      </c>
      <c r="B113" s="5" t="s">
        <v>32</v>
      </c>
      <c r="C113" s="5" t="s">
        <v>15</v>
      </c>
      <c r="D113" s="4">
        <v>187.0</v>
      </c>
      <c r="E113" s="4">
        <v>159.0</v>
      </c>
      <c r="F113" s="4">
        <v>694.0</v>
      </c>
      <c r="G113" s="4">
        <v>1040.0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>
        <v>2021.0</v>
      </c>
      <c r="B114" s="5" t="s">
        <v>32</v>
      </c>
      <c r="C114" s="5" t="s">
        <v>16</v>
      </c>
      <c r="D114" s="4">
        <v>1.0</v>
      </c>
      <c r="E114" s="4">
        <v>0.0</v>
      </c>
      <c r="F114" s="4">
        <v>6.0</v>
      </c>
      <c r="G114" s="4">
        <v>7.0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>
        <v>2021.0</v>
      </c>
      <c r="B115" s="5" t="s">
        <v>32</v>
      </c>
      <c r="C115" s="5" t="s">
        <v>14</v>
      </c>
      <c r="D115" s="4">
        <v>872.0</v>
      </c>
      <c r="E115" s="4">
        <v>804.0</v>
      </c>
      <c r="F115" s="4">
        <v>2984.0</v>
      </c>
      <c r="G115" s="4">
        <v>4660.0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>
        <v>2021.0</v>
      </c>
      <c r="B116" s="5" t="s">
        <v>32</v>
      </c>
      <c r="C116" s="5" t="s">
        <v>17</v>
      </c>
      <c r="D116" s="4">
        <v>1.0</v>
      </c>
      <c r="E116" s="4">
        <v>2.0</v>
      </c>
      <c r="F116" s="4">
        <v>13.0</v>
      </c>
      <c r="G116" s="4">
        <v>16.0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>
        <v>2021.0</v>
      </c>
      <c r="B117" s="5" t="s">
        <v>32</v>
      </c>
      <c r="C117" s="5" t="s">
        <v>19</v>
      </c>
      <c r="D117" s="4">
        <v>11.0</v>
      </c>
      <c r="E117" s="4">
        <v>10.0</v>
      </c>
      <c r="F117" s="4">
        <v>54.0</v>
      </c>
      <c r="G117" s="4">
        <v>75.0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>
        <v>2021.0</v>
      </c>
      <c r="B118" s="5" t="s">
        <v>32</v>
      </c>
      <c r="C118" s="5" t="s">
        <v>20</v>
      </c>
      <c r="D118" s="4">
        <v>10.0</v>
      </c>
      <c r="E118" s="4">
        <v>7.0</v>
      </c>
      <c r="F118" s="4">
        <v>17.0</v>
      </c>
      <c r="G118" s="4">
        <v>34.0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>
        <v>2021.0</v>
      </c>
      <c r="B119" s="5" t="s">
        <v>32</v>
      </c>
      <c r="C119" s="5" t="s">
        <v>21</v>
      </c>
      <c r="D119" s="4">
        <v>0.0</v>
      </c>
      <c r="E119" s="4">
        <v>0.0</v>
      </c>
      <c r="F119" s="4">
        <v>1.0</v>
      </c>
      <c r="G119" s="4">
        <v>1.0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>
        <v>2021.0</v>
      </c>
      <c r="B120" s="5" t="s">
        <v>32</v>
      </c>
      <c r="C120" s="5" t="s">
        <v>22</v>
      </c>
      <c r="D120" s="4">
        <v>3.0</v>
      </c>
      <c r="E120" s="4">
        <v>4.0</v>
      </c>
      <c r="F120" s="4">
        <v>17.0</v>
      </c>
      <c r="G120" s="4">
        <v>24.0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>
        <v>2021.0</v>
      </c>
      <c r="B121" s="5" t="s">
        <v>32</v>
      </c>
      <c r="C121" s="5" t="s">
        <v>23</v>
      </c>
      <c r="D121" s="4">
        <v>0.0</v>
      </c>
      <c r="E121" s="4">
        <v>0.0</v>
      </c>
      <c r="F121" s="4">
        <v>2.0</v>
      </c>
      <c r="G121" s="4">
        <v>2.0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>
        <v>2021.0</v>
      </c>
      <c r="B122" s="5" t="s">
        <v>18</v>
      </c>
      <c r="C122" s="5" t="s">
        <v>7</v>
      </c>
      <c r="D122" s="4">
        <v>1.0</v>
      </c>
      <c r="E122" s="4">
        <v>0.0</v>
      </c>
      <c r="F122" s="4">
        <v>2.0</v>
      </c>
      <c r="G122" s="4">
        <v>3.0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>
        <v>2021.0</v>
      </c>
      <c r="B123" s="5" t="s">
        <v>18</v>
      </c>
      <c r="C123" s="5" t="s">
        <v>33</v>
      </c>
      <c r="D123" s="4">
        <v>4.0</v>
      </c>
      <c r="E123" s="4">
        <v>4.0</v>
      </c>
      <c r="F123" s="4">
        <v>8.0</v>
      </c>
      <c r="G123" s="4">
        <v>16.0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>
        <v>2021.0</v>
      </c>
      <c r="B124" s="5" t="s">
        <v>18</v>
      </c>
      <c r="C124" s="5" t="s">
        <v>8</v>
      </c>
      <c r="D124" s="4">
        <v>0.0</v>
      </c>
      <c r="E124" s="4">
        <v>0.0</v>
      </c>
      <c r="F124" s="4">
        <v>0.0</v>
      </c>
      <c r="G124" s="4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>
        <v>2021.0</v>
      </c>
      <c r="B125" s="5" t="s">
        <v>18</v>
      </c>
      <c r="C125" s="5" t="s">
        <v>9</v>
      </c>
      <c r="D125" s="4">
        <v>1.0</v>
      </c>
      <c r="E125" s="4">
        <v>1.0</v>
      </c>
      <c r="F125" s="4">
        <v>11.0</v>
      </c>
      <c r="G125" s="4">
        <v>13.0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>
        <v>2021.0</v>
      </c>
      <c r="B126" s="5" t="s">
        <v>18</v>
      </c>
      <c r="C126" s="5" t="s">
        <v>10</v>
      </c>
      <c r="D126" s="4">
        <v>912.0</v>
      </c>
      <c r="E126" s="4">
        <v>784.0</v>
      </c>
      <c r="F126" s="4">
        <v>2814.0</v>
      </c>
      <c r="G126" s="4">
        <v>4510.0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>
        <v>2021.0</v>
      </c>
      <c r="B127" s="5" t="s">
        <v>18</v>
      </c>
      <c r="C127" s="5" t="s">
        <v>12</v>
      </c>
      <c r="D127" s="4">
        <v>2.0</v>
      </c>
      <c r="E127" s="4">
        <v>2.0</v>
      </c>
      <c r="F127" s="4">
        <v>14.0</v>
      </c>
      <c r="G127" s="4">
        <v>18.0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>
        <v>2021.0</v>
      </c>
      <c r="B128" s="5" t="s">
        <v>18</v>
      </c>
      <c r="C128" s="5" t="s">
        <v>15</v>
      </c>
      <c r="D128" s="4">
        <v>178.0</v>
      </c>
      <c r="E128" s="4">
        <v>151.0</v>
      </c>
      <c r="F128" s="4">
        <v>654.0</v>
      </c>
      <c r="G128" s="4">
        <v>983.0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>
        <v>2021.0</v>
      </c>
      <c r="B129" s="5" t="s">
        <v>18</v>
      </c>
      <c r="C129" s="5" t="s">
        <v>16</v>
      </c>
      <c r="D129" s="4">
        <v>1.0</v>
      </c>
      <c r="E129" s="4">
        <v>0.0</v>
      </c>
      <c r="F129" s="4">
        <v>5.0</v>
      </c>
      <c r="G129" s="4">
        <v>6.0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>
        <v>2021.0</v>
      </c>
      <c r="B130" s="5" t="s">
        <v>18</v>
      </c>
      <c r="C130" s="5" t="s">
        <v>14</v>
      </c>
      <c r="D130" s="4">
        <v>842.0</v>
      </c>
      <c r="E130" s="4">
        <v>771.0</v>
      </c>
      <c r="F130" s="4">
        <v>2884.0</v>
      </c>
      <c r="G130" s="4">
        <v>4497.0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>
        <v>2021.0</v>
      </c>
      <c r="B131" s="5" t="s">
        <v>18</v>
      </c>
      <c r="C131" s="5" t="s">
        <v>17</v>
      </c>
      <c r="D131" s="4">
        <v>1.0</v>
      </c>
      <c r="E131" s="4">
        <v>1.0</v>
      </c>
      <c r="F131" s="4">
        <v>11.0</v>
      </c>
      <c r="G131" s="4">
        <v>13.0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>
        <v>2021.0</v>
      </c>
      <c r="B132" s="5" t="s">
        <v>18</v>
      </c>
      <c r="C132" s="5" t="s">
        <v>19</v>
      </c>
      <c r="D132" s="4">
        <v>9.0</v>
      </c>
      <c r="E132" s="4">
        <v>9.0</v>
      </c>
      <c r="F132" s="4">
        <v>51.0</v>
      </c>
      <c r="G132" s="4">
        <v>69.0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>
        <v>2021.0</v>
      </c>
      <c r="B133" s="5" t="s">
        <v>18</v>
      </c>
      <c r="C133" s="5" t="s">
        <v>20</v>
      </c>
      <c r="D133" s="4">
        <v>9.0</v>
      </c>
      <c r="E133" s="4">
        <v>6.0</v>
      </c>
      <c r="F133" s="4">
        <v>16.0</v>
      </c>
      <c r="G133" s="4">
        <v>31.0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>
        <v>2021.0</v>
      </c>
      <c r="B134" s="5" t="s">
        <v>18</v>
      </c>
      <c r="C134" s="5" t="s">
        <v>21</v>
      </c>
      <c r="D134" s="4">
        <v>0.0</v>
      </c>
      <c r="E134" s="4">
        <v>0.0</v>
      </c>
      <c r="F134" s="4">
        <v>1.0</v>
      </c>
      <c r="G134" s="4">
        <v>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>
        <v>2021.0</v>
      </c>
      <c r="B135" s="5" t="s">
        <v>18</v>
      </c>
      <c r="C135" s="5" t="s">
        <v>22</v>
      </c>
      <c r="D135" s="4">
        <v>2.0</v>
      </c>
      <c r="E135" s="4">
        <v>3.0</v>
      </c>
      <c r="F135" s="4">
        <v>15.0</v>
      </c>
      <c r="G135" s="4">
        <v>20.0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>
        <v>2021.0</v>
      </c>
      <c r="B136" s="5" t="s">
        <v>18</v>
      </c>
      <c r="C136" s="5" t="s">
        <v>23</v>
      </c>
      <c r="D136" s="4">
        <v>0.0</v>
      </c>
      <c r="E136" s="4">
        <v>0.0</v>
      </c>
      <c r="F136" s="4">
        <v>1.0</v>
      </c>
      <c r="G136" s="4">
        <v>1.0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>
        <v>2021.0</v>
      </c>
      <c r="B137" s="5" t="s">
        <v>25</v>
      </c>
      <c r="C137" s="5" t="s">
        <v>7</v>
      </c>
      <c r="D137" s="4">
        <v>2.0</v>
      </c>
      <c r="E137" s="4">
        <v>1.0</v>
      </c>
      <c r="F137" s="4">
        <v>3.0</v>
      </c>
      <c r="G137" s="4">
        <v>6.0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>
        <v>2021.0</v>
      </c>
      <c r="B138" s="5" t="s">
        <v>25</v>
      </c>
      <c r="C138" s="5" t="s">
        <v>33</v>
      </c>
      <c r="D138" s="4">
        <v>4.0</v>
      </c>
      <c r="E138" s="4">
        <v>4.0</v>
      </c>
      <c r="F138" s="4">
        <v>8.0</v>
      </c>
      <c r="G138" s="4">
        <v>16.0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>
        <v>2021.0</v>
      </c>
      <c r="B139" s="5" t="s">
        <v>25</v>
      </c>
      <c r="C139" s="5" t="s">
        <v>8</v>
      </c>
      <c r="D139" s="4">
        <v>0.0</v>
      </c>
      <c r="E139" s="4">
        <v>0.0</v>
      </c>
      <c r="F139" s="4">
        <v>0.0</v>
      </c>
      <c r="G139" s="4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>
        <v>2021.0</v>
      </c>
      <c r="B140" s="5" t="s">
        <v>25</v>
      </c>
      <c r="C140" s="5" t="s">
        <v>9</v>
      </c>
      <c r="D140" s="4">
        <v>2.0</v>
      </c>
      <c r="E140" s="4">
        <v>2.0</v>
      </c>
      <c r="F140" s="4">
        <v>13.0</v>
      </c>
      <c r="G140" s="4">
        <v>17.0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>
        <v>2021.0</v>
      </c>
      <c r="B141" s="5" t="s">
        <v>25</v>
      </c>
      <c r="C141" s="5" t="s">
        <v>10</v>
      </c>
      <c r="D141" s="4">
        <v>1014.0</v>
      </c>
      <c r="E141" s="4">
        <v>864.0</v>
      </c>
      <c r="F141" s="4">
        <v>3118.0</v>
      </c>
      <c r="G141" s="4">
        <v>4996.0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>
        <v>2021.0</v>
      </c>
      <c r="B142" s="5" t="s">
        <v>25</v>
      </c>
      <c r="C142" s="5" t="s">
        <v>12</v>
      </c>
      <c r="D142" s="4">
        <v>3.0</v>
      </c>
      <c r="E142" s="4">
        <v>2.0</v>
      </c>
      <c r="F142" s="4">
        <v>18.0</v>
      </c>
      <c r="G142" s="4">
        <v>23.0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>
        <v>2021.0</v>
      </c>
      <c r="B143" s="5" t="s">
        <v>25</v>
      </c>
      <c r="C143" s="5" t="s">
        <v>15</v>
      </c>
      <c r="D143" s="4">
        <v>198.0</v>
      </c>
      <c r="E143" s="4">
        <v>168.0</v>
      </c>
      <c r="F143" s="4">
        <v>724.0</v>
      </c>
      <c r="G143" s="4">
        <v>1090.0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>
        <v>2021.0</v>
      </c>
      <c r="B144" s="5" t="s">
        <v>25</v>
      </c>
      <c r="C144" s="5" t="s">
        <v>16</v>
      </c>
      <c r="D144" s="4">
        <v>1.0</v>
      </c>
      <c r="E144" s="4">
        <v>1.0</v>
      </c>
      <c r="F144" s="4">
        <v>7.0</v>
      </c>
      <c r="G144" s="4">
        <v>9.0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>
        <v>2021.0</v>
      </c>
      <c r="B145" s="5" t="s">
        <v>25</v>
      </c>
      <c r="C145" s="5" t="s">
        <v>14</v>
      </c>
      <c r="D145" s="4">
        <v>948.0</v>
      </c>
      <c r="E145" s="4">
        <v>852.0</v>
      </c>
      <c r="F145" s="4">
        <v>3214.0</v>
      </c>
      <c r="G145" s="4">
        <v>5014.0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>
        <v>2021.0</v>
      </c>
      <c r="B146" s="5" t="s">
        <v>25</v>
      </c>
      <c r="C146" s="5" t="s">
        <v>17</v>
      </c>
      <c r="D146" s="4">
        <v>1.0</v>
      </c>
      <c r="E146" s="4">
        <v>2.0</v>
      </c>
      <c r="F146" s="4">
        <v>13.0</v>
      </c>
      <c r="G146" s="4">
        <v>16.0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>
        <v>2021.0</v>
      </c>
      <c r="B147" s="5" t="s">
        <v>25</v>
      </c>
      <c r="C147" s="5" t="s">
        <v>19</v>
      </c>
      <c r="D147" s="4">
        <v>11.0</v>
      </c>
      <c r="E147" s="4">
        <v>11.0</v>
      </c>
      <c r="F147" s="4">
        <v>62.0</v>
      </c>
      <c r="G147" s="4">
        <v>84.0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>
        <v>2021.0</v>
      </c>
      <c r="B148" s="5" t="s">
        <v>25</v>
      </c>
      <c r="C148" s="5" t="s">
        <v>20</v>
      </c>
      <c r="D148" s="4">
        <v>10.0</v>
      </c>
      <c r="E148" s="4">
        <v>7.0</v>
      </c>
      <c r="F148" s="4">
        <v>19.0</v>
      </c>
      <c r="G148" s="4">
        <v>36.0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>
        <v>2021.0</v>
      </c>
      <c r="B149" s="5" t="s">
        <v>25</v>
      </c>
      <c r="C149" s="5" t="s">
        <v>21</v>
      </c>
      <c r="D149" s="4">
        <v>1.0</v>
      </c>
      <c r="E149" s="4">
        <v>0.0</v>
      </c>
      <c r="F149" s="4">
        <v>1.0</v>
      </c>
      <c r="G149" s="4">
        <v>2.0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>
        <v>2021.0</v>
      </c>
      <c r="B150" s="5" t="s">
        <v>25</v>
      </c>
      <c r="C150" s="5" t="s">
        <v>22</v>
      </c>
      <c r="D150" s="4">
        <v>3.0</v>
      </c>
      <c r="E150" s="4">
        <v>4.0</v>
      </c>
      <c r="F150" s="4">
        <v>18.0</v>
      </c>
      <c r="G150" s="4">
        <v>25.0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>
        <v>2021.0</v>
      </c>
      <c r="B151" s="5" t="s">
        <v>25</v>
      </c>
      <c r="C151" s="5" t="s">
        <v>23</v>
      </c>
      <c r="D151" s="4">
        <v>0.0</v>
      </c>
      <c r="E151" s="4">
        <v>1.0</v>
      </c>
      <c r="F151" s="4">
        <v>2.0</v>
      </c>
      <c r="G151" s="4">
        <v>3.0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>
        <v>2021.0</v>
      </c>
      <c r="B152" s="5" t="s">
        <v>27</v>
      </c>
      <c r="C152" s="5" t="s">
        <v>7</v>
      </c>
      <c r="D152" s="4">
        <v>1.0</v>
      </c>
      <c r="E152" s="4">
        <v>0.0</v>
      </c>
      <c r="F152" s="4">
        <v>2.0</v>
      </c>
      <c r="G152" s="4">
        <v>3.0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>
        <v>2021.0</v>
      </c>
      <c r="B153" s="5" t="s">
        <v>27</v>
      </c>
      <c r="C153" s="5" t="s">
        <v>33</v>
      </c>
      <c r="D153" s="4">
        <v>3.0</v>
      </c>
      <c r="E153" s="4">
        <v>3.0</v>
      </c>
      <c r="F153" s="4">
        <v>6.0</v>
      </c>
      <c r="G153" s="4">
        <v>12.0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>
        <v>2021.0</v>
      </c>
      <c r="B154" s="5" t="s">
        <v>27</v>
      </c>
      <c r="C154" s="5" t="s">
        <v>8</v>
      </c>
      <c r="D154" s="4">
        <v>0.0</v>
      </c>
      <c r="E154" s="4">
        <v>0.0</v>
      </c>
      <c r="F154" s="4">
        <v>0.0</v>
      </c>
      <c r="G154" s="4">
        <v>0.0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>
        <v>2021.0</v>
      </c>
      <c r="B155" s="5" t="s">
        <v>27</v>
      </c>
      <c r="C155" s="5" t="s">
        <v>9</v>
      </c>
      <c r="D155" s="4">
        <v>2.0</v>
      </c>
      <c r="E155" s="4">
        <v>2.0</v>
      </c>
      <c r="F155" s="4">
        <v>12.0</v>
      </c>
      <c r="G155" s="4">
        <v>16.0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>
        <v>2021.0</v>
      </c>
      <c r="B156" s="5" t="s">
        <v>27</v>
      </c>
      <c r="C156" s="5" t="s">
        <v>10</v>
      </c>
      <c r="D156" s="4">
        <v>948.0</v>
      </c>
      <c r="E156" s="4">
        <v>812.0</v>
      </c>
      <c r="F156" s="4">
        <v>2914.0</v>
      </c>
      <c r="G156" s="4">
        <v>4674.0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>
        <v>2021.0</v>
      </c>
      <c r="B157" s="5" t="s">
        <v>27</v>
      </c>
      <c r="C157" s="5" t="s">
        <v>12</v>
      </c>
      <c r="D157" s="4">
        <v>3.0</v>
      </c>
      <c r="E157" s="4">
        <v>2.0</v>
      </c>
      <c r="F157" s="4">
        <v>16.0</v>
      </c>
      <c r="G157" s="4">
        <v>21.0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>
        <v>2021.0</v>
      </c>
      <c r="B158" s="5" t="s">
        <v>27</v>
      </c>
      <c r="C158" s="5" t="s">
        <v>15</v>
      </c>
      <c r="D158" s="4">
        <v>187.0</v>
      </c>
      <c r="E158" s="4">
        <v>159.0</v>
      </c>
      <c r="F158" s="4">
        <v>694.0</v>
      </c>
      <c r="G158" s="4">
        <v>1040.0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>
        <v>2021.0</v>
      </c>
      <c r="B159" s="5" t="s">
        <v>27</v>
      </c>
      <c r="C159" s="5" t="s">
        <v>16</v>
      </c>
      <c r="D159" s="4">
        <v>1.0</v>
      </c>
      <c r="E159" s="4">
        <v>0.0</v>
      </c>
      <c r="F159" s="4">
        <v>6.0</v>
      </c>
      <c r="G159" s="4">
        <v>7.0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>
        <v>2021.0</v>
      </c>
      <c r="B160" s="5" t="s">
        <v>27</v>
      </c>
      <c r="C160" s="5" t="s">
        <v>14</v>
      </c>
      <c r="D160" s="4">
        <v>872.0</v>
      </c>
      <c r="E160" s="4">
        <v>804.0</v>
      </c>
      <c r="F160" s="4">
        <v>2984.0</v>
      </c>
      <c r="G160" s="4">
        <v>4660.0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>
        <v>2021.0</v>
      </c>
      <c r="B161" s="5" t="s">
        <v>27</v>
      </c>
      <c r="C161" s="5" t="s">
        <v>17</v>
      </c>
      <c r="D161" s="4">
        <v>1.0</v>
      </c>
      <c r="E161" s="4">
        <v>2.0</v>
      </c>
      <c r="F161" s="4">
        <v>13.0</v>
      </c>
      <c r="G161" s="4">
        <v>16.0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>
        <v>2021.0</v>
      </c>
      <c r="B162" s="5" t="s">
        <v>27</v>
      </c>
      <c r="C162" s="5" t="s">
        <v>19</v>
      </c>
      <c r="D162" s="4">
        <v>11.0</v>
      </c>
      <c r="E162" s="4">
        <v>10.0</v>
      </c>
      <c r="F162" s="4">
        <v>54.0</v>
      </c>
      <c r="G162" s="4">
        <v>75.0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>
        <v>2021.0</v>
      </c>
      <c r="B163" s="5" t="s">
        <v>27</v>
      </c>
      <c r="C163" s="5" t="s">
        <v>20</v>
      </c>
      <c r="D163" s="4">
        <v>10.0</v>
      </c>
      <c r="E163" s="4">
        <v>7.0</v>
      </c>
      <c r="F163" s="4">
        <v>17.0</v>
      </c>
      <c r="G163" s="4">
        <v>34.0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>
        <v>2021.0</v>
      </c>
      <c r="B164" s="5" t="s">
        <v>27</v>
      </c>
      <c r="C164" s="5" t="s">
        <v>21</v>
      </c>
      <c r="D164" s="4">
        <v>0.0</v>
      </c>
      <c r="E164" s="4">
        <v>0.0</v>
      </c>
      <c r="F164" s="4">
        <v>1.0</v>
      </c>
      <c r="G164" s="4">
        <v>1.0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>
        <v>2021.0</v>
      </c>
      <c r="B165" s="5" t="s">
        <v>27</v>
      </c>
      <c r="C165" s="5" t="s">
        <v>22</v>
      </c>
      <c r="D165" s="4">
        <v>3.0</v>
      </c>
      <c r="E165" s="4">
        <v>4.0</v>
      </c>
      <c r="F165" s="4">
        <v>17.0</v>
      </c>
      <c r="G165" s="4">
        <v>24.0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>
        <v>2021.0</v>
      </c>
      <c r="B166" s="5" t="s">
        <v>27</v>
      </c>
      <c r="C166" s="5" t="s">
        <v>23</v>
      </c>
      <c r="D166" s="4">
        <v>0.0</v>
      </c>
      <c r="E166" s="4">
        <v>0.0</v>
      </c>
      <c r="F166" s="4">
        <v>2.0</v>
      </c>
      <c r="G166" s="4">
        <v>2.0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>
        <v>2021.0</v>
      </c>
      <c r="B167" s="5" t="s">
        <v>29</v>
      </c>
      <c r="C167" s="5" t="s">
        <v>7</v>
      </c>
      <c r="D167" s="4">
        <v>1.0</v>
      </c>
      <c r="E167" s="4">
        <v>0.0</v>
      </c>
      <c r="F167" s="4">
        <v>2.0</v>
      </c>
      <c r="G167" s="4">
        <v>3.0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>
        <v>2021.0</v>
      </c>
      <c r="B168" s="5" t="s">
        <v>29</v>
      </c>
      <c r="C168" s="5" t="s">
        <v>33</v>
      </c>
      <c r="D168" s="4">
        <v>4.0</v>
      </c>
      <c r="E168" s="4">
        <v>4.0</v>
      </c>
      <c r="F168" s="4">
        <v>8.0</v>
      </c>
      <c r="G168" s="4">
        <v>16.0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>
        <v>2021.0</v>
      </c>
      <c r="B169" s="5" t="s">
        <v>29</v>
      </c>
      <c r="C169" s="5" t="s">
        <v>8</v>
      </c>
      <c r="D169" s="4">
        <v>0.0</v>
      </c>
      <c r="E169" s="4">
        <v>0.0</v>
      </c>
      <c r="F169" s="4">
        <v>0.0</v>
      </c>
      <c r="G169" s="4">
        <v>0.0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>
        <v>2021.0</v>
      </c>
      <c r="B170" s="5" t="s">
        <v>29</v>
      </c>
      <c r="C170" s="5" t="s">
        <v>9</v>
      </c>
      <c r="D170" s="4">
        <v>1.0</v>
      </c>
      <c r="E170" s="4">
        <v>1.0</v>
      </c>
      <c r="F170" s="4">
        <v>11.0</v>
      </c>
      <c r="G170" s="4">
        <v>13.0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>
        <v>2021.0</v>
      </c>
      <c r="B171" s="5" t="s">
        <v>29</v>
      </c>
      <c r="C171" s="5" t="s">
        <v>10</v>
      </c>
      <c r="D171" s="4">
        <v>912.0</v>
      </c>
      <c r="E171" s="4">
        <v>784.0</v>
      </c>
      <c r="F171" s="4">
        <v>2814.0</v>
      </c>
      <c r="G171" s="4">
        <v>4510.0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>
        <v>2021.0</v>
      </c>
      <c r="B172" s="5" t="s">
        <v>29</v>
      </c>
      <c r="C172" s="5" t="s">
        <v>12</v>
      </c>
      <c r="D172" s="4">
        <v>2.0</v>
      </c>
      <c r="E172" s="4">
        <v>2.0</v>
      </c>
      <c r="F172" s="4">
        <v>14.0</v>
      </c>
      <c r="G172" s="4">
        <v>18.0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>
        <v>2021.0</v>
      </c>
      <c r="B173" s="5" t="s">
        <v>29</v>
      </c>
      <c r="C173" s="5" t="s">
        <v>15</v>
      </c>
      <c r="D173" s="4">
        <v>178.0</v>
      </c>
      <c r="E173" s="4">
        <v>151.0</v>
      </c>
      <c r="F173" s="4">
        <v>654.0</v>
      </c>
      <c r="G173" s="4">
        <v>983.0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>
        <v>2021.0</v>
      </c>
      <c r="B174" s="5" t="s">
        <v>29</v>
      </c>
      <c r="C174" s="5" t="s">
        <v>16</v>
      </c>
      <c r="D174" s="4">
        <v>1.0</v>
      </c>
      <c r="E174" s="4">
        <v>0.0</v>
      </c>
      <c r="F174" s="4">
        <v>5.0</v>
      </c>
      <c r="G174" s="4">
        <v>6.0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>
        <v>2021.0</v>
      </c>
      <c r="B175" s="5" t="s">
        <v>29</v>
      </c>
      <c r="C175" s="5" t="s">
        <v>14</v>
      </c>
      <c r="D175" s="4">
        <v>842.0</v>
      </c>
      <c r="E175" s="4">
        <v>771.0</v>
      </c>
      <c r="F175" s="4">
        <v>2884.0</v>
      </c>
      <c r="G175" s="4">
        <v>4497.0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>
        <v>2021.0</v>
      </c>
      <c r="B176" s="5" t="s">
        <v>29</v>
      </c>
      <c r="C176" s="5" t="s">
        <v>17</v>
      </c>
      <c r="D176" s="4">
        <v>1.0</v>
      </c>
      <c r="E176" s="4">
        <v>1.0</v>
      </c>
      <c r="F176" s="4">
        <v>11.0</v>
      </c>
      <c r="G176" s="4">
        <v>13.0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>
        <v>2021.0</v>
      </c>
      <c r="B177" s="5" t="s">
        <v>29</v>
      </c>
      <c r="C177" s="5" t="s">
        <v>19</v>
      </c>
      <c r="D177" s="4">
        <v>9.0</v>
      </c>
      <c r="E177" s="4">
        <v>9.0</v>
      </c>
      <c r="F177" s="4">
        <v>51.0</v>
      </c>
      <c r="G177" s="4">
        <v>69.0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>
        <v>2021.0</v>
      </c>
      <c r="B178" s="5" t="s">
        <v>29</v>
      </c>
      <c r="C178" s="5" t="s">
        <v>20</v>
      </c>
      <c r="D178" s="4">
        <v>9.0</v>
      </c>
      <c r="E178" s="4">
        <v>6.0</v>
      </c>
      <c r="F178" s="4">
        <v>16.0</v>
      </c>
      <c r="G178" s="4">
        <v>31.0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>
        <v>2021.0</v>
      </c>
      <c r="B179" s="5" t="s">
        <v>29</v>
      </c>
      <c r="C179" s="5" t="s">
        <v>21</v>
      </c>
      <c r="D179" s="4">
        <v>0.0</v>
      </c>
      <c r="E179" s="4">
        <v>0.0</v>
      </c>
      <c r="F179" s="4">
        <v>1.0</v>
      </c>
      <c r="G179" s="4">
        <v>1.0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>
        <v>2021.0</v>
      </c>
      <c r="B180" s="5" t="s">
        <v>29</v>
      </c>
      <c r="C180" s="5" t="s">
        <v>22</v>
      </c>
      <c r="D180" s="4">
        <v>2.0</v>
      </c>
      <c r="E180" s="4">
        <v>3.0</v>
      </c>
      <c r="F180" s="4">
        <v>15.0</v>
      </c>
      <c r="G180" s="4">
        <v>20.0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>
        <v>2021.0</v>
      </c>
      <c r="B181" s="5" t="s">
        <v>29</v>
      </c>
      <c r="C181" s="5" t="s">
        <v>23</v>
      </c>
      <c r="D181" s="4">
        <v>0.0</v>
      </c>
      <c r="E181" s="4">
        <v>0.0</v>
      </c>
      <c r="F181" s="4">
        <v>1.0</v>
      </c>
      <c r="G181" s="4">
        <v>1.0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</sheetData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2022.0</v>
      </c>
      <c r="B2" s="5" t="s">
        <v>11</v>
      </c>
      <c r="C2" s="5" t="s">
        <v>7</v>
      </c>
      <c r="D2" s="4">
        <v>1.0</v>
      </c>
      <c r="E2" s="4">
        <v>0.0</v>
      </c>
      <c r="F2" s="4">
        <v>2.0</v>
      </c>
      <c r="G2" s="4">
        <v>3.0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2022.0</v>
      </c>
      <c r="B3" s="5" t="s">
        <v>11</v>
      </c>
      <c r="C3" s="5" t="s">
        <v>33</v>
      </c>
      <c r="D3" s="4">
        <v>4.0</v>
      </c>
      <c r="E3" s="4">
        <v>4.0</v>
      </c>
      <c r="F3" s="4">
        <v>8.0</v>
      </c>
      <c r="G3" s="4">
        <v>16.0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2022.0</v>
      </c>
      <c r="B4" s="5" t="s">
        <v>11</v>
      </c>
      <c r="C4" s="5" t="s">
        <v>8</v>
      </c>
      <c r="D4" s="4">
        <v>0.0</v>
      </c>
      <c r="E4" s="4">
        <v>0.0</v>
      </c>
      <c r="F4" s="4">
        <v>0.0</v>
      </c>
      <c r="G4" s="4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2022.0</v>
      </c>
      <c r="B5" s="5" t="s">
        <v>11</v>
      </c>
      <c r="C5" s="5" t="s">
        <v>9</v>
      </c>
      <c r="D5" s="4">
        <v>2.0</v>
      </c>
      <c r="E5" s="4">
        <v>2.0</v>
      </c>
      <c r="F5" s="4">
        <v>12.0</v>
      </c>
      <c r="G5" s="4">
        <v>16.0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2022.0</v>
      </c>
      <c r="B6" s="5" t="s">
        <v>11</v>
      </c>
      <c r="C6" s="5" t="s">
        <v>10</v>
      </c>
      <c r="D6" s="4">
        <v>948.0</v>
      </c>
      <c r="E6" s="4">
        <v>812.0</v>
      </c>
      <c r="F6" s="4">
        <v>2914.0</v>
      </c>
      <c r="G6" s="4">
        <v>4674.0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2022.0</v>
      </c>
      <c r="B7" s="5" t="s">
        <v>11</v>
      </c>
      <c r="C7" s="5" t="s">
        <v>12</v>
      </c>
      <c r="D7" s="4">
        <v>3.0</v>
      </c>
      <c r="E7" s="4">
        <v>2.0</v>
      </c>
      <c r="F7" s="4">
        <v>16.0</v>
      </c>
      <c r="G7" s="4">
        <v>21.0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2022.0</v>
      </c>
      <c r="B8" s="5" t="s">
        <v>11</v>
      </c>
      <c r="C8" s="5" t="s">
        <v>15</v>
      </c>
      <c r="D8" s="4">
        <v>187.0</v>
      </c>
      <c r="E8" s="4">
        <v>159.0</v>
      </c>
      <c r="F8" s="4">
        <v>694.0</v>
      </c>
      <c r="G8" s="4">
        <v>1040.0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2022.0</v>
      </c>
      <c r="B9" s="5" t="s">
        <v>11</v>
      </c>
      <c r="C9" s="5" t="s">
        <v>16</v>
      </c>
      <c r="D9" s="4">
        <v>1.0</v>
      </c>
      <c r="E9" s="4">
        <v>0.0</v>
      </c>
      <c r="F9" s="4">
        <v>6.0</v>
      </c>
      <c r="G9" s="4">
        <v>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2022.0</v>
      </c>
      <c r="B10" s="5" t="s">
        <v>11</v>
      </c>
      <c r="C10" s="5" t="s">
        <v>14</v>
      </c>
      <c r="D10" s="4">
        <v>872.0</v>
      </c>
      <c r="E10" s="4">
        <v>804.0</v>
      </c>
      <c r="F10" s="4">
        <v>2984.0</v>
      </c>
      <c r="G10" s="4">
        <v>4660.0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2022.0</v>
      </c>
      <c r="B11" s="5" t="s">
        <v>11</v>
      </c>
      <c r="C11" s="5" t="s">
        <v>17</v>
      </c>
      <c r="D11" s="4">
        <v>1.0</v>
      </c>
      <c r="E11" s="4">
        <v>2.0</v>
      </c>
      <c r="F11" s="4">
        <v>13.0</v>
      </c>
      <c r="G11" s="4">
        <v>16.0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2022.0</v>
      </c>
      <c r="B12" s="5" t="s">
        <v>11</v>
      </c>
      <c r="C12" s="5" t="s">
        <v>19</v>
      </c>
      <c r="D12" s="4">
        <v>11.0</v>
      </c>
      <c r="E12" s="4">
        <v>10.0</v>
      </c>
      <c r="F12" s="4">
        <v>54.0</v>
      </c>
      <c r="G12" s="4">
        <v>75.0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2022.0</v>
      </c>
      <c r="B13" s="5" t="s">
        <v>11</v>
      </c>
      <c r="C13" s="5" t="s">
        <v>20</v>
      </c>
      <c r="D13" s="4">
        <v>10.0</v>
      </c>
      <c r="E13" s="4">
        <v>7.0</v>
      </c>
      <c r="F13" s="4">
        <v>17.0</v>
      </c>
      <c r="G13" s="4">
        <v>34.0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2022.0</v>
      </c>
      <c r="B14" s="5" t="s">
        <v>11</v>
      </c>
      <c r="C14" s="5" t="s">
        <v>21</v>
      </c>
      <c r="D14" s="4">
        <v>0.0</v>
      </c>
      <c r="E14" s="4">
        <v>0.0</v>
      </c>
      <c r="F14" s="4">
        <v>1.0</v>
      </c>
      <c r="G14" s="4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2022.0</v>
      </c>
      <c r="B15" s="5" t="s">
        <v>11</v>
      </c>
      <c r="C15" s="5" t="s">
        <v>22</v>
      </c>
      <c r="D15" s="4">
        <v>3.0</v>
      </c>
      <c r="E15" s="4">
        <v>4.0</v>
      </c>
      <c r="F15" s="4">
        <v>17.0</v>
      </c>
      <c r="G15" s="4">
        <v>24.0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2022.0</v>
      </c>
      <c r="B16" s="5" t="s">
        <v>11</v>
      </c>
      <c r="C16" s="5" t="s">
        <v>23</v>
      </c>
      <c r="D16" s="4">
        <v>0.0</v>
      </c>
      <c r="E16" s="4">
        <v>0.0</v>
      </c>
      <c r="F16" s="4">
        <v>2.0</v>
      </c>
      <c r="G16" s="4">
        <v>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2022.0</v>
      </c>
      <c r="B17" s="5" t="s">
        <v>24</v>
      </c>
      <c r="C17" s="5" t="s">
        <v>7</v>
      </c>
      <c r="D17" s="4">
        <v>1.0</v>
      </c>
      <c r="E17" s="4">
        <v>0.0</v>
      </c>
      <c r="F17" s="4">
        <v>2.0</v>
      </c>
      <c r="G17" s="4">
        <v>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2022.0</v>
      </c>
      <c r="B18" s="5" t="s">
        <v>24</v>
      </c>
      <c r="C18" s="5" t="s">
        <v>33</v>
      </c>
      <c r="D18" s="4">
        <v>3.0</v>
      </c>
      <c r="E18" s="4">
        <v>4.0</v>
      </c>
      <c r="F18" s="4">
        <v>7.0</v>
      </c>
      <c r="G18" s="4">
        <v>14.0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2022.0</v>
      </c>
      <c r="B19" s="5" t="s">
        <v>24</v>
      </c>
      <c r="C19" s="5" t="s">
        <v>8</v>
      </c>
      <c r="D19" s="4">
        <v>0.0</v>
      </c>
      <c r="E19" s="4">
        <v>0.0</v>
      </c>
      <c r="F19" s="4">
        <v>0.0</v>
      </c>
      <c r="G19" s="4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2022.0</v>
      </c>
      <c r="B20" s="5" t="s">
        <v>24</v>
      </c>
      <c r="C20" s="5" t="s">
        <v>9</v>
      </c>
      <c r="D20" s="4">
        <v>2.0</v>
      </c>
      <c r="E20" s="4">
        <v>2.0</v>
      </c>
      <c r="F20" s="4">
        <v>12.0</v>
      </c>
      <c r="G20" s="4">
        <v>16.0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2022.0</v>
      </c>
      <c r="B21" s="5" t="s">
        <v>24</v>
      </c>
      <c r="C21" s="5" t="s">
        <v>10</v>
      </c>
      <c r="D21" s="4">
        <v>948.0</v>
      </c>
      <c r="E21" s="4">
        <v>812.0</v>
      </c>
      <c r="F21" s="4">
        <v>2914.0</v>
      </c>
      <c r="G21" s="4">
        <v>4674.0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2022.0</v>
      </c>
      <c r="B22" s="5" t="s">
        <v>24</v>
      </c>
      <c r="C22" s="5" t="s">
        <v>12</v>
      </c>
      <c r="D22" s="4">
        <v>3.0</v>
      </c>
      <c r="E22" s="4">
        <v>2.0</v>
      </c>
      <c r="F22" s="4">
        <v>16.0</v>
      </c>
      <c r="G22" s="4">
        <v>21.0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2022.0</v>
      </c>
      <c r="B23" s="5" t="s">
        <v>24</v>
      </c>
      <c r="C23" s="5" t="s">
        <v>15</v>
      </c>
      <c r="D23" s="4">
        <v>187.0</v>
      </c>
      <c r="E23" s="4">
        <v>159.0</v>
      </c>
      <c r="F23" s="4">
        <v>694.0</v>
      </c>
      <c r="G23" s="4">
        <v>1040.0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2022.0</v>
      </c>
      <c r="B24" s="5" t="s">
        <v>24</v>
      </c>
      <c r="C24" s="5" t="s">
        <v>16</v>
      </c>
      <c r="D24" s="4">
        <v>1.0</v>
      </c>
      <c r="E24" s="4">
        <v>0.0</v>
      </c>
      <c r="F24" s="4">
        <v>6.0</v>
      </c>
      <c r="G24" s="4">
        <v>7.0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2022.0</v>
      </c>
      <c r="B25" s="5" t="s">
        <v>24</v>
      </c>
      <c r="C25" s="5" t="s">
        <v>14</v>
      </c>
      <c r="D25" s="4">
        <v>872.0</v>
      </c>
      <c r="E25" s="4">
        <v>804.0</v>
      </c>
      <c r="F25" s="4">
        <v>2984.0</v>
      </c>
      <c r="G25" s="4">
        <v>4660.0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2022.0</v>
      </c>
      <c r="B26" s="5" t="s">
        <v>24</v>
      </c>
      <c r="C26" s="5" t="s">
        <v>17</v>
      </c>
      <c r="D26" s="4">
        <v>1.0</v>
      </c>
      <c r="E26" s="4">
        <v>2.0</v>
      </c>
      <c r="F26" s="4">
        <v>13.0</v>
      </c>
      <c r="G26" s="4">
        <v>16.0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2022.0</v>
      </c>
      <c r="B27" s="5" t="s">
        <v>24</v>
      </c>
      <c r="C27" s="5" t="s">
        <v>19</v>
      </c>
      <c r="D27" s="4">
        <v>11.0</v>
      </c>
      <c r="E27" s="4">
        <v>10.0</v>
      </c>
      <c r="F27" s="4">
        <v>54.0</v>
      </c>
      <c r="G27" s="4">
        <v>75.0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2022.0</v>
      </c>
      <c r="B28" s="5" t="s">
        <v>24</v>
      </c>
      <c r="C28" s="5" t="s">
        <v>20</v>
      </c>
      <c r="D28" s="4">
        <v>10.0</v>
      </c>
      <c r="E28" s="4">
        <v>7.0</v>
      </c>
      <c r="F28" s="4">
        <v>17.0</v>
      </c>
      <c r="G28" s="4">
        <v>34.0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2022.0</v>
      </c>
      <c r="B29" s="5" t="s">
        <v>24</v>
      </c>
      <c r="C29" s="5" t="s">
        <v>21</v>
      </c>
      <c r="D29" s="4">
        <v>0.0</v>
      </c>
      <c r="E29" s="4">
        <v>0.0</v>
      </c>
      <c r="F29" s="4">
        <v>1.0</v>
      </c>
      <c r="G29" s="4">
        <v>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2022.0</v>
      </c>
      <c r="B30" s="5" t="s">
        <v>24</v>
      </c>
      <c r="C30" s="5" t="s">
        <v>22</v>
      </c>
      <c r="D30" s="4">
        <v>3.0</v>
      </c>
      <c r="E30" s="4">
        <v>4.0</v>
      </c>
      <c r="F30" s="4">
        <v>17.0</v>
      </c>
      <c r="G30" s="4">
        <v>24.0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2022.0</v>
      </c>
      <c r="B31" s="5" t="s">
        <v>24</v>
      </c>
      <c r="C31" s="5" t="s">
        <v>23</v>
      </c>
      <c r="D31" s="4">
        <v>0.0</v>
      </c>
      <c r="E31" s="4">
        <v>0.0</v>
      </c>
      <c r="F31" s="4">
        <v>2.0</v>
      </c>
      <c r="G31" s="4">
        <v>2.0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2022.0</v>
      </c>
      <c r="B32" s="5" t="s">
        <v>26</v>
      </c>
      <c r="C32" s="5" t="s">
        <v>7</v>
      </c>
      <c r="D32" s="4">
        <v>1.0</v>
      </c>
      <c r="E32" s="4">
        <v>0.0</v>
      </c>
      <c r="F32" s="4">
        <v>2.0</v>
      </c>
      <c r="G32" s="4">
        <v>3.0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2022.0</v>
      </c>
      <c r="B33" s="5" t="s">
        <v>26</v>
      </c>
      <c r="C33" s="5" t="s">
        <v>33</v>
      </c>
      <c r="D33" s="4">
        <v>4.0</v>
      </c>
      <c r="E33" s="4">
        <v>4.0</v>
      </c>
      <c r="F33" s="4">
        <v>9.0</v>
      </c>
      <c r="G33" s="4">
        <v>17.0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2022.0</v>
      </c>
      <c r="B34" s="5" t="s">
        <v>26</v>
      </c>
      <c r="C34" s="5" t="s">
        <v>8</v>
      </c>
      <c r="D34" s="4">
        <v>0.0</v>
      </c>
      <c r="E34" s="4">
        <v>0.0</v>
      </c>
      <c r="F34" s="4">
        <v>0.0</v>
      </c>
      <c r="G34" s="4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2022.0</v>
      </c>
      <c r="B35" s="5" t="s">
        <v>26</v>
      </c>
      <c r="C35" s="5" t="s">
        <v>9</v>
      </c>
      <c r="D35" s="4">
        <v>2.0</v>
      </c>
      <c r="E35" s="4">
        <v>2.0</v>
      </c>
      <c r="F35" s="4">
        <v>12.0</v>
      </c>
      <c r="G35" s="4">
        <v>16.0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2022.0</v>
      </c>
      <c r="B36" s="5" t="s">
        <v>26</v>
      </c>
      <c r="C36" s="5" t="s">
        <v>10</v>
      </c>
      <c r="D36" s="4">
        <v>948.0</v>
      </c>
      <c r="E36" s="4">
        <v>812.0</v>
      </c>
      <c r="F36" s="4">
        <v>2914.0</v>
      </c>
      <c r="G36" s="4">
        <v>4674.0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2022.0</v>
      </c>
      <c r="B37" s="5" t="s">
        <v>26</v>
      </c>
      <c r="C37" s="5" t="s">
        <v>12</v>
      </c>
      <c r="D37" s="4">
        <v>3.0</v>
      </c>
      <c r="E37" s="4">
        <v>2.0</v>
      </c>
      <c r="F37" s="4">
        <v>16.0</v>
      </c>
      <c r="G37" s="4">
        <v>21.0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2022.0</v>
      </c>
      <c r="B38" s="5" t="s">
        <v>26</v>
      </c>
      <c r="C38" s="5" t="s">
        <v>15</v>
      </c>
      <c r="D38" s="4">
        <v>187.0</v>
      </c>
      <c r="E38" s="4">
        <v>159.0</v>
      </c>
      <c r="F38" s="4">
        <v>694.0</v>
      </c>
      <c r="G38" s="4">
        <v>1040.0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2022.0</v>
      </c>
      <c r="B39" s="5" t="s">
        <v>26</v>
      </c>
      <c r="C39" s="5" t="s">
        <v>16</v>
      </c>
      <c r="D39" s="4">
        <v>1.0</v>
      </c>
      <c r="E39" s="4">
        <v>0.0</v>
      </c>
      <c r="F39" s="4">
        <v>6.0</v>
      </c>
      <c r="G39" s="4">
        <v>7.0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2022.0</v>
      </c>
      <c r="B40" s="5" t="s">
        <v>26</v>
      </c>
      <c r="C40" s="5" t="s">
        <v>14</v>
      </c>
      <c r="D40" s="4">
        <v>872.0</v>
      </c>
      <c r="E40" s="4">
        <v>804.0</v>
      </c>
      <c r="F40" s="4">
        <v>2984.0</v>
      </c>
      <c r="G40" s="4">
        <v>4660.0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2022.0</v>
      </c>
      <c r="B41" s="5" t="s">
        <v>26</v>
      </c>
      <c r="C41" s="5" t="s">
        <v>17</v>
      </c>
      <c r="D41" s="4">
        <v>1.0</v>
      </c>
      <c r="E41" s="4">
        <v>2.0</v>
      </c>
      <c r="F41" s="4">
        <v>13.0</v>
      </c>
      <c r="G41" s="4">
        <v>16.0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2022.0</v>
      </c>
      <c r="B42" s="5" t="s">
        <v>26</v>
      </c>
      <c r="C42" s="5" t="s">
        <v>19</v>
      </c>
      <c r="D42" s="4">
        <v>11.0</v>
      </c>
      <c r="E42" s="4">
        <v>10.0</v>
      </c>
      <c r="F42" s="4">
        <v>54.0</v>
      </c>
      <c r="G42" s="4">
        <v>75.0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2022.0</v>
      </c>
      <c r="B43" s="5" t="s">
        <v>26</v>
      </c>
      <c r="C43" s="5" t="s">
        <v>20</v>
      </c>
      <c r="D43" s="4">
        <v>10.0</v>
      </c>
      <c r="E43" s="4">
        <v>7.0</v>
      </c>
      <c r="F43" s="4">
        <v>17.0</v>
      </c>
      <c r="G43" s="4">
        <v>34.0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2022.0</v>
      </c>
      <c r="B44" s="5" t="s">
        <v>26</v>
      </c>
      <c r="C44" s="5" t="s">
        <v>21</v>
      </c>
      <c r="D44" s="4">
        <v>0.0</v>
      </c>
      <c r="E44" s="4">
        <v>0.0</v>
      </c>
      <c r="F44" s="4">
        <v>1.0</v>
      </c>
      <c r="G44" s="4">
        <v>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2022.0</v>
      </c>
      <c r="B45" s="5" t="s">
        <v>26</v>
      </c>
      <c r="C45" s="5" t="s">
        <v>22</v>
      </c>
      <c r="D45" s="4">
        <v>3.0</v>
      </c>
      <c r="E45" s="4">
        <v>4.0</v>
      </c>
      <c r="F45" s="4">
        <v>17.0</v>
      </c>
      <c r="G45" s="4">
        <v>24.0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2022.0</v>
      </c>
      <c r="B46" s="5" t="s">
        <v>26</v>
      </c>
      <c r="C46" s="5" t="s">
        <v>23</v>
      </c>
      <c r="D46" s="4">
        <v>0.0</v>
      </c>
      <c r="E46" s="4">
        <v>0.0</v>
      </c>
      <c r="F46" s="4">
        <v>2.0</v>
      </c>
      <c r="G46" s="4">
        <v>2.0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2022.0</v>
      </c>
      <c r="B47" s="5" t="s">
        <v>13</v>
      </c>
      <c r="C47" s="5" t="s">
        <v>7</v>
      </c>
      <c r="D47" s="4">
        <v>1.0</v>
      </c>
      <c r="E47" s="4">
        <v>0.0</v>
      </c>
      <c r="F47" s="4">
        <v>2.0</v>
      </c>
      <c r="G47" s="4">
        <v>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2022.0</v>
      </c>
      <c r="B48" s="5" t="s">
        <v>13</v>
      </c>
      <c r="C48" s="5" t="s">
        <v>33</v>
      </c>
      <c r="D48" s="4">
        <v>3.0</v>
      </c>
      <c r="E48" s="4">
        <v>3.0</v>
      </c>
      <c r="F48" s="4">
        <v>6.0</v>
      </c>
      <c r="G48" s="4">
        <v>12.0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2022.0</v>
      </c>
      <c r="B49" s="5" t="s">
        <v>13</v>
      </c>
      <c r="C49" s="5" t="s">
        <v>8</v>
      </c>
      <c r="D49" s="4">
        <v>0.0</v>
      </c>
      <c r="E49" s="4">
        <v>0.0</v>
      </c>
      <c r="F49" s="4">
        <v>0.0</v>
      </c>
      <c r="G49" s="4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2022.0</v>
      </c>
      <c r="B50" s="5" t="s">
        <v>13</v>
      </c>
      <c r="C50" s="5" t="s">
        <v>9</v>
      </c>
      <c r="D50" s="4">
        <v>1.0</v>
      </c>
      <c r="E50" s="4">
        <v>1.0</v>
      </c>
      <c r="F50" s="4">
        <v>11.0</v>
      </c>
      <c r="G50" s="4">
        <v>13.0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2022.0</v>
      </c>
      <c r="B51" s="5" t="s">
        <v>13</v>
      </c>
      <c r="C51" s="5" t="s">
        <v>10</v>
      </c>
      <c r="D51" s="4">
        <v>912.0</v>
      </c>
      <c r="E51" s="4">
        <v>784.0</v>
      </c>
      <c r="F51" s="4">
        <v>2814.0</v>
      </c>
      <c r="G51" s="4">
        <v>4510.0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>
        <v>2022.0</v>
      </c>
      <c r="B52" s="5" t="s">
        <v>13</v>
      </c>
      <c r="C52" s="5" t="s">
        <v>12</v>
      </c>
      <c r="D52" s="4">
        <v>2.0</v>
      </c>
      <c r="E52" s="4">
        <v>2.0</v>
      </c>
      <c r="F52" s="4">
        <v>14.0</v>
      </c>
      <c r="G52" s="4">
        <v>18.0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>
        <v>2022.0</v>
      </c>
      <c r="B53" s="5" t="s">
        <v>13</v>
      </c>
      <c r="C53" s="5" t="s">
        <v>15</v>
      </c>
      <c r="D53" s="4">
        <v>178.0</v>
      </c>
      <c r="E53" s="4">
        <v>151.0</v>
      </c>
      <c r="F53" s="4">
        <v>654.0</v>
      </c>
      <c r="G53" s="4">
        <v>983.0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>
        <v>2022.0</v>
      </c>
      <c r="B54" s="5" t="s">
        <v>13</v>
      </c>
      <c r="C54" s="5" t="s">
        <v>16</v>
      </c>
      <c r="D54" s="4">
        <v>1.0</v>
      </c>
      <c r="E54" s="4">
        <v>0.0</v>
      </c>
      <c r="F54" s="4">
        <v>5.0</v>
      </c>
      <c r="G54" s="4">
        <v>6.0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>
        <v>2022.0</v>
      </c>
      <c r="B55" s="5" t="s">
        <v>13</v>
      </c>
      <c r="C55" s="5" t="s">
        <v>14</v>
      </c>
      <c r="D55" s="4">
        <v>842.0</v>
      </c>
      <c r="E55" s="4">
        <v>771.0</v>
      </c>
      <c r="F55" s="4">
        <v>2884.0</v>
      </c>
      <c r="G55" s="4">
        <v>4497.0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>
        <v>2022.0</v>
      </c>
      <c r="B56" s="5" t="s">
        <v>13</v>
      </c>
      <c r="C56" s="5" t="s">
        <v>17</v>
      </c>
      <c r="D56" s="4">
        <v>1.0</v>
      </c>
      <c r="E56" s="4">
        <v>1.0</v>
      </c>
      <c r="F56" s="4">
        <v>11.0</v>
      </c>
      <c r="G56" s="4">
        <v>13.0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>
        <v>2022.0</v>
      </c>
      <c r="B57" s="5" t="s">
        <v>13</v>
      </c>
      <c r="C57" s="5" t="s">
        <v>19</v>
      </c>
      <c r="D57" s="4">
        <v>9.0</v>
      </c>
      <c r="E57" s="4">
        <v>9.0</v>
      </c>
      <c r="F57" s="4">
        <v>51.0</v>
      </c>
      <c r="G57" s="4">
        <v>69.0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>
        <v>2022.0</v>
      </c>
      <c r="B58" s="5" t="s">
        <v>13</v>
      </c>
      <c r="C58" s="5" t="s">
        <v>20</v>
      </c>
      <c r="D58" s="4">
        <v>9.0</v>
      </c>
      <c r="E58" s="4">
        <v>6.0</v>
      </c>
      <c r="F58" s="4">
        <v>16.0</v>
      </c>
      <c r="G58" s="4">
        <v>31.0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>
        <v>2022.0</v>
      </c>
      <c r="B59" s="5" t="s">
        <v>13</v>
      </c>
      <c r="C59" s="5" t="s">
        <v>21</v>
      </c>
      <c r="D59" s="4">
        <v>0.0</v>
      </c>
      <c r="E59" s="4">
        <v>0.0</v>
      </c>
      <c r="F59" s="4">
        <v>1.0</v>
      </c>
      <c r="G59" s="4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2022.0</v>
      </c>
      <c r="B60" s="5" t="s">
        <v>13</v>
      </c>
      <c r="C60" s="5" t="s">
        <v>22</v>
      </c>
      <c r="D60" s="4">
        <v>2.0</v>
      </c>
      <c r="E60" s="4">
        <v>3.0</v>
      </c>
      <c r="F60" s="4">
        <v>15.0</v>
      </c>
      <c r="G60" s="4">
        <v>20.0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2022.0</v>
      </c>
      <c r="B61" s="5" t="s">
        <v>13</v>
      </c>
      <c r="C61" s="5" t="s">
        <v>23</v>
      </c>
      <c r="D61" s="4">
        <v>0.0</v>
      </c>
      <c r="E61" s="4">
        <v>0.0</v>
      </c>
      <c r="F61" s="4">
        <v>1.0</v>
      </c>
      <c r="G61" s="4">
        <v>1.0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>
        <v>2022.0</v>
      </c>
      <c r="B62" s="5" t="s">
        <v>30</v>
      </c>
      <c r="C62" s="5" t="s">
        <v>7</v>
      </c>
      <c r="D62" s="4">
        <v>2.0</v>
      </c>
      <c r="E62" s="4">
        <v>1.0</v>
      </c>
      <c r="F62" s="4">
        <v>3.0</v>
      </c>
      <c r="G62" s="4">
        <v>6.0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>
        <v>2022.0</v>
      </c>
      <c r="B63" s="5" t="s">
        <v>30</v>
      </c>
      <c r="C63" s="5" t="s">
        <v>33</v>
      </c>
      <c r="D63" s="4">
        <v>4.0</v>
      </c>
      <c r="E63" s="4">
        <v>4.0</v>
      </c>
      <c r="F63" s="4">
        <v>8.0</v>
      </c>
      <c r="G63" s="4">
        <v>16.0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>
        <v>2022.0</v>
      </c>
      <c r="B64" s="5" t="s">
        <v>30</v>
      </c>
      <c r="C64" s="5" t="s">
        <v>8</v>
      </c>
      <c r="D64" s="4">
        <v>0.0</v>
      </c>
      <c r="E64" s="4">
        <v>0.0</v>
      </c>
      <c r="F64" s="4">
        <v>0.0</v>
      </c>
      <c r="G64" s="4">
        <v>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>
        <v>2022.0</v>
      </c>
      <c r="B65" s="5" t="s">
        <v>30</v>
      </c>
      <c r="C65" s="5" t="s">
        <v>9</v>
      </c>
      <c r="D65" s="4">
        <v>2.0</v>
      </c>
      <c r="E65" s="4">
        <v>2.0</v>
      </c>
      <c r="F65" s="4">
        <v>13.0</v>
      </c>
      <c r="G65" s="4">
        <v>17.0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>
        <v>2022.0</v>
      </c>
      <c r="B66" s="5" t="s">
        <v>30</v>
      </c>
      <c r="C66" s="5" t="s">
        <v>10</v>
      </c>
      <c r="D66" s="4">
        <v>1014.0</v>
      </c>
      <c r="E66" s="4">
        <v>864.0</v>
      </c>
      <c r="F66" s="4">
        <v>3118.0</v>
      </c>
      <c r="G66" s="4">
        <v>4996.0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>
        <v>2022.0</v>
      </c>
      <c r="B67" s="5" t="s">
        <v>30</v>
      </c>
      <c r="C67" s="5" t="s">
        <v>12</v>
      </c>
      <c r="D67" s="4">
        <v>3.0</v>
      </c>
      <c r="E67" s="4">
        <v>2.0</v>
      </c>
      <c r="F67" s="4">
        <v>18.0</v>
      </c>
      <c r="G67" s="4">
        <v>23.0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>
        <v>2022.0</v>
      </c>
      <c r="B68" s="5" t="s">
        <v>30</v>
      </c>
      <c r="C68" s="5" t="s">
        <v>15</v>
      </c>
      <c r="D68" s="4">
        <v>198.0</v>
      </c>
      <c r="E68" s="4">
        <v>168.0</v>
      </c>
      <c r="F68" s="4">
        <v>724.0</v>
      </c>
      <c r="G68" s="4">
        <v>1090.0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>
        <v>2022.0</v>
      </c>
      <c r="B69" s="5" t="s">
        <v>30</v>
      </c>
      <c r="C69" s="5" t="s">
        <v>16</v>
      </c>
      <c r="D69" s="4">
        <v>1.0</v>
      </c>
      <c r="E69" s="4">
        <v>1.0</v>
      </c>
      <c r="F69" s="4">
        <v>7.0</v>
      </c>
      <c r="G69" s="4">
        <v>9.0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>
        <v>2022.0</v>
      </c>
      <c r="B70" s="5" t="s">
        <v>30</v>
      </c>
      <c r="C70" s="5" t="s">
        <v>14</v>
      </c>
      <c r="D70" s="4">
        <v>948.0</v>
      </c>
      <c r="E70" s="4">
        <v>852.0</v>
      </c>
      <c r="F70" s="4">
        <v>3214.0</v>
      </c>
      <c r="G70" s="4">
        <v>5014.0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>
        <v>2022.0</v>
      </c>
      <c r="B71" s="5" t="s">
        <v>30</v>
      </c>
      <c r="C71" s="5" t="s">
        <v>17</v>
      </c>
      <c r="D71" s="4">
        <v>1.0</v>
      </c>
      <c r="E71" s="4">
        <v>2.0</v>
      </c>
      <c r="F71" s="4">
        <v>13.0</v>
      </c>
      <c r="G71" s="4">
        <v>16.0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>
        <v>2022.0</v>
      </c>
      <c r="B72" s="5" t="s">
        <v>30</v>
      </c>
      <c r="C72" s="5" t="s">
        <v>19</v>
      </c>
      <c r="D72" s="4">
        <v>11.0</v>
      </c>
      <c r="E72" s="4">
        <v>11.0</v>
      </c>
      <c r="F72" s="4">
        <v>62.0</v>
      </c>
      <c r="G72" s="4">
        <v>84.0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>
        <v>2022.0</v>
      </c>
      <c r="B73" s="5" t="s">
        <v>30</v>
      </c>
      <c r="C73" s="5" t="s">
        <v>20</v>
      </c>
      <c r="D73" s="4">
        <v>10.0</v>
      </c>
      <c r="E73" s="4">
        <v>7.0</v>
      </c>
      <c r="F73" s="4">
        <v>19.0</v>
      </c>
      <c r="G73" s="4">
        <v>36.0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>
        <v>2022.0</v>
      </c>
      <c r="B74" s="5" t="s">
        <v>30</v>
      </c>
      <c r="C74" s="5" t="s">
        <v>21</v>
      </c>
      <c r="D74" s="4">
        <v>1.0</v>
      </c>
      <c r="E74" s="4">
        <v>0.0</v>
      </c>
      <c r="F74" s="4">
        <v>1.0</v>
      </c>
      <c r="G74" s="4">
        <v>2.0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>
        <v>2022.0</v>
      </c>
      <c r="B75" s="5" t="s">
        <v>30</v>
      </c>
      <c r="C75" s="5" t="s">
        <v>22</v>
      </c>
      <c r="D75" s="4">
        <v>3.0</v>
      </c>
      <c r="E75" s="4">
        <v>4.0</v>
      </c>
      <c r="F75" s="4">
        <v>18.0</v>
      </c>
      <c r="G75" s="4">
        <v>25.0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>
        <v>2022.0</v>
      </c>
      <c r="B76" s="5" t="s">
        <v>30</v>
      </c>
      <c r="C76" s="5" t="s">
        <v>23</v>
      </c>
      <c r="D76" s="4">
        <v>0.0</v>
      </c>
      <c r="E76" s="4">
        <v>1.0</v>
      </c>
      <c r="F76" s="4">
        <v>2.0</v>
      </c>
      <c r="G76" s="4">
        <v>3.0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>
        <v>2022.0</v>
      </c>
      <c r="B77" s="5" t="s">
        <v>28</v>
      </c>
      <c r="C77" s="5" t="s">
        <v>7</v>
      </c>
      <c r="D77" s="4">
        <v>1.0</v>
      </c>
      <c r="E77" s="4">
        <v>0.0</v>
      </c>
      <c r="F77" s="4">
        <v>2.0</v>
      </c>
      <c r="G77" s="4">
        <v>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>
        <v>2022.0</v>
      </c>
      <c r="B78" s="5" t="s">
        <v>28</v>
      </c>
      <c r="C78" s="5" t="s">
        <v>33</v>
      </c>
      <c r="D78" s="4">
        <v>3.0</v>
      </c>
      <c r="E78" s="4">
        <v>3.0</v>
      </c>
      <c r="F78" s="4">
        <v>6.0</v>
      </c>
      <c r="G78" s="4">
        <v>12.0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>
        <v>2022.0</v>
      </c>
      <c r="B79" s="5" t="s">
        <v>28</v>
      </c>
      <c r="C79" s="5" t="s">
        <v>8</v>
      </c>
      <c r="D79" s="4">
        <v>0.0</v>
      </c>
      <c r="E79" s="4">
        <v>0.0</v>
      </c>
      <c r="F79" s="4">
        <v>0.0</v>
      </c>
      <c r="G79" s="4">
        <v>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>
        <v>2022.0</v>
      </c>
      <c r="B80" s="5" t="s">
        <v>28</v>
      </c>
      <c r="C80" s="5" t="s">
        <v>9</v>
      </c>
      <c r="D80" s="4">
        <v>1.0</v>
      </c>
      <c r="E80" s="4">
        <v>2.0</v>
      </c>
      <c r="F80" s="4">
        <v>11.0</v>
      </c>
      <c r="G80" s="4">
        <v>14.0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>
        <v>2022.0</v>
      </c>
      <c r="B81" s="5" t="s">
        <v>28</v>
      </c>
      <c r="C81" s="5" t="s">
        <v>10</v>
      </c>
      <c r="D81" s="4">
        <v>842.0</v>
      </c>
      <c r="E81" s="4">
        <v>741.0</v>
      </c>
      <c r="F81" s="4">
        <v>2831.0</v>
      </c>
      <c r="G81" s="4">
        <v>4414.0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>
        <v>2022.0</v>
      </c>
      <c r="B82" s="5" t="s">
        <v>28</v>
      </c>
      <c r="C82" s="5" t="s">
        <v>12</v>
      </c>
      <c r="D82" s="4">
        <v>2.0</v>
      </c>
      <c r="E82" s="4">
        <v>2.0</v>
      </c>
      <c r="F82" s="4">
        <v>15.0</v>
      </c>
      <c r="G82" s="4">
        <v>19.0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>
        <v>2022.0</v>
      </c>
      <c r="B83" s="5" t="s">
        <v>28</v>
      </c>
      <c r="C83" s="5" t="s">
        <v>15</v>
      </c>
      <c r="D83" s="4">
        <v>172.0</v>
      </c>
      <c r="E83" s="4">
        <v>151.0</v>
      </c>
      <c r="F83" s="4">
        <v>649.0</v>
      </c>
      <c r="G83" s="4">
        <v>972.0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>
        <v>2022.0</v>
      </c>
      <c r="B84" s="5" t="s">
        <v>28</v>
      </c>
      <c r="C84" s="5" t="s">
        <v>16</v>
      </c>
      <c r="D84" s="4">
        <v>1.0</v>
      </c>
      <c r="E84" s="4">
        <v>0.0</v>
      </c>
      <c r="F84" s="4">
        <v>5.0</v>
      </c>
      <c r="G84" s="4">
        <v>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>
        <v>2022.0</v>
      </c>
      <c r="B85" s="5" t="s">
        <v>28</v>
      </c>
      <c r="C85" s="5" t="s">
        <v>14</v>
      </c>
      <c r="D85" s="4">
        <v>811.0</v>
      </c>
      <c r="E85" s="4">
        <v>743.0</v>
      </c>
      <c r="F85" s="4">
        <v>2894.0</v>
      </c>
      <c r="G85" s="4">
        <v>4448.0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>
        <v>2022.0</v>
      </c>
      <c r="B86" s="5" t="s">
        <v>28</v>
      </c>
      <c r="C86" s="5" t="s">
        <v>17</v>
      </c>
      <c r="D86" s="4">
        <v>1.0</v>
      </c>
      <c r="E86" s="4">
        <v>2.0</v>
      </c>
      <c r="F86" s="4">
        <v>12.0</v>
      </c>
      <c r="G86" s="4">
        <v>15.0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>
        <v>2022.0</v>
      </c>
      <c r="B87" s="5" t="s">
        <v>28</v>
      </c>
      <c r="C87" s="5" t="s">
        <v>19</v>
      </c>
      <c r="D87" s="4">
        <v>9.0</v>
      </c>
      <c r="E87" s="4">
        <v>9.0</v>
      </c>
      <c r="F87" s="4">
        <v>51.0</v>
      </c>
      <c r="G87" s="4">
        <v>69.0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>
        <v>2022.0</v>
      </c>
      <c r="B88" s="5" t="s">
        <v>28</v>
      </c>
      <c r="C88" s="5" t="s">
        <v>20</v>
      </c>
      <c r="D88" s="4">
        <v>9.0</v>
      </c>
      <c r="E88" s="4">
        <v>6.0</v>
      </c>
      <c r="F88" s="4">
        <v>17.0</v>
      </c>
      <c r="G88" s="4">
        <v>32.0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>
        <v>2022.0</v>
      </c>
      <c r="B89" s="5" t="s">
        <v>28</v>
      </c>
      <c r="C89" s="5" t="s">
        <v>21</v>
      </c>
      <c r="D89" s="4">
        <v>0.0</v>
      </c>
      <c r="E89" s="4">
        <v>0.0</v>
      </c>
      <c r="F89" s="4">
        <v>1.0</v>
      </c>
      <c r="G89" s="4">
        <v>1.0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>
        <v>2022.0</v>
      </c>
      <c r="B90" s="5" t="s">
        <v>28</v>
      </c>
      <c r="C90" s="5" t="s">
        <v>22</v>
      </c>
      <c r="D90" s="4">
        <v>3.0</v>
      </c>
      <c r="E90" s="4">
        <v>4.0</v>
      </c>
      <c r="F90" s="4">
        <v>16.0</v>
      </c>
      <c r="G90" s="4">
        <v>23.0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>
        <v>2022.0</v>
      </c>
      <c r="B91" s="5" t="s">
        <v>28</v>
      </c>
      <c r="C91" s="5" t="s">
        <v>23</v>
      </c>
      <c r="D91" s="4">
        <v>0.0</v>
      </c>
      <c r="E91" s="4">
        <v>0.0</v>
      </c>
      <c r="F91" s="4">
        <v>2.0</v>
      </c>
      <c r="G91" s="4">
        <v>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>
        <v>2022.0</v>
      </c>
      <c r="B92" s="5" t="s">
        <v>31</v>
      </c>
      <c r="C92" s="5" t="s">
        <v>7</v>
      </c>
      <c r="D92" s="4">
        <v>2.0</v>
      </c>
      <c r="E92" s="4">
        <v>0.0</v>
      </c>
      <c r="F92" s="4">
        <v>1.0</v>
      </c>
      <c r="G92" s="4">
        <v>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>
        <v>2022.0</v>
      </c>
      <c r="B93" s="5" t="s">
        <v>31</v>
      </c>
      <c r="C93" s="5" t="s">
        <v>33</v>
      </c>
      <c r="D93" s="4">
        <v>3.0</v>
      </c>
      <c r="E93" s="4">
        <v>4.0</v>
      </c>
      <c r="F93" s="4">
        <v>7.0</v>
      </c>
      <c r="G93" s="4">
        <v>14.0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>
        <v>2022.0</v>
      </c>
      <c r="B94" s="5" t="s">
        <v>31</v>
      </c>
      <c r="C94" s="5" t="s">
        <v>8</v>
      </c>
      <c r="D94" s="4">
        <v>0.0</v>
      </c>
      <c r="E94" s="4">
        <v>0.0</v>
      </c>
      <c r="F94" s="4">
        <v>0.0</v>
      </c>
      <c r="G94" s="4">
        <v>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>
        <v>2022.0</v>
      </c>
      <c r="B95" s="5" t="s">
        <v>31</v>
      </c>
      <c r="C95" s="5" t="s">
        <v>9</v>
      </c>
      <c r="D95" s="4">
        <v>2.0</v>
      </c>
      <c r="E95" s="4">
        <v>3.0</v>
      </c>
      <c r="F95" s="4">
        <v>12.0</v>
      </c>
      <c r="G95" s="4">
        <v>17.0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>
        <v>2022.0</v>
      </c>
      <c r="B96" s="5" t="s">
        <v>31</v>
      </c>
      <c r="C96" s="5" t="s">
        <v>10</v>
      </c>
      <c r="D96" s="4">
        <v>913.0</v>
      </c>
      <c r="E96" s="4">
        <v>805.0</v>
      </c>
      <c r="F96" s="4">
        <v>2914.0</v>
      </c>
      <c r="G96" s="4">
        <v>4632.0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>
        <v>2022.0</v>
      </c>
      <c r="B97" s="5" t="s">
        <v>31</v>
      </c>
      <c r="C97" s="5" t="s">
        <v>12</v>
      </c>
      <c r="D97" s="4">
        <v>3.0</v>
      </c>
      <c r="E97" s="4">
        <v>2.0</v>
      </c>
      <c r="F97" s="4">
        <v>17.0</v>
      </c>
      <c r="G97" s="4">
        <v>22.0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>
        <v>2022.0</v>
      </c>
      <c r="B98" s="5" t="s">
        <v>31</v>
      </c>
      <c r="C98" s="5" t="s">
        <v>15</v>
      </c>
      <c r="D98" s="4">
        <v>191.0</v>
      </c>
      <c r="E98" s="4">
        <v>168.0</v>
      </c>
      <c r="F98" s="4">
        <v>702.0</v>
      </c>
      <c r="G98" s="4">
        <v>1061.0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>
        <v>2022.0</v>
      </c>
      <c r="B99" s="5" t="s">
        <v>31</v>
      </c>
      <c r="C99" s="5" t="s">
        <v>16</v>
      </c>
      <c r="D99" s="4">
        <v>1.0</v>
      </c>
      <c r="E99" s="4">
        <v>0.0</v>
      </c>
      <c r="F99" s="4">
        <v>6.0</v>
      </c>
      <c r="G99" s="4">
        <v>7.0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>
        <v>2022.0</v>
      </c>
      <c r="B100" s="5" t="s">
        <v>31</v>
      </c>
      <c r="C100" s="5" t="s">
        <v>14</v>
      </c>
      <c r="D100" s="4">
        <v>884.0</v>
      </c>
      <c r="E100" s="4">
        <v>812.0</v>
      </c>
      <c r="F100" s="4">
        <v>3012.0</v>
      </c>
      <c r="G100" s="4">
        <v>4708.0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>
        <v>2022.0</v>
      </c>
      <c r="B101" s="5" t="s">
        <v>31</v>
      </c>
      <c r="C101" s="5" t="s">
        <v>17</v>
      </c>
      <c r="D101" s="4">
        <v>1.0</v>
      </c>
      <c r="E101" s="4">
        <v>2.0</v>
      </c>
      <c r="F101" s="4">
        <v>13.0</v>
      </c>
      <c r="G101" s="4">
        <v>16.0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>
        <v>2022.0</v>
      </c>
      <c r="B102" s="5" t="s">
        <v>31</v>
      </c>
      <c r="C102" s="5" t="s">
        <v>19</v>
      </c>
      <c r="D102" s="4">
        <v>11.0</v>
      </c>
      <c r="E102" s="4">
        <v>10.0</v>
      </c>
      <c r="F102" s="4">
        <v>56.0</v>
      </c>
      <c r="G102" s="4">
        <v>77.0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>
        <v>2022.0</v>
      </c>
      <c r="B103" s="5" t="s">
        <v>31</v>
      </c>
      <c r="C103" s="5" t="s">
        <v>20</v>
      </c>
      <c r="D103" s="4">
        <v>10.0</v>
      </c>
      <c r="E103" s="4">
        <v>7.0</v>
      </c>
      <c r="F103" s="4">
        <v>18.0</v>
      </c>
      <c r="G103" s="4">
        <v>35.0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>
        <v>2022.0</v>
      </c>
      <c r="B104" s="5" t="s">
        <v>31</v>
      </c>
      <c r="C104" s="5" t="s">
        <v>21</v>
      </c>
      <c r="D104" s="4">
        <v>0.0</v>
      </c>
      <c r="E104" s="4">
        <v>0.0</v>
      </c>
      <c r="F104" s="4">
        <v>1.0</v>
      </c>
      <c r="G104" s="4">
        <v>1.0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>
        <v>2022.0</v>
      </c>
      <c r="B105" s="5" t="s">
        <v>31</v>
      </c>
      <c r="C105" s="5" t="s">
        <v>22</v>
      </c>
      <c r="D105" s="4">
        <v>3.0</v>
      </c>
      <c r="E105" s="4">
        <v>4.0</v>
      </c>
      <c r="F105" s="4">
        <v>18.0</v>
      </c>
      <c r="G105" s="4">
        <v>25.0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>
        <v>2022.0</v>
      </c>
      <c r="B106" s="5" t="s">
        <v>31</v>
      </c>
      <c r="C106" s="5" t="s">
        <v>23</v>
      </c>
      <c r="D106" s="4">
        <v>0.0</v>
      </c>
      <c r="E106" s="4">
        <v>0.0</v>
      </c>
      <c r="F106" s="4">
        <v>2.0</v>
      </c>
      <c r="G106" s="4">
        <v>2.0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>
        <v>2022.0</v>
      </c>
      <c r="B107" s="5" t="s">
        <v>32</v>
      </c>
      <c r="C107" s="5" t="s">
        <v>7</v>
      </c>
      <c r="D107" s="4">
        <v>1.0</v>
      </c>
      <c r="E107" s="4">
        <v>1.0</v>
      </c>
      <c r="F107" s="4">
        <v>2.0</v>
      </c>
      <c r="G107" s="4">
        <v>4.0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>
        <v>2022.0</v>
      </c>
      <c r="B108" s="5" t="s">
        <v>32</v>
      </c>
      <c r="C108" s="5" t="s">
        <v>33</v>
      </c>
      <c r="D108" s="4">
        <v>3.0</v>
      </c>
      <c r="E108" s="4">
        <v>3.0</v>
      </c>
      <c r="F108" s="4">
        <v>6.0</v>
      </c>
      <c r="G108" s="4">
        <v>12.0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>
        <v>2022.0</v>
      </c>
      <c r="B109" s="5" t="s">
        <v>32</v>
      </c>
      <c r="C109" s="5" t="s">
        <v>8</v>
      </c>
      <c r="D109" s="4">
        <v>0.0</v>
      </c>
      <c r="E109" s="4">
        <v>0.0</v>
      </c>
      <c r="F109" s="4">
        <v>0.0</v>
      </c>
      <c r="G109" s="4">
        <v>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>
        <v>2022.0</v>
      </c>
      <c r="B110" s="5" t="s">
        <v>32</v>
      </c>
      <c r="C110" s="5" t="s">
        <v>9</v>
      </c>
      <c r="D110" s="4">
        <v>2.0</v>
      </c>
      <c r="E110" s="4">
        <v>2.0</v>
      </c>
      <c r="F110" s="4">
        <v>12.0</v>
      </c>
      <c r="G110" s="4">
        <v>16.0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>
        <v>2022.0</v>
      </c>
      <c r="B111" s="5" t="s">
        <v>32</v>
      </c>
      <c r="C111" s="5" t="s">
        <v>10</v>
      </c>
      <c r="D111" s="4">
        <v>948.0</v>
      </c>
      <c r="E111" s="4">
        <v>812.0</v>
      </c>
      <c r="F111" s="4">
        <v>2914.0</v>
      </c>
      <c r="G111" s="4">
        <v>4674.0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>
        <v>2022.0</v>
      </c>
      <c r="B112" s="5" t="s">
        <v>32</v>
      </c>
      <c r="C112" s="5" t="s">
        <v>12</v>
      </c>
      <c r="D112" s="4">
        <v>3.0</v>
      </c>
      <c r="E112" s="4">
        <v>2.0</v>
      </c>
      <c r="F112" s="4">
        <v>16.0</v>
      </c>
      <c r="G112" s="4">
        <v>21.0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>
        <v>2022.0</v>
      </c>
      <c r="B113" s="5" t="s">
        <v>32</v>
      </c>
      <c r="C113" s="5" t="s">
        <v>15</v>
      </c>
      <c r="D113" s="4">
        <v>187.0</v>
      </c>
      <c r="E113" s="4">
        <v>159.0</v>
      </c>
      <c r="F113" s="4">
        <v>694.0</v>
      </c>
      <c r="G113" s="4">
        <v>1040.0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>
        <v>2022.0</v>
      </c>
      <c r="B114" s="5" t="s">
        <v>32</v>
      </c>
      <c r="C114" s="5" t="s">
        <v>16</v>
      </c>
      <c r="D114" s="4">
        <v>1.0</v>
      </c>
      <c r="E114" s="4">
        <v>0.0</v>
      </c>
      <c r="F114" s="4">
        <v>6.0</v>
      </c>
      <c r="G114" s="4">
        <v>7.0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>
        <v>2022.0</v>
      </c>
      <c r="B115" s="5" t="s">
        <v>32</v>
      </c>
      <c r="C115" s="5" t="s">
        <v>14</v>
      </c>
      <c r="D115" s="4">
        <v>872.0</v>
      </c>
      <c r="E115" s="4">
        <v>804.0</v>
      </c>
      <c r="F115" s="4">
        <v>2984.0</v>
      </c>
      <c r="G115" s="4">
        <v>4660.0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>
        <v>2022.0</v>
      </c>
      <c r="B116" s="5" t="s">
        <v>32</v>
      </c>
      <c r="C116" s="5" t="s">
        <v>17</v>
      </c>
      <c r="D116" s="4">
        <v>1.0</v>
      </c>
      <c r="E116" s="4">
        <v>2.0</v>
      </c>
      <c r="F116" s="4">
        <v>13.0</v>
      </c>
      <c r="G116" s="4">
        <v>16.0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>
        <v>2022.0</v>
      </c>
      <c r="B117" s="5" t="s">
        <v>32</v>
      </c>
      <c r="C117" s="5" t="s">
        <v>19</v>
      </c>
      <c r="D117" s="4">
        <v>11.0</v>
      </c>
      <c r="E117" s="4">
        <v>10.0</v>
      </c>
      <c r="F117" s="4">
        <v>54.0</v>
      </c>
      <c r="G117" s="4">
        <v>75.0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>
        <v>2022.0</v>
      </c>
      <c r="B118" s="5" t="s">
        <v>32</v>
      </c>
      <c r="C118" s="5" t="s">
        <v>20</v>
      </c>
      <c r="D118" s="4">
        <v>10.0</v>
      </c>
      <c r="E118" s="4">
        <v>7.0</v>
      </c>
      <c r="F118" s="4">
        <v>17.0</v>
      </c>
      <c r="G118" s="4">
        <v>34.0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>
        <v>2022.0</v>
      </c>
      <c r="B119" s="5" t="s">
        <v>32</v>
      </c>
      <c r="C119" s="5" t="s">
        <v>21</v>
      </c>
      <c r="D119" s="4">
        <v>0.0</v>
      </c>
      <c r="E119" s="4">
        <v>0.0</v>
      </c>
      <c r="F119" s="4">
        <v>1.0</v>
      </c>
      <c r="G119" s="4">
        <v>1.0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>
        <v>2022.0</v>
      </c>
      <c r="B120" s="5" t="s">
        <v>32</v>
      </c>
      <c r="C120" s="5" t="s">
        <v>22</v>
      </c>
      <c r="D120" s="4">
        <v>3.0</v>
      </c>
      <c r="E120" s="4">
        <v>4.0</v>
      </c>
      <c r="F120" s="4">
        <v>17.0</v>
      </c>
      <c r="G120" s="4">
        <v>24.0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>
        <v>2022.0</v>
      </c>
      <c r="B121" s="5" t="s">
        <v>32</v>
      </c>
      <c r="C121" s="5" t="s">
        <v>23</v>
      </c>
      <c r="D121" s="4">
        <v>0.0</v>
      </c>
      <c r="E121" s="4">
        <v>0.0</v>
      </c>
      <c r="F121" s="4">
        <v>2.0</v>
      </c>
      <c r="G121" s="4">
        <v>2.0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>
        <v>2022.0</v>
      </c>
      <c r="B122" s="5" t="s">
        <v>18</v>
      </c>
      <c r="C122" s="5" t="s">
        <v>7</v>
      </c>
      <c r="D122" s="4">
        <v>1.0</v>
      </c>
      <c r="E122" s="4">
        <v>0.0</v>
      </c>
      <c r="F122" s="4">
        <v>2.0</v>
      </c>
      <c r="G122" s="4">
        <v>3.0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>
        <v>2022.0</v>
      </c>
      <c r="B123" s="5" t="s">
        <v>18</v>
      </c>
      <c r="C123" s="5" t="s">
        <v>33</v>
      </c>
      <c r="D123" s="4">
        <v>4.0</v>
      </c>
      <c r="E123" s="4">
        <v>4.0</v>
      </c>
      <c r="F123" s="4">
        <v>8.0</v>
      </c>
      <c r="G123" s="4">
        <v>16.0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>
        <v>2022.0</v>
      </c>
      <c r="B124" s="5" t="s">
        <v>18</v>
      </c>
      <c r="C124" s="5" t="s">
        <v>8</v>
      </c>
      <c r="D124" s="4">
        <v>0.0</v>
      </c>
      <c r="E124" s="4">
        <v>0.0</v>
      </c>
      <c r="F124" s="4">
        <v>0.0</v>
      </c>
      <c r="G124" s="4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>
        <v>2022.0</v>
      </c>
      <c r="B125" s="5" t="s">
        <v>18</v>
      </c>
      <c r="C125" s="5" t="s">
        <v>9</v>
      </c>
      <c r="D125" s="4">
        <v>1.0</v>
      </c>
      <c r="E125" s="4">
        <v>1.0</v>
      </c>
      <c r="F125" s="4">
        <v>11.0</v>
      </c>
      <c r="G125" s="4">
        <v>13.0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>
        <v>2022.0</v>
      </c>
      <c r="B126" s="5" t="s">
        <v>18</v>
      </c>
      <c r="C126" s="5" t="s">
        <v>10</v>
      </c>
      <c r="D126" s="4">
        <v>912.0</v>
      </c>
      <c r="E126" s="4">
        <v>784.0</v>
      </c>
      <c r="F126" s="4">
        <v>2814.0</v>
      </c>
      <c r="G126" s="4">
        <v>4510.0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>
        <v>2022.0</v>
      </c>
      <c r="B127" s="5" t="s">
        <v>18</v>
      </c>
      <c r="C127" s="5" t="s">
        <v>12</v>
      </c>
      <c r="D127" s="4">
        <v>2.0</v>
      </c>
      <c r="E127" s="4">
        <v>2.0</v>
      </c>
      <c r="F127" s="4">
        <v>14.0</v>
      </c>
      <c r="G127" s="4">
        <v>18.0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>
        <v>2022.0</v>
      </c>
      <c r="B128" s="5" t="s">
        <v>18</v>
      </c>
      <c r="C128" s="5" t="s">
        <v>15</v>
      </c>
      <c r="D128" s="4">
        <v>178.0</v>
      </c>
      <c r="E128" s="4">
        <v>151.0</v>
      </c>
      <c r="F128" s="4">
        <v>654.0</v>
      </c>
      <c r="G128" s="4">
        <v>983.0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>
        <v>2022.0</v>
      </c>
      <c r="B129" s="5" t="s">
        <v>18</v>
      </c>
      <c r="C129" s="5" t="s">
        <v>16</v>
      </c>
      <c r="D129" s="4">
        <v>1.0</v>
      </c>
      <c r="E129" s="4">
        <v>0.0</v>
      </c>
      <c r="F129" s="4">
        <v>5.0</v>
      </c>
      <c r="G129" s="4">
        <v>6.0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>
        <v>2022.0</v>
      </c>
      <c r="B130" s="5" t="s">
        <v>18</v>
      </c>
      <c r="C130" s="5" t="s">
        <v>14</v>
      </c>
      <c r="D130" s="4">
        <v>842.0</v>
      </c>
      <c r="E130" s="4">
        <v>771.0</v>
      </c>
      <c r="F130" s="4">
        <v>2884.0</v>
      </c>
      <c r="G130" s="4">
        <v>4497.0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>
        <v>2022.0</v>
      </c>
      <c r="B131" s="5" t="s">
        <v>18</v>
      </c>
      <c r="C131" s="5" t="s">
        <v>17</v>
      </c>
      <c r="D131" s="4">
        <v>1.0</v>
      </c>
      <c r="E131" s="4">
        <v>1.0</v>
      </c>
      <c r="F131" s="4">
        <v>11.0</v>
      </c>
      <c r="G131" s="4">
        <v>13.0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>
        <v>2022.0</v>
      </c>
      <c r="B132" s="5" t="s">
        <v>18</v>
      </c>
      <c r="C132" s="5" t="s">
        <v>19</v>
      </c>
      <c r="D132" s="4">
        <v>9.0</v>
      </c>
      <c r="E132" s="4">
        <v>9.0</v>
      </c>
      <c r="F132" s="4">
        <v>51.0</v>
      </c>
      <c r="G132" s="4">
        <v>69.0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>
        <v>2022.0</v>
      </c>
      <c r="B133" s="5" t="s">
        <v>18</v>
      </c>
      <c r="C133" s="5" t="s">
        <v>20</v>
      </c>
      <c r="D133" s="4">
        <v>9.0</v>
      </c>
      <c r="E133" s="4">
        <v>6.0</v>
      </c>
      <c r="F133" s="4">
        <v>16.0</v>
      </c>
      <c r="G133" s="4">
        <v>31.0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>
        <v>2022.0</v>
      </c>
      <c r="B134" s="5" t="s">
        <v>18</v>
      </c>
      <c r="C134" s="5" t="s">
        <v>21</v>
      </c>
      <c r="D134" s="4">
        <v>0.0</v>
      </c>
      <c r="E134" s="4">
        <v>0.0</v>
      </c>
      <c r="F134" s="4">
        <v>1.0</v>
      </c>
      <c r="G134" s="4">
        <v>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>
        <v>2022.0</v>
      </c>
      <c r="B135" s="5" t="s">
        <v>18</v>
      </c>
      <c r="C135" s="5" t="s">
        <v>22</v>
      </c>
      <c r="D135" s="4">
        <v>2.0</v>
      </c>
      <c r="E135" s="4">
        <v>3.0</v>
      </c>
      <c r="F135" s="4">
        <v>15.0</v>
      </c>
      <c r="G135" s="4">
        <v>20.0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>
        <v>2022.0</v>
      </c>
      <c r="B136" s="5" t="s">
        <v>18</v>
      </c>
      <c r="C136" s="5" t="s">
        <v>23</v>
      </c>
      <c r="D136" s="4">
        <v>0.0</v>
      </c>
      <c r="E136" s="4">
        <v>0.0</v>
      </c>
      <c r="F136" s="4">
        <v>1.0</v>
      </c>
      <c r="G136" s="4">
        <v>1.0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>
        <v>2022.0</v>
      </c>
      <c r="B137" s="5" t="s">
        <v>25</v>
      </c>
      <c r="C137" s="5" t="s">
        <v>7</v>
      </c>
      <c r="D137" s="4">
        <v>2.0</v>
      </c>
      <c r="E137" s="4">
        <v>1.0</v>
      </c>
      <c r="F137" s="4">
        <v>3.0</v>
      </c>
      <c r="G137" s="4">
        <v>6.0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>
        <v>2022.0</v>
      </c>
      <c r="B138" s="5" t="s">
        <v>25</v>
      </c>
      <c r="C138" s="5" t="s">
        <v>33</v>
      </c>
      <c r="D138" s="4">
        <v>4.0</v>
      </c>
      <c r="E138" s="4">
        <v>4.0</v>
      </c>
      <c r="F138" s="4">
        <v>8.0</v>
      </c>
      <c r="G138" s="4">
        <v>16.0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>
        <v>2022.0</v>
      </c>
      <c r="B139" s="5" t="s">
        <v>25</v>
      </c>
      <c r="C139" s="5" t="s">
        <v>8</v>
      </c>
      <c r="D139" s="4">
        <v>0.0</v>
      </c>
      <c r="E139" s="4">
        <v>0.0</v>
      </c>
      <c r="F139" s="4">
        <v>0.0</v>
      </c>
      <c r="G139" s="4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>
        <v>2022.0</v>
      </c>
      <c r="B140" s="5" t="s">
        <v>25</v>
      </c>
      <c r="C140" s="5" t="s">
        <v>9</v>
      </c>
      <c r="D140" s="4">
        <v>2.0</v>
      </c>
      <c r="E140" s="4">
        <v>2.0</v>
      </c>
      <c r="F140" s="4">
        <v>13.0</v>
      </c>
      <c r="G140" s="4">
        <v>17.0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>
        <v>2022.0</v>
      </c>
      <c r="B141" s="5" t="s">
        <v>25</v>
      </c>
      <c r="C141" s="5" t="s">
        <v>10</v>
      </c>
      <c r="D141" s="4">
        <v>1014.0</v>
      </c>
      <c r="E141" s="4">
        <v>864.0</v>
      </c>
      <c r="F141" s="4">
        <v>3118.0</v>
      </c>
      <c r="G141" s="4">
        <v>4996.0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>
        <v>2022.0</v>
      </c>
      <c r="B142" s="5" t="s">
        <v>25</v>
      </c>
      <c r="C142" s="5" t="s">
        <v>12</v>
      </c>
      <c r="D142" s="4">
        <v>3.0</v>
      </c>
      <c r="E142" s="4">
        <v>2.0</v>
      </c>
      <c r="F142" s="4">
        <v>18.0</v>
      </c>
      <c r="G142" s="4">
        <v>23.0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>
        <v>2022.0</v>
      </c>
      <c r="B143" s="5" t="s">
        <v>25</v>
      </c>
      <c r="C143" s="5" t="s">
        <v>15</v>
      </c>
      <c r="D143" s="4">
        <v>198.0</v>
      </c>
      <c r="E143" s="4">
        <v>168.0</v>
      </c>
      <c r="F143" s="4">
        <v>724.0</v>
      </c>
      <c r="G143" s="4">
        <v>1090.0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>
        <v>2022.0</v>
      </c>
      <c r="B144" s="5" t="s">
        <v>25</v>
      </c>
      <c r="C144" s="5" t="s">
        <v>16</v>
      </c>
      <c r="D144" s="4">
        <v>1.0</v>
      </c>
      <c r="E144" s="4">
        <v>1.0</v>
      </c>
      <c r="F144" s="4">
        <v>7.0</v>
      </c>
      <c r="G144" s="4">
        <v>9.0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>
        <v>2022.0</v>
      </c>
      <c r="B145" s="5" t="s">
        <v>25</v>
      </c>
      <c r="C145" s="5" t="s">
        <v>14</v>
      </c>
      <c r="D145" s="4">
        <v>948.0</v>
      </c>
      <c r="E145" s="4">
        <v>852.0</v>
      </c>
      <c r="F145" s="4">
        <v>3214.0</v>
      </c>
      <c r="G145" s="4">
        <v>5014.0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>
        <v>2022.0</v>
      </c>
      <c r="B146" s="5" t="s">
        <v>25</v>
      </c>
      <c r="C146" s="5" t="s">
        <v>17</v>
      </c>
      <c r="D146" s="4">
        <v>1.0</v>
      </c>
      <c r="E146" s="4">
        <v>2.0</v>
      </c>
      <c r="F146" s="4">
        <v>13.0</v>
      </c>
      <c r="G146" s="4">
        <v>16.0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>
        <v>2022.0</v>
      </c>
      <c r="B147" s="5" t="s">
        <v>25</v>
      </c>
      <c r="C147" s="5" t="s">
        <v>19</v>
      </c>
      <c r="D147" s="4">
        <v>11.0</v>
      </c>
      <c r="E147" s="4">
        <v>11.0</v>
      </c>
      <c r="F147" s="4">
        <v>62.0</v>
      </c>
      <c r="G147" s="4">
        <v>84.0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>
        <v>2022.0</v>
      </c>
      <c r="B148" s="5" t="s">
        <v>25</v>
      </c>
      <c r="C148" s="5" t="s">
        <v>20</v>
      </c>
      <c r="D148" s="4">
        <v>10.0</v>
      </c>
      <c r="E148" s="4">
        <v>7.0</v>
      </c>
      <c r="F148" s="4">
        <v>19.0</v>
      </c>
      <c r="G148" s="4">
        <v>36.0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>
        <v>2022.0</v>
      </c>
      <c r="B149" s="5" t="s">
        <v>25</v>
      </c>
      <c r="C149" s="5" t="s">
        <v>21</v>
      </c>
      <c r="D149" s="4">
        <v>1.0</v>
      </c>
      <c r="E149" s="4">
        <v>0.0</v>
      </c>
      <c r="F149" s="4">
        <v>1.0</v>
      </c>
      <c r="G149" s="4">
        <v>2.0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>
        <v>2022.0</v>
      </c>
      <c r="B150" s="5" t="s">
        <v>25</v>
      </c>
      <c r="C150" s="5" t="s">
        <v>22</v>
      </c>
      <c r="D150" s="4">
        <v>3.0</v>
      </c>
      <c r="E150" s="4">
        <v>4.0</v>
      </c>
      <c r="F150" s="4">
        <v>18.0</v>
      </c>
      <c r="G150" s="4">
        <v>25.0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>
        <v>2022.0</v>
      </c>
      <c r="B151" s="5" t="s">
        <v>25</v>
      </c>
      <c r="C151" s="5" t="s">
        <v>23</v>
      </c>
      <c r="D151" s="4">
        <v>0.0</v>
      </c>
      <c r="E151" s="4">
        <v>1.0</v>
      </c>
      <c r="F151" s="4">
        <v>2.0</v>
      </c>
      <c r="G151" s="4">
        <v>3.0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>
        <v>2022.0</v>
      </c>
      <c r="B152" s="5" t="s">
        <v>27</v>
      </c>
      <c r="C152" s="5" t="s">
        <v>7</v>
      </c>
      <c r="D152" s="4">
        <v>1.0</v>
      </c>
      <c r="E152" s="4">
        <v>0.0</v>
      </c>
      <c r="F152" s="4">
        <v>2.0</v>
      </c>
      <c r="G152" s="4">
        <v>3.0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>
        <v>2022.0</v>
      </c>
      <c r="B153" s="5" t="s">
        <v>27</v>
      </c>
      <c r="C153" s="5" t="s">
        <v>33</v>
      </c>
      <c r="D153" s="4">
        <v>3.0</v>
      </c>
      <c r="E153" s="4">
        <v>3.0</v>
      </c>
      <c r="F153" s="4">
        <v>6.0</v>
      </c>
      <c r="G153" s="4">
        <v>12.0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>
        <v>2022.0</v>
      </c>
      <c r="B154" s="5" t="s">
        <v>27</v>
      </c>
      <c r="C154" s="5" t="s">
        <v>8</v>
      </c>
      <c r="D154" s="4">
        <v>0.0</v>
      </c>
      <c r="E154" s="4">
        <v>0.0</v>
      </c>
      <c r="F154" s="4">
        <v>0.0</v>
      </c>
      <c r="G154" s="4">
        <v>0.0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>
        <v>2022.0</v>
      </c>
      <c r="B155" s="5" t="s">
        <v>27</v>
      </c>
      <c r="C155" s="5" t="s">
        <v>9</v>
      </c>
      <c r="D155" s="4">
        <v>1.0</v>
      </c>
      <c r="E155" s="4">
        <v>1.0</v>
      </c>
      <c r="F155" s="4">
        <v>11.0</v>
      </c>
      <c r="G155" s="4">
        <v>13.0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>
        <v>2022.0</v>
      </c>
      <c r="B156" s="5" t="s">
        <v>27</v>
      </c>
      <c r="C156" s="5" t="s">
        <v>10</v>
      </c>
      <c r="D156" s="4">
        <v>912.0</v>
      </c>
      <c r="E156" s="4">
        <v>784.0</v>
      </c>
      <c r="F156" s="4">
        <v>2814.0</v>
      </c>
      <c r="G156" s="4">
        <v>4510.0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>
        <v>2022.0</v>
      </c>
      <c r="B157" s="5" t="s">
        <v>27</v>
      </c>
      <c r="C157" s="5" t="s">
        <v>12</v>
      </c>
      <c r="D157" s="4">
        <v>2.0</v>
      </c>
      <c r="E157" s="4">
        <v>2.0</v>
      </c>
      <c r="F157" s="4">
        <v>14.0</v>
      </c>
      <c r="G157" s="4">
        <v>18.0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>
        <v>2022.0</v>
      </c>
      <c r="B158" s="5" t="s">
        <v>27</v>
      </c>
      <c r="C158" s="5" t="s">
        <v>15</v>
      </c>
      <c r="D158" s="4">
        <v>178.0</v>
      </c>
      <c r="E158" s="4">
        <v>151.0</v>
      </c>
      <c r="F158" s="4">
        <v>654.0</v>
      </c>
      <c r="G158" s="4">
        <v>983.0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>
        <v>2022.0</v>
      </c>
      <c r="B159" s="5" t="s">
        <v>27</v>
      </c>
      <c r="C159" s="5" t="s">
        <v>16</v>
      </c>
      <c r="D159" s="4">
        <v>1.0</v>
      </c>
      <c r="E159" s="4">
        <v>0.0</v>
      </c>
      <c r="F159" s="4">
        <v>5.0</v>
      </c>
      <c r="G159" s="4">
        <v>6.0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>
        <v>2022.0</v>
      </c>
      <c r="B160" s="5" t="s">
        <v>27</v>
      </c>
      <c r="C160" s="5" t="s">
        <v>14</v>
      </c>
      <c r="D160" s="4">
        <v>842.0</v>
      </c>
      <c r="E160" s="4">
        <v>771.0</v>
      </c>
      <c r="F160" s="4">
        <v>2884.0</v>
      </c>
      <c r="G160" s="4">
        <v>4497.0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>
        <v>2022.0</v>
      </c>
      <c r="B161" s="5" t="s">
        <v>27</v>
      </c>
      <c r="C161" s="5" t="s">
        <v>17</v>
      </c>
      <c r="D161" s="4">
        <v>1.0</v>
      </c>
      <c r="E161" s="4">
        <v>1.0</v>
      </c>
      <c r="F161" s="4">
        <v>11.0</v>
      </c>
      <c r="G161" s="4">
        <v>13.0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>
        <v>2022.0</v>
      </c>
      <c r="B162" s="5" t="s">
        <v>27</v>
      </c>
      <c r="C162" s="5" t="s">
        <v>19</v>
      </c>
      <c r="D162" s="4">
        <v>9.0</v>
      </c>
      <c r="E162" s="4">
        <v>9.0</v>
      </c>
      <c r="F162" s="4">
        <v>51.0</v>
      </c>
      <c r="G162" s="4">
        <v>69.0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>
        <v>2022.0</v>
      </c>
      <c r="B163" s="5" t="s">
        <v>27</v>
      </c>
      <c r="C163" s="5" t="s">
        <v>20</v>
      </c>
      <c r="D163" s="4">
        <v>9.0</v>
      </c>
      <c r="E163" s="4">
        <v>6.0</v>
      </c>
      <c r="F163" s="4">
        <v>16.0</v>
      </c>
      <c r="G163" s="4">
        <v>31.0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>
        <v>2022.0</v>
      </c>
      <c r="B164" s="5" t="s">
        <v>27</v>
      </c>
      <c r="C164" s="5" t="s">
        <v>21</v>
      </c>
      <c r="D164" s="4">
        <v>0.0</v>
      </c>
      <c r="E164" s="4">
        <v>0.0</v>
      </c>
      <c r="F164" s="4">
        <v>1.0</v>
      </c>
      <c r="G164" s="4">
        <v>1.0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>
        <v>2022.0</v>
      </c>
      <c r="B165" s="5" t="s">
        <v>27</v>
      </c>
      <c r="C165" s="5" t="s">
        <v>22</v>
      </c>
      <c r="D165" s="4">
        <v>2.0</v>
      </c>
      <c r="E165" s="4">
        <v>3.0</v>
      </c>
      <c r="F165" s="4">
        <v>15.0</v>
      </c>
      <c r="G165" s="4">
        <v>20.0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>
        <v>2022.0</v>
      </c>
      <c r="B166" s="5" t="s">
        <v>27</v>
      </c>
      <c r="C166" s="5" t="s">
        <v>23</v>
      </c>
      <c r="D166" s="4">
        <v>0.0</v>
      </c>
      <c r="E166" s="4">
        <v>0.0</v>
      </c>
      <c r="F166" s="4">
        <v>1.0</v>
      </c>
      <c r="G166" s="4">
        <v>1.0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>
        <v>2022.0</v>
      </c>
      <c r="B167" s="5" t="s">
        <v>29</v>
      </c>
      <c r="C167" s="5" t="s">
        <v>7</v>
      </c>
      <c r="D167" s="4">
        <v>1.0</v>
      </c>
      <c r="E167" s="4">
        <v>0.0</v>
      </c>
      <c r="F167" s="4">
        <v>2.0</v>
      </c>
      <c r="G167" s="4">
        <v>3.0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>
        <v>2022.0</v>
      </c>
      <c r="B168" s="5" t="s">
        <v>29</v>
      </c>
      <c r="C168" s="5" t="s">
        <v>33</v>
      </c>
      <c r="D168" s="4">
        <v>4.0</v>
      </c>
      <c r="E168" s="4">
        <v>4.0</v>
      </c>
      <c r="F168" s="4">
        <v>8.0</v>
      </c>
      <c r="G168" s="4">
        <v>16.0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>
        <v>2022.0</v>
      </c>
      <c r="B169" s="5" t="s">
        <v>29</v>
      </c>
      <c r="C169" s="5" t="s">
        <v>8</v>
      </c>
      <c r="D169" s="4">
        <v>0.0</v>
      </c>
      <c r="E169" s="4">
        <v>0.0</v>
      </c>
      <c r="F169" s="4">
        <v>0.0</v>
      </c>
      <c r="G169" s="4">
        <v>0.0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>
        <v>2022.0</v>
      </c>
      <c r="B170" s="5" t="s">
        <v>29</v>
      </c>
      <c r="C170" s="5" t="s">
        <v>9</v>
      </c>
      <c r="D170" s="4">
        <v>1.0</v>
      </c>
      <c r="E170" s="4">
        <v>1.0</v>
      </c>
      <c r="F170" s="4">
        <v>11.0</v>
      </c>
      <c r="G170" s="4">
        <v>13.0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>
        <v>2022.0</v>
      </c>
      <c r="B171" s="5" t="s">
        <v>29</v>
      </c>
      <c r="C171" s="5" t="s">
        <v>10</v>
      </c>
      <c r="D171" s="4">
        <v>912.0</v>
      </c>
      <c r="E171" s="4">
        <v>784.0</v>
      </c>
      <c r="F171" s="4">
        <v>2814.0</v>
      </c>
      <c r="G171" s="4">
        <v>4510.0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>
        <v>2022.0</v>
      </c>
      <c r="B172" s="5" t="s">
        <v>29</v>
      </c>
      <c r="C172" s="5" t="s">
        <v>12</v>
      </c>
      <c r="D172" s="4">
        <v>2.0</v>
      </c>
      <c r="E172" s="4">
        <v>2.0</v>
      </c>
      <c r="F172" s="4">
        <v>14.0</v>
      </c>
      <c r="G172" s="4">
        <v>18.0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>
        <v>2022.0</v>
      </c>
      <c r="B173" s="5" t="s">
        <v>29</v>
      </c>
      <c r="C173" s="5" t="s">
        <v>15</v>
      </c>
      <c r="D173" s="4">
        <v>178.0</v>
      </c>
      <c r="E173" s="4">
        <v>151.0</v>
      </c>
      <c r="F173" s="4">
        <v>654.0</v>
      </c>
      <c r="G173" s="4">
        <v>983.0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>
        <v>2022.0</v>
      </c>
      <c r="B174" s="5" t="s">
        <v>29</v>
      </c>
      <c r="C174" s="5" t="s">
        <v>16</v>
      </c>
      <c r="D174" s="4">
        <v>1.0</v>
      </c>
      <c r="E174" s="4">
        <v>0.0</v>
      </c>
      <c r="F174" s="4">
        <v>5.0</v>
      </c>
      <c r="G174" s="4">
        <v>6.0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>
        <v>2022.0</v>
      </c>
      <c r="B175" s="5" t="s">
        <v>29</v>
      </c>
      <c r="C175" s="5" t="s">
        <v>14</v>
      </c>
      <c r="D175" s="4">
        <v>842.0</v>
      </c>
      <c r="E175" s="4">
        <v>771.0</v>
      </c>
      <c r="F175" s="4">
        <v>2884.0</v>
      </c>
      <c r="G175" s="4">
        <v>4497.0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>
        <v>2022.0</v>
      </c>
      <c r="B176" s="5" t="s">
        <v>29</v>
      </c>
      <c r="C176" s="5" t="s">
        <v>17</v>
      </c>
      <c r="D176" s="4">
        <v>1.0</v>
      </c>
      <c r="E176" s="4">
        <v>1.0</v>
      </c>
      <c r="F176" s="4">
        <v>11.0</v>
      </c>
      <c r="G176" s="4">
        <v>13.0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>
        <v>2022.0</v>
      </c>
      <c r="B177" s="5" t="s">
        <v>29</v>
      </c>
      <c r="C177" s="5" t="s">
        <v>19</v>
      </c>
      <c r="D177" s="4">
        <v>9.0</v>
      </c>
      <c r="E177" s="4">
        <v>9.0</v>
      </c>
      <c r="F177" s="4">
        <v>51.0</v>
      </c>
      <c r="G177" s="4">
        <v>69.0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>
        <v>2022.0</v>
      </c>
      <c r="B178" s="5" t="s">
        <v>29</v>
      </c>
      <c r="C178" s="5" t="s">
        <v>20</v>
      </c>
      <c r="D178" s="4">
        <v>9.0</v>
      </c>
      <c r="E178" s="4">
        <v>6.0</v>
      </c>
      <c r="F178" s="4">
        <v>16.0</v>
      </c>
      <c r="G178" s="4">
        <v>31.0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>
        <v>2022.0</v>
      </c>
      <c r="B179" s="5" t="s">
        <v>29</v>
      </c>
      <c r="C179" s="5" t="s">
        <v>21</v>
      </c>
      <c r="D179" s="4">
        <v>0.0</v>
      </c>
      <c r="E179" s="4">
        <v>0.0</v>
      </c>
      <c r="F179" s="4">
        <v>1.0</v>
      </c>
      <c r="G179" s="4">
        <v>1.0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>
        <v>2022.0</v>
      </c>
      <c r="B180" s="5" t="s">
        <v>29</v>
      </c>
      <c r="C180" s="5" t="s">
        <v>22</v>
      </c>
      <c r="D180" s="4">
        <v>2.0</v>
      </c>
      <c r="E180" s="4">
        <v>3.0</v>
      </c>
      <c r="F180" s="4">
        <v>15.0</v>
      </c>
      <c r="G180" s="4">
        <v>20.0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>
        <v>2022.0</v>
      </c>
      <c r="B181" s="5" t="s">
        <v>29</v>
      </c>
      <c r="C181" s="5" t="s">
        <v>23</v>
      </c>
      <c r="D181" s="4">
        <v>0.0</v>
      </c>
      <c r="E181" s="4">
        <v>0.0</v>
      </c>
      <c r="F181" s="4">
        <v>1.0</v>
      </c>
      <c r="G181" s="4">
        <v>1.0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</sheetData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2023.0</v>
      </c>
      <c r="B2" s="5" t="s">
        <v>11</v>
      </c>
      <c r="C2" s="5" t="s">
        <v>7</v>
      </c>
      <c r="D2" s="4">
        <v>1.0</v>
      </c>
      <c r="E2" s="4">
        <v>0.0</v>
      </c>
      <c r="F2" s="4">
        <v>2.0</v>
      </c>
      <c r="G2" s="4">
        <v>3.0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2023.0</v>
      </c>
      <c r="B3" s="5" t="s">
        <v>11</v>
      </c>
      <c r="C3" s="5" t="s">
        <v>33</v>
      </c>
      <c r="D3" s="4">
        <v>4.0</v>
      </c>
      <c r="E3" s="4">
        <v>4.0</v>
      </c>
      <c r="F3" s="4">
        <v>8.0</v>
      </c>
      <c r="G3" s="4">
        <v>16.0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2023.0</v>
      </c>
      <c r="B4" s="5" t="s">
        <v>11</v>
      </c>
      <c r="C4" s="5" t="s">
        <v>8</v>
      </c>
      <c r="D4" s="4">
        <v>0.0</v>
      </c>
      <c r="E4" s="4">
        <v>0.0</v>
      </c>
      <c r="F4" s="4">
        <v>0.0</v>
      </c>
      <c r="G4" s="4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2023.0</v>
      </c>
      <c r="B5" s="5" t="s">
        <v>11</v>
      </c>
      <c r="C5" s="5" t="s">
        <v>9</v>
      </c>
      <c r="D5" s="4">
        <v>2.0</v>
      </c>
      <c r="E5" s="4">
        <v>2.0</v>
      </c>
      <c r="F5" s="4">
        <v>12.0</v>
      </c>
      <c r="G5" s="4">
        <v>16.0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2023.0</v>
      </c>
      <c r="B6" s="5" t="s">
        <v>11</v>
      </c>
      <c r="C6" s="5" t="s">
        <v>10</v>
      </c>
      <c r="D6" s="4">
        <v>948.0</v>
      </c>
      <c r="E6" s="4">
        <v>812.0</v>
      </c>
      <c r="F6" s="4">
        <v>2914.0</v>
      </c>
      <c r="G6" s="4">
        <v>4674.0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2023.0</v>
      </c>
      <c r="B7" s="5" t="s">
        <v>11</v>
      </c>
      <c r="C7" s="5" t="s">
        <v>12</v>
      </c>
      <c r="D7" s="4">
        <v>3.0</v>
      </c>
      <c r="E7" s="4">
        <v>2.0</v>
      </c>
      <c r="F7" s="4">
        <v>16.0</v>
      </c>
      <c r="G7" s="4">
        <v>21.0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2023.0</v>
      </c>
      <c r="B8" s="5" t="s">
        <v>11</v>
      </c>
      <c r="C8" s="5" t="s">
        <v>15</v>
      </c>
      <c r="D8" s="4">
        <v>187.0</v>
      </c>
      <c r="E8" s="4">
        <v>159.0</v>
      </c>
      <c r="F8" s="4">
        <v>694.0</v>
      </c>
      <c r="G8" s="4">
        <v>1040.0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2023.0</v>
      </c>
      <c r="B9" s="5" t="s">
        <v>11</v>
      </c>
      <c r="C9" s="5" t="s">
        <v>16</v>
      </c>
      <c r="D9" s="4">
        <v>1.0</v>
      </c>
      <c r="E9" s="4">
        <v>0.0</v>
      </c>
      <c r="F9" s="4">
        <v>6.0</v>
      </c>
      <c r="G9" s="4">
        <v>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2023.0</v>
      </c>
      <c r="B10" s="5" t="s">
        <v>11</v>
      </c>
      <c r="C10" s="5" t="s">
        <v>14</v>
      </c>
      <c r="D10" s="4">
        <v>872.0</v>
      </c>
      <c r="E10" s="4">
        <v>804.0</v>
      </c>
      <c r="F10" s="4">
        <v>2984.0</v>
      </c>
      <c r="G10" s="4">
        <v>4660.0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2023.0</v>
      </c>
      <c r="B11" s="5" t="s">
        <v>11</v>
      </c>
      <c r="C11" s="5" t="s">
        <v>17</v>
      </c>
      <c r="D11" s="4">
        <v>1.0</v>
      </c>
      <c r="E11" s="4">
        <v>2.0</v>
      </c>
      <c r="F11" s="4">
        <v>13.0</v>
      </c>
      <c r="G11" s="4">
        <v>16.0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2023.0</v>
      </c>
      <c r="B12" s="5" t="s">
        <v>11</v>
      </c>
      <c r="C12" s="5" t="s">
        <v>19</v>
      </c>
      <c r="D12" s="4">
        <v>11.0</v>
      </c>
      <c r="E12" s="4">
        <v>10.0</v>
      </c>
      <c r="F12" s="4">
        <v>54.0</v>
      </c>
      <c r="G12" s="4">
        <v>75.0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2023.0</v>
      </c>
      <c r="B13" s="5" t="s">
        <v>11</v>
      </c>
      <c r="C13" s="5" t="s">
        <v>20</v>
      </c>
      <c r="D13" s="4">
        <v>10.0</v>
      </c>
      <c r="E13" s="4">
        <v>7.0</v>
      </c>
      <c r="F13" s="4">
        <v>17.0</v>
      </c>
      <c r="G13" s="4">
        <v>34.0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2023.0</v>
      </c>
      <c r="B14" s="5" t="s">
        <v>11</v>
      </c>
      <c r="C14" s="5" t="s">
        <v>21</v>
      </c>
      <c r="D14" s="4">
        <v>0.0</v>
      </c>
      <c r="E14" s="4">
        <v>0.0</v>
      </c>
      <c r="F14" s="4">
        <v>1.0</v>
      </c>
      <c r="G14" s="4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2023.0</v>
      </c>
      <c r="B15" s="5" t="s">
        <v>11</v>
      </c>
      <c r="C15" s="5" t="s">
        <v>22</v>
      </c>
      <c r="D15" s="4">
        <v>3.0</v>
      </c>
      <c r="E15" s="4">
        <v>4.0</v>
      </c>
      <c r="F15" s="4">
        <v>17.0</v>
      </c>
      <c r="G15" s="4">
        <v>24.0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2023.0</v>
      </c>
      <c r="B16" s="5" t="s">
        <v>11</v>
      </c>
      <c r="C16" s="5" t="s">
        <v>23</v>
      </c>
      <c r="D16" s="4">
        <v>0.0</v>
      </c>
      <c r="E16" s="4">
        <v>0.0</v>
      </c>
      <c r="F16" s="4">
        <v>2.0</v>
      </c>
      <c r="G16" s="4">
        <v>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2023.0</v>
      </c>
      <c r="B17" s="5" t="s">
        <v>24</v>
      </c>
      <c r="C17" s="5" t="s">
        <v>7</v>
      </c>
      <c r="D17" s="4">
        <v>1.0</v>
      </c>
      <c r="E17" s="4">
        <v>0.0</v>
      </c>
      <c r="F17" s="4">
        <v>2.0</v>
      </c>
      <c r="G17" s="4">
        <v>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2023.0</v>
      </c>
      <c r="B18" s="5" t="s">
        <v>24</v>
      </c>
      <c r="C18" s="5" t="s">
        <v>33</v>
      </c>
      <c r="D18" s="4">
        <v>3.0</v>
      </c>
      <c r="E18" s="4">
        <v>4.0</v>
      </c>
      <c r="F18" s="4">
        <v>7.0</v>
      </c>
      <c r="G18" s="4">
        <v>14.0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2023.0</v>
      </c>
      <c r="B19" s="5" t="s">
        <v>24</v>
      </c>
      <c r="C19" s="5" t="s">
        <v>8</v>
      </c>
      <c r="D19" s="4">
        <v>0.0</v>
      </c>
      <c r="E19" s="4">
        <v>0.0</v>
      </c>
      <c r="F19" s="4">
        <v>0.0</v>
      </c>
      <c r="G19" s="4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2023.0</v>
      </c>
      <c r="B20" s="5" t="s">
        <v>24</v>
      </c>
      <c r="C20" s="5" t="s">
        <v>9</v>
      </c>
      <c r="D20" s="4">
        <v>2.0</v>
      </c>
      <c r="E20" s="4">
        <v>2.0</v>
      </c>
      <c r="F20" s="4">
        <v>12.0</v>
      </c>
      <c r="G20" s="4">
        <v>16.0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2023.0</v>
      </c>
      <c r="B21" s="5" t="s">
        <v>24</v>
      </c>
      <c r="C21" s="5" t="s">
        <v>10</v>
      </c>
      <c r="D21" s="4">
        <v>948.0</v>
      </c>
      <c r="E21" s="4">
        <v>812.0</v>
      </c>
      <c r="F21" s="4">
        <v>2914.0</v>
      </c>
      <c r="G21" s="4">
        <v>4674.0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2023.0</v>
      </c>
      <c r="B22" s="5" t="s">
        <v>24</v>
      </c>
      <c r="C22" s="5" t="s">
        <v>12</v>
      </c>
      <c r="D22" s="4">
        <v>3.0</v>
      </c>
      <c r="E22" s="4">
        <v>2.0</v>
      </c>
      <c r="F22" s="4">
        <v>16.0</v>
      </c>
      <c r="G22" s="4">
        <v>21.0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2023.0</v>
      </c>
      <c r="B23" s="5" t="s">
        <v>24</v>
      </c>
      <c r="C23" s="5" t="s">
        <v>15</v>
      </c>
      <c r="D23" s="4">
        <v>187.0</v>
      </c>
      <c r="E23" s="4">
        <v>159.0</v>
      </c>
      <c r="F23" s="4">
        <v>694.0</v>
      </c>
      <c r="G23" s="4">
        <v>1040.0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2023.0</v>
      </c>
      <c r="B24" s="5" t="s">
        <v>24</v>
      </c>
      <c r="C24" s="5" t="s">
        <v>16</v>
      </c>
      <c r="D24" s="4">
        <v>1.0</v>
      </c>
      <c r="E24" s="4">
        <v>0.0</v>
      </c>
      <c r="F24" s="4">
        <v>6.0</v>
      </c>
      <c r="G24" s="4">
        <v>7.0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2023.0</v>
      </c>
      <c r="B25" s="5" t="s">
        <v>24</v>
      </c>
      <c r="C25" s="5" t="s">
        <v>14</v>
      </c>
      <c r="D25" s="4">
        <v>872.0</v>
      </c>
      <c r="E25" s="4">
        <v>804.0</v>
      </c>
      <c r="F25" s="4">
        <v>2984.0</v>
      </c>
      <c r="G25" s="4">
        <v>4660.0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2023.0</v>
      </c>
      <c r="B26" s="5" t="s">
        <v>24</v>
      </c>
      <c r="C26" s="5" t="s">
        <v>17</v>
      </c>
      <c r="D26" s="4">
        <v>1.0</v>
      </c>
      <c r="E26" s="4">
        <v>2.0</v>
      </c>
      <c r="F26" s="4">
        <v>13.0</v>
      </c>
      <c r="G26" s="4">
        <v>16.0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2023.0</v>
      </c>
      <c r="B27" s="5" t="s">
        <v>24</v>
      </c>
      <c r="C27" s="5" t="s">
        <v>19</v>
      </c>
      <c r="D27" s="4">
        <v>11.0</v>
      </c>
      <c r="E27" s="4">
        <v>10.0</v>
      </c>
      <c r="F27" s="4">
        <v>54.0</v>
      </c>
      <c r="G27" s="4">
        <v>75.0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2023.0</v>
      </c>
      <c r="B28" s="5" t="s">
        <v>24</v>
      </c>
      <c r="C28" s="5" t="s">
        <v>20</v>
      </c>
      <c r="D28" s="4">
        <v>10.0</v>
      </c>
      <c r="E28" s="4">
        <v>7.0</v>
      </c>
      <c r="F28" s="4">
        <v>17.0</v>
      </c>
      <c r="G28" s="4">
        <v>34.0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2023.0</v>
      </c>
      <c r="B29" s="5" t="s">
        <v>24</v>
      </c>
      <c r="C29" s="5" t="s">
        <v>21</v>
      </c>
      <c r="D29" s="4">
        <v>0.0</v>
      </c>
      <c r="E29" s="4">
        <v>0.0</v>
      </c>
      <c r="F29" s="4">
        <v>1.0</v>
      </c>
      <c r="G29" s="4">
        <v>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2023.0</v>
      </c>
      <c r="B30" s="5" t="s">
        <v>24</v>
      </c>
      <c r="C30" s="5" t="s">
        <v>22</v>
      </c>
      <c r="D30" s="4">
        <v>3.0</v>
      </c>
      <c r="E30" s="4">
        <v>4.0</v>
      </c>
      <c r="F30" s="4">
        <v>17.0</v>
      </c>
      <c r="G30" s="4">
        <v>24.0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2023.0</v>
      </c>
      <c r="B31" s="5" t="s">
        <v>24</v>
      </c>
      <c r="C31" s="5" t="s">
        <v>23</v>
      </c>
      <c r="D31" s="4">
        <v>0.0</v>
      </c>
      <c r="E31" s="4">
        <v>0.0</v>
      </c>
      <c r="F31" s="4">
        <v>2.0</v>
      </c>
      <c r="G31" s="4">
        <v>2.0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2023.0</v>
      </c>
      <c r="B32" s="5" t="s">
        <v>26</v>
      </c>
      <c r="C32" s="5" t="s">
        <v>7</v>
      </c>
      <c r="D32" s="4">
        <v>1.0</v>
      </c>
      <c r="E32" s="4">
        <v>0.0</v>
      </c>
      <c r="F32" s="4">
        <v>2.0</v>
      </c>
      <c r="G32" s="4">
        <v>3.0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2023.0</v>
      </c>
      <c r="B33" s="5" t="s">
        <v>26</v>
      </c>
      <c r="C33" s="5" t="s">
        <v>33</v>
      </c>
      <c r="D33" s="4">
        <v>4.0</v>
      </c>
      <c r="E33" s="4">
        <v>4.0</v>
      </c>
      <c r="F33" s="4">
        <v>9.0</v>
      </c>
      <c r="G33" s="4">
        <v>17.0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2023.0</v>
      </c>
      <c r="B34" s="5" t="s">
        <v>26</v>
      </c>
      <c r="C34" s="5" t="s">
        <v>8</v>
      </c>
      <c r="D34" s="4">
        <v>0.0</v>
      </c>
      <c r="E34" s="4">
        <v>0.0</v>
      </c>
      <c r="F34" s="4">
        <v>0.0</v>
      </c>
      <c r="G34" s="4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2023.0</v>
      </c>
      <c r="B35" s="5" t="s">
        <v>26</v>
      </c>
      <c r="C35" s="5" t="s">
        <v>9</v>
      </c>
      <c r="D35" s="4">
        <v>2.0</v>
      </c>
      <c r="E35" s="4">
        <v>2.0</v>
      </c>
      <c r="F35" s="4">
        <v>12.0</v>
      </c>
      <c r="G35" s="4">
        <v>16.0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2023.0</v>
      </c>
      <c r="B36" s="5" t="s">
        <v>26</v>
      </c>
      <c r="C36" s="5" t="s">
        <v>10</v>
      </c>
      <c r="D36" s="4">
        <v>948.0</v>
      </c>
      <c r="E36" s="4">
        <v>812.0</v>
      </c>
      <c r="F36" s="4">
        <v>2914.0</v>
      </c>
      <c r="G36" s="4">
        <v>4674.0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2023.0</v>
      </c>
      <c r="B37" s="5" t="s">
        <v>26</v>
      </c>
      <c r="C37" s="5" t="s">
        <v>12</v>
      </c>
      <c r="D37" s="4">
        <v>3.0</v>
      </c>
      <c r="E37" s="4">
        <v>2.0</v>
      </c>
      <c r="F37" s="4">
        <v>16.0</v>
      </c>
      <c r="G37" s="4">
        <v>21.0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2023.0</v>
      </c>
      <c r="B38" s="5" t="s">
        <v>26</v>
      </c>
      <c r="C38" s="5" t="s">
        <v>15</v>
      </c>
      <c r="D38" s="4">
        <v>187.0</v>
      </c>
      <c r="E38" s="4">
        <v>159.0</v>
      </c>
      <c r="F38" s="4">
        <v>694.0</v>
      </c>
      <c r="G38" s="4">
        <v>1040.0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2023.0</v>
      </c>
      <c r="B39" s="5" t="s">
        <v>26</v>
      </c>
      <c r="C39" s="5" t="s">
        <v>16</v>
      </c>
      <c r="D39" s="4">
        <v>1.0</v>
      </c>
      <c r="E39" s="4">
        <v>0.0</v>
      </c>
      <c r="F39" s="4">
        <v>6.0</v>
      </c>
      <c r="G39" s="4">
        <v>7.0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2023.0</v>
      </c>
      <c r="B40" s="5" t="s">
        <v>26</v>
      </c>
      <c r="C40" s="5" t="s">
        <v>14</v>
      </c>
      <c r="D40" s="4">
        <v>872.0</v>
      </c>
      <c r="E40" s="4">
        <v>804.0</v>
      </c>
      <c r="F40" s="4">
        <v>2984.0</v>
      </c>
      <c r="G40" s="4">
        <v>4660.0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2023.0</v>
      </c>
      <c r="B41" s="5" t="s">
        <v>26</v>
      </c>
      <c r="C41" s="5" t="s">
        <v>17</v>
      </c>
      <c r="D41" s="4">
        <v>1.0</v>
      </c>
      <c r="E41" s="4">
        <v>2.0</v>
      </c>
      <c r="F41" s="4">
        <v>13.0</v>
      </c>
      <c r="G41" s="4">
        <v>16.0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2023.0</v>
      </c>
      <c r="B42" s="5" t="s">
        <v>26</v>
      </c>
      <c r="C42" s="5" t="s">
        <v>19</v>
      </c>
      <c r="D42" s="4">
        <v>11.0</v>
      </c>
      <c r="E42" s="4">
        <v>10.0</v>
      </c>
      <c r="F42" s="4">
        <v>54.0</v>
      </c>
      <c r="G42" s="4">
        <v>75.0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2023.0</v>
      </c>
      <c r="B43" s="5" t="s">
        <v>26</v>
      </c>
      <c r="C43" s="5" t="s">
        <v>20</v>
      </c>
      <c r="D43" s="4">
        <v>10.0</v>
      </c>
      <c r="E43" s="4">
        <v>7.0</v>
      </c>
      <c r="F43" s="4">
        <v>17.0</v>
      </c>
      <c r="G43" s="4">
        <v>34.0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2023.0</v>
      </c>
      <c r="B44" s="5" t="s">
        <v>26</v>
      </c>
      <c r="C44" s="5" t="s">
        <v>21</v>
      </c>
      <c r="D44" s="4">
        <v>0.0</v>
      </c>
      <c r="E44" s="4">
        <v>0.0</v>
      </c>
      <c r="F44" s="4">
        <v>1.0</v>
      </c>
      <c r="G44" s="4">
        <v>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2023.0</v>
      </c>
      <c r="B45" s="5" t="s">
        <v>26</v>
      </c>
      <c r="C45" s="5" t="s">
        <v>22</v>
      </c>
      <c r="D45" s="4">
        <v>3.0</v>
      </c>
      <c r="E45" s="4">
        <v>4.0</v>
      </c>
      <c r="F45" s="4">
        <v>17.0</v>
      </c>
      <c r="G45" s="4">
        <v>24.0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2023.0</v>
      </c>
      <c r="B46" s="5" t="s">
        <v>26</v>
      </c>
      <c r="C46" s="5" t="s">
        <v>23</v>
      </c>
      <c r="D46" s="4">
        <v>0.0</v>
      </c>
      <c r="E46" s="4">
        <v>0.0</v>
      </c>
      <c r="F46" s="4">
        <v>2.0</v>
      </c>
      <c r="G46" s="4">
        <v>2.0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2023.0</v>
      </c>
      <c r="B47" s="5" t="s">
        <v>13</v>
      </c>
      <c r="C47" s="5" t="s">
        <v>7</v>
      </c>
      <c r="D47" s="4">
        <v>1.0</v>
      </c>
      <c r="E47" s="4">
        <v>0.0</v>
      </c>
      <c r="F47" s="4">
        <v>2.0</v>
      </c>
      <c r="G47" s="4">
        <v>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2023.0</v>
      </c>
      <c r="B48" s="5" t="s">
        <v>13</v>
      </c>
      <c r="C48" s="5" t="s">
        <v>33</v>
      </c>
      <c r="D48" s="4">
        <v>3.0</v>
      </c>
      <c r="E48" s="4">
        <v>3.0</v>
      </c>
      <c r="F48" s="4">
        <v>6.0</v>
      </c>
      <c r="G48" s="4">
        <v>12.0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2023.0</v>
      </c>
      <c r="B49" s="5" t="s">
        <v>13</v>
      </c>
      <c r="C49" s="5" t="s">
        <v>8</v>
      </c>
      <c r="D49" s="4">
        <v>0.0</v>
      </c>
      <c r="E49" s="4">
        <v>0.0</v>
      </c>
      <c r="F49" s="4">
        <v>0.0</v>
      </c>
      <c r="G49" s="4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2023.0</v>
      </c>
      <c r="B50" s="5" t="s">
        <v>13</v>
      </c>
      <c r="C50" s="5" t="s">
        <v>9</v>
      </c>
      <c r="D50" s="4">
        <v>1.0</v>
      </c>
      <c r="E50" s="4">
        <v>1.0</v>
      </c>
      <c r="F50" s="4">
        <v>11.0</v>
      </c>
      <c r="G50" s="4">
        <v>13.0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2023.0</v>
      </c>
      <c r="B51" s="5" t="s">
        <v>13</v>
      </c>
      <c r="C51" s="5" t="s">
        <v>10</v>
      </c>
      <c r="D51" s="4">
        <v>912.0</v>
      </c>
      <c r="E51" s="4">
        <v>784.0</v>
      </c>
      <c r="F51" s="4">
        <v>2814.0</v>
      </c>
      <c r="G51" s="4">
        <v>4510.0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>
        <v>2023.0</v>
      </c>
      <c r="B52" s="5" t="s">
        <v>13</v>
      </c>
      <c r="C52" s="5" t="s">
        <v>12</v>
      </c>
      <c r="D52" s="4">
        <v>2.0</v>
      </c>
      <c r="E52" s="4">
        <v>2.0</v>
      </c>
      <c r="F52" s="4">
        <v>14.0</v>
      </c>
      <c r="G52" s="4">
        <v>18.0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>
        <v>2023.0</v>
      </c>
      <c r="B53" s="5" t="s">
        <v>13</v>
      </c>
      <c r="C53" s="5" t="s">
        <v>15</v>
      </c>
      <c r="D53" s="4">
        <v>178.0</v>
      </c>
      <c r="E53" s="4">
        <v>151.0</v>
      </c>
      <c r="F53" s="4">
        <v>654.0</v>
      </c>
      <c r="G53" s="4">
        <v>983.0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>
        <v>2023.0</v>
      </c>
      <c r="B54" s="5" t="s">
        <v>13</v>
      </c>
      <c r="C54" s="5" t="s">
        <v>16</v>
      </c>
      <c r="D54" s="4">
        <v>1.0</v>
      </c>
      <c r="E54" s="4">
        <v>0.0</v>
      </c>
      <c r="F54" s="4">
        <v>5.0</v>
      </c>
      <c r="G54" s="4">
        <v>6.0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>
        <v>2023.0</v>
      </c>
      <c r="B55" s="5" t="s">
        <v>13</v>
      </c>
      <c r="C55" s="5" t="s">
        <v>14</v>
      </c>
      <c r="D55" s="4">
        <v>842.0</v>
      </c>
      <c r="E55" s="4">
        <v>771.0</v>
      </c>
      <c r="F55" s="4">
        <v>2884.0</v>
      </c>
      <c r="G55" s="4">
        <v>4497.0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>
        <v>2023.0</v>
      </c>
      <c r="B56" s="5" t="s">
        <v>13</v>
      </c>
      <c r="C56" s="5" t="s">
        <v>17</v>
      </c>
      <c r="D56" s="4">
        <v>1.0</v>
      </c>
      <c r="E56" s="4">
        <v>1.0</v>
      </c>
      <c r="F56" s="4">
        <v>11.0</v>
      </c>
      <c r="G56" s="4">
        <v>13.0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>
        <v>2023.0</v>
      </c>
      <c r="B57" s="5" t="s">
        <v>13</v>
      </c>
      <c r="C57" s="5" t="s">
        <v>19</v>
      </c>
      <c r="D57" s="4">
        <v>9.0</v>
      </c>
      <c r="E57" s="4">
        <v>9.0</v>
      </c>
      <c r="F57" s="4">
        <v>51.0</v>
      </c>
      <c r="G57" s="4">
        <v>69.0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>
        <v>2023.0</v>
      </c>
      <c r="B58" s="5" t="s">
        <v>13</v>
      </c>
      <c r="C58" s="5" t="s">
        <v>20</v>
      </c>
      <c r="D58" s="4">
        <v>9.0</v>
      </c>
      <c r="E58" s="4">
        <v>6.0</v>
      </c>
      <c r="F58" s="4">
        <v>16.0</v>
      </c>
      <c r="G58" s="4">
        <v>31.0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>
        <v>2023.0</v>
      </c>
      <c r="B59" s="5" t="s">
        <v>13</v>
      </c>
      <c r="C59" s="5" t="s">
        <v>21</v>
      </c>
      <c r="D59" s="4">
        <v>0.0</v>
      </c>
      <c r="E59" s="4">
        <v>0.0</v>
      </c>
      <c r="F59" s="4">
        <v>1.0</v>
      </c>
      <c r="G59" s="4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2023.0</v>
      </c>
      <c r="B60" s="5" t="s">
        <v>13</v>
      </c>
      <c r="C60" s="5" t="s">
        <v>22</v>
      </c>
      <c r="D60" s="4">
        <v>2.0</v>
      </c>
      <c r="E60" s="4">
        <v>3.0</v>
      </c>
      <c r="F60" s="4">
        <v>15.0</v>
      </c>
      <c r="G60" s="4">
        <v>20.0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2023.0</v>
      </c>
      <c r="B61" s="5" t="s">
        <v>13</v>
      </c>
      <c r="C61" s="5" t="s">
        <v>23</v>
      </c>
      <c r="D61" s="4">
        <v>0.0</v>
      </c>
      <c r="E61" s="4">
        <v>0.0</v>
      </c>
      <c r="F61" s="4">
        <v>1.0</v>
      </c>
      <c r="G61" s="4">
        <v>1.0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>
        <v>2023.0</v>
      </c>
      <c r="B62" s="5" t="s">
        <v>30</v>
      </c>
      <c r="C62" s="5" t="s">
        <v>7</v>
      </c>
      <c r="D62" s="4">
        <v>2.0</v>
      </c>
      <c r="E62" s="4">
        <v>1.0</v>
      </c>
      <c r="F62" s="4">
        <v>3.0</v>
      </c>
      <c r="G62" s="4">
        <v>6.0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>
        <v>2023.0</v>
      </c>
      <c r="B63" s="5" t="s">
        <v>30</v>
      </c>
      <c r="C63" s="5" t="s">
        <v>33</v>
      </c>
      <c r="D63" s="4">
        <v>4.0</v>
      </c>
      <c r="E63" s="4">
        <v>4.0</v>
      </c>
      <c r="F63" s="4">
        <v>8.0</v>
      </c>
      <c r="G63" s="4">
        <v>16.0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>
        <v>2023.0</v>
      </c>
      <c r="B64" s="5" t="s">
        <v>30</v>
      </c>
      <c r="C64" s="5" t="s">
        <v>8</v>
      </c>
      <c r="D64" s="4">
        <v>0.0</v>
      </c>
      <c r="E64" s="4">
        <v>0.0</v>
      </c>
      <c r="F64" s="4">
        <v>0.0</v>
      </c>
      <c r="G64" s="4">
        <v>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>
        <v>2023.0</v>
      </c>
      <c r="B65" s="5" t="s">
        <v>30</v>
      </c>
      <c r="C65" s="5" t="s">
        <v>9</v>
      </c>
      <c r="D65" s="4">
        <v>2.0</v>
      </c>
      <c r="E65" s="4">
        <v>2.0</v>
      </c>
      <c r="F65" s="4">
        <v>13.0</v>
      </c>
      <c r="G65" s="4">
        <v>17.0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>
        <v>2023.0</v>
      </c>
      <c r="B66" s="5" t="s">
        <v>30</v>
      </c>
      <c r="C66" s="5" t="s">
        <v>10</v>
      </c>
      <c r="D66" s="4">
        <v>1014.0</v>
      </c>
      <c r="E66" s="4">
        <v>864.0</v>
      </c>
      <c r="F66" s="4">
        <v>3118.0</v>
      </c>
      <c r="G66" s="4">
        <v>4996.0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>
        <v>2023.0</v>
      </c>
      <c r="B67" s="5" t="s">
        <v>30</v>
      </c>
      <c r="C67" s="5" t="s">
        <v>12</v>
      </c>
      <c r="D67" s="4">
        <v>3.0</v>
      </c>
      <c r="E67" s="4">
        <v>2.0</v>
      </c>
      <c r="F67" s="4">
        <v>18.0</v>
      </c>
      <c r="G67" s="4">
        <v>23.0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>
        <v>2023.0</v>
      </c>
      <c r="B68" s="5" t="s">
        <v>30</v>
      </c>
      <c r="C68" s="5" t="s">
        <v>15</v>
      </c>
      <c r="D68" s="4">
        <v>198.0</v>
      </c>
      <c r="E68" s="4">
        <v>168.0</v>
      </c>
      <c r="F68" s="4">
        <v>724.0</v>
      </c>
      <c r="G68" s="4">
        <v>1090.0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>
        <v>2023.0</v>
      </c>
      <c r="B69" s="5" t="s">
        <v>30</v>
      </c>
      <c r="C69" s="5" t="s">
        <v>16</v>
      </c>
      <c r="D69" s="4">
        <v>1.0</v>
      </c>
      <c r="E69" s="4">
        <v>1.0</v>
      </c>
      <c r="F69" s="4">
        <v>7.0</v>
      </c>
      <c r="G69" s="4">
        <v>9.0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>
        <v>2023.0</v>
      </c>
      <c r="B70" s="5" t="s">
        <v>30</v>
      </c>
      <c r="C70" s="5" t="s">
        <v>14</v>
      </c>
      <c r="D70" s="4">
        <v>948.0</v>
      </c>
      <c r="E70" s="4">
        <v>852.0</v>
      </c>
      <c r="F70" s="4">
        <v>3214.0</v>
      </c>
      <c r="G70" s="4">
        <v>5014.0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>
        <v>2023.0</v>
      </c>
      <c r="B71" s="5" t="s">
        <v>30</v>
      </c>
      <c r="C71" s="5" t="s">
        <v>17</v>
      </c>
      <c r="D71" s="4">
        <v>1.0</v>
      </c>
      <c r="E71" s="4">
        <v>2.0</v>
      </c>
      <c r="F71" s="4">
        <v>13.0</v>
      </c>
      <c r="G71" s="4">
        <v>16.0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>
        <v>2023.0</v>
      </c>
      <c r="B72" s="5" t="s">
        <v>30</v>
      </c>
      <c r="C72" s="5" t="s">
        <v>19</v>
      </c>
      <c r="D72" s="4">
        <v>11.0</v>
      </c>
      <c r="E72" s="4">
        <v>11.0</v>
      </c>
      <c r="F72" s="4">
        <v>62.0</v>
      </c>
      <c r="G72" s="4">
        <v>84.0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>
        <v>2023.0</v>
      </c>
      <c r="B73" s="5" t="s">
        <v>30</v>
      </c>
      <c r="C73" s="5" t="s">
        <v>20</v>
      </c>
      <c r="D73" s="4">
        <v>10.0</v>
      </c>
      <c r="E73" s="4">
        <v>7.0</v>
      </c>
      <c r="F73" s="4">
        <v>19.0</v>
      </c>
      <c r="G73" s="4">
        <v>36.0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>
        <v>2023.0</v>
      </c>
      <c r="B74" s="5" t="s">
        <v>30</v>
      </c>
      <c r="C74" s="5" t="s">
        <v>21</v>
      </c>
      <c r="D74" s="4">
        <v>1.0</v>
      </c>
      <c r="E74" s="4">
        <v>0.0</v>
      </c>
      <c r="F74" s="4">
        <v>1.0</v>
      </c>
      <c r="G74" s="4">
        <v>2.0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>
        <v>2023.0</v>
      </c>
      <c r="B75" s="5" t="s">
        <v>30</v>
      </c>
      <c r="C75" s="5" t="s">
        <v>22</v>
      </c>
      <c r="D75" s="4">
        <v>3.0</v>
      </c>
      <c r="E75" s="4">
        <v>4.0</v>
      </c>
      <c r="F75" s="4">
        <v>18.0</v>
      </c>
      <c r="G75" s="4">
        <v>25.0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>
        <v>2023.0</v>
      </c>
      <c r="B76" s="5" t="s">
        <v>30</v>
      </c>
      <c r="C76" s="5" t="s">
        <v>23</v>
      </c>
      <c r="D76" s="4">
        <v>0.0</v>
      </c>
      <c r="E76" s="4">
        <v>1.0</v>
      </c>
      <c r="F76" s="4">
        <v>2.0</v>
      </c>
      <c r="G76" s="4">
        <v>3.0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>
        <v>2023.0</v>
      </c>
      <c r="B77" s="5" t="s">
        <v>28</v>
      </c>
      <c r="C77" s="5" t="s">
        <v>7</v>
      </c>
      <c r="D77" s="4">
        <v>1.0</v>
      </c>
      <c r="E77" s="4">
        <v>0.0</v>
      </c>
      <c r="F77" s="4">
        <v>2.0</v>
      </c>
      <c r="G77" s="4">
        <v>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>
        <v>2023.0</v>
      </c>
      <c r="B78" s="5" t="s">
        <v>28</v>
      </c>
      <c r="C78" s="5" t="s">
        <v>33</v>
      </c>
      <c r="D78" s="4">
        <v>3.0</v>
      </c>
      <c r="E78" s="4">
        <v>3.0</v>
      </c>
      <c r="F78" s="4">
        <v>6.0</v>
      </c>
      <c r="G78" s="4">
        <v>12.0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>
        <v>2023.0</v>
      </c>
      <c r="B79" s="5" t="s">
        <v>28</v>
      </c>
      <c r="C79" s="5" t="s">
        <v>8</v>
      </c>
      <c r="D79" s="4">
        <v>0.0</v>
      </c>
      <c r="E79" s="4">
        <v>0.0</v>
      </c>
      <c r="F79" s="4">
        <v>0.0</v>
      </c>
      <c r="G79" s="4">
        <v>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>
        <v>2023.0</v>
      </c>
      <c r="B80" s="5" t="s">
        <v>28</v>
      </c>
      <c r="C80" s="5" t="s">
        <v>9</v>
      </c>
      <c r="D80" s="4">
        <v>1.0</v>
      </c>
      <c r="E80" s="4">
        <v>2.0</v>
      </c>
      <c r="F80" s="4">
        <v>11.0</v>
      </c>
      <c r="G80" s="4">
        <v>14.0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>
        <v>2023.0</v>
      </c>
      <c r="B81" s="5" t="s">
        <v>28</v>
      </c>
      <c r="C81" s="5" t="s">
        <v>10</v>
      </c>
      <c r="D81" s="4">
        <v>842.0</v>
      </c>
      <c r="E81" s="4">
        <v>741.0</v>
      </c>
      <c r="F81" s="4">
        <v>2831.0</v>
      </c>
      <c r="G81" s="4">
        <v>4414.0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>
        <v>2023.0</v>
      </c>
      <c r="B82" s="5" t="s">
        <v>28</v>
      </c>
      <c r="C82" s="5" t="s">
        <v>12</v>
      </c>
      <c r="D82" s="4">
        <v>2.0</v>
      </c>
      <c r="E82" s="4">
        <v>2.0</v>
      </c>
      <c r="F82" s="4">
        <v>15.0</v>
      </c>
      <c r="G82" s="4">
        <v>19.0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>
        <v>2023.0</v>
      </c>
      <c r="B83" s="5" t="s">
        <v>28</v>
      </c>
      <c r="C83" s="5" t="s">
        <v>15</v>
      </c>
      <c r="D83" s="4">
        <v>172.0</v>
      </c>
      <c r="E83" s="4">
        <v>151.0</v>
      </c>
      <c r="F83" s="4">
        <v>649.0</v>
      </c>
      <c r="G83" s="4">
        <v>972.0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>
        <v>2023.0</v>
      </c>
      <c r="B84" s="5" t="s">
        <v>28</v>
      </c>
      <c r="C84" s="5" t="s">
        <v>16</v>
      </c>
      <c r="D84" s="4">
        <v>1.0</v>
      </c>
      <c r="E84" s="4">
        <v>0.0</v>
      </c>
      <c r="F84" s="4">
        <v>5.0</v>
      </c>
      <c r="G84" s="4">
        <v>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>
        <v>2023.0</v>
      </c>
      <c r="B85" s="5" t="s">
        <v>28</v>
      </c>
      <c r="C85" s="5" t="s">
        <v>14</v>
      </c>
      <c r="D85" s="4">
        <v>811.0</v>
      </c>
      <c r="E85" s="4">
        <v>743.0</v>
      </c>
      <c r="F85" s="4">
        <v>2894.0</v>
      </c>
      <c r="G85" s="4">
        <v>4448.0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>
        <v>2023.0</v>
      </c>
      <c r="B86" s="5" t="s">
        <v>28</v>
      </c>
      <c r="C86" s="5" t="s">
        <v>17</v>
      </c>
      <c r="D86" s="4">
        <v>1.0</v>
      </c>
      <c r="E86" s="4">
        <v>2.0</v>
      </c>
      <c r="F86" s="4">
        <v>12.0</v>
      </c>
      <c r="G86" s="4">
        <v>15.0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>
        <v>2023.0</v>
      </c>
      <c r="B87" s="5" t="s">
        <v>28</v>
      </c>
      <c r="C87" s="5" t="s">
        <v>19</v>
      </c>
      <c r="D87" s="4">
        <v>9.0</v>
      </c>
      <c r="E87" s="4">
        <v>9.0</v>
      </c>
      <c r="F87" s="4">
        <v>51.0</v>
      </c>
      <c r="G87" s="4">
        <v>69.0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>
        <v>2023.0</v>
      </c>
      <c r="B88" s="5" t="s">
        <v>28</v>
      </c>
      <c r="C88" s="5" t="s">
        <v>20</v>
      </c>
      <c r="D88" s="4">
        <v>9.0</v>
      </c>
      <c r="E88" s="4">
        <v>6.0</v>
      </c>
      <c r="F88" s="4">
        <v>17.0</v>
      </c>
      <c r="G88" s="4">
        <v>32.0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>
        <v>2023.0</v>
      </c>
      <c r="B89" s="5" t="s">
        <v>28</v>
      </c>
      <c r="C89" s="5" t="s">
        <v>21</v>
      </c>
      <c r="D89" s="4">
        <v>0.0</v>
      </c>
      <c r="E89" s="4">
        <v>0.0</v>
      </c>
      <c r="F89" s="4">
        <v>1.0</v>
      </c>
      <c r="G89" s="4">
        <v>1.0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>
        <v>2023.0</v>
      </c>
      <c r="B90" s="5" t="s">
        <v>28</v>
      </c>
      <c r="C90" s="5" t="s">
        <v>22</v>
      </c>
      <c r="D90" s="4">
        <v>3.0</v>
      </c>
      <c r="E90" s="4">
        <v>4.0</v>
      </c>
      <c r="F90" s="4">
        <v>16.0</v>
      </c>
      <c r="G90" s="4">
        <v>23.0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>
        <v>2023.0</v>
      </c>
      <c r="B91" s="5" t="s">
        <v>28</v>
      </c>
      <c r="C91" s="5" t="s">
        <v>23</v>
      </c>
      <c r="D91" s="4">
        <v>0.0</v>
      </c>
      <c r="E91" s="4">
        <v>0.0</v>
      </c>
      <c r="F91" s="4">
        <v>2.0</v>
      </c>
      <c r="G91" s="4">
        <v>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>
        <v>2023.0</v>
      </c>
      <c r="B92" s="5" t="s">
        <v>31</v>
      </c>
      <c r="C92" s="5" t="s">
        <v>7</v>
      </c>
      <c r="D92" s="4">
        <v>2.0</v>
      </c>
      <c r="E92" s="4">
        <v>0.0</v>
      </c>
      <c r="F92" s="4">
        <v>1.0</v>
      </c>
      <c r="G92" s="4">
        <v>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>
        <v>2023.0</v>
      </c>
      <c r="B93" s="5" t="s">
        <v>31</v>
      </c>
      <c r="C93" s="5" t="s">
        <v>33</v>
      </c>
      <c r="D93" s="4">
        <v>3.0</v>
      </c>
      <c r="E93" s="4">
        <v>4.0</v>
      </c>
      <c r="F93" s="4">
        <v>7.0</v>
      </c>
      <c r="G93" s="4">
        <v>14.0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>
        <v>2023.0</v>
      </c>
      <c r="B94" s="5" t="s">
        <v>31</v>
      </c>
      <c r="C94" s="5" t="s">
        <v>8</v>
      </c>
      <c r="D94" s="4">
        <v>0.0</v>
      </c>
      <c r="E94" s="4">
        <v>0.0</v>
      </c>
      <c r="F94" s="4">
        <v>0.0</v>
      </c>
      <c r="G94" s="4">
        <v>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>
        <v>2023.0</v>
      </c>
      <c r="B95" s="5" t="s">
        <v>31</v>
      </c>
      <c r="C95" s="5" t="s">
        <v>9</v>
      </c>
      <c r="D95" s="4">
        <v>2.0</v>
      </c>
      <c r="E95" s="4">
        <v>3.0</v>
      </c>
      <c r="F95" s="4">
        <v>12.0</v>
      </c>
      <c r="G95" s="4">
        <v>17.0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>
        <v>2023.0</v>
      </c>
      <c r="B96" s="5" t="s">
        <v>31</v>
      </c>
      <c r="C96" s="5" t="s">
        <v>10</v>
      </c>
      <c r="D96" s="4">
        <v>913.0</v>
      </c>
      <c r="E96" s="4">
        <v>805.0</v>
      </c>
      <c r="F96" s="4">
        <v>2914.0</v>
      </c>
      <c r="G96" s="4">
        <v>4632.0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>
        <v>2023.0</v>
      </c>
      <c r="B97" s="5" t="s">
        <v>31</v>
      </c>
      <c r="C97" s="5" t="s">
        <v>12</v>
      </c>
      <c r="D97" s="4">
        <v>3.0</v>
      </c>
      <c r="E97" s="4">
        <v>2.0</v>
      </c>
      <c r="F97" s="4">
        <v>17.0</v>
      </c>
      <c r="G97" s="4">
        <v>22.0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>
        <v>2023.0</v>
      </c>
      <c r="B98" s="5" t="s">
        <v>31</v>
      </c>
      <c r="C98" s="5" t="s">
        <v>15</v>
      </c>
      <c r="D98" s="4">
        <v>191.0</v>
      </c>
      <c r="E98" s="4">
        <v>168.0</v>
      </c>
      <c r="F98" s="4">
        <v>702.0</v>
      </c>
      <c r="G98" s="4">
        <v>1061.0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>
        <v>2023.0</v>
      </c>
      <c r="B99" s="5" t="s">
        <v>31</v>
      </c>
      <c r="C99" s="5" t="s">
        <v>16</v>
      </c>
      <c r="D99" s="4">
        <v>1.0</v>
      </c>
      <c r="E99" s="4">
        <v>0.0</v>
      </c>
      <c r="F99" s="4">
        <v>6.0</v>
      </c>
      <c r="G99" s="4">
        <v>7.0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>
        <v>2023.0</v>
      </c>
      <c r="B100" s="5" t="s">
        <v>31</v>
      </c>
      <c r="C100" s="5" t="s">
        <v>14</v>
      </c>
      <c r="D100" s="4">
        <v>884.0</v>
      </c>
      <c r="E100" s="4">
        <v>812.0</v>
      </c>
      <c r="F100" s="4">
        <v>3012.0</v>
      </c>
      <c r="G100" s="4">
        <v>4708.0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>
        <v>2023.0</v>
      </c>
      <c r="B101" s="5" t="s">
        <v>31</v>
      </c>
      <c r="C101" s="5" t="s">
        <v>17</v>
      </c>
      <c r="D101" s="4">
        <v>1.0</v>
      </c>
      <c r="E101" s="4">
        <v>2.0</v>
      </c>
      <c r="F101" s="4">
        <v>13.0</v>
      </c>
      <c r="G101" s="4">
        <v>16.0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>
        <v>2023.0</v>
      </c>
      <c r="B102" s="5" t="s">
        <v>31</v>
      </c>
      <c r="C102" s="5" t="s">
        <v>19</v>
      </c>
      <c r="D102" s="4">
        <v>11.0</v>
      </c>
      <c r="E102" s="4">
        <v>10.0</v>
      </c>
      <c r="F102" s="4">
        <v>56.0</v>
      </c>
      <c r="G102" s="4">
        <v>77.0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>
        <v>2023.0</v>
      </c>
      <c r="B103" s="5" t="s">
        <v>31</v>
      </c>
      <c r="C103" s="5" t="s">
        <v>20</v>
      </c>
      <c r="D103" s="4">
        <v>10.0</v>
      </c>
      <c r="E103" s="4">
        <v>7.0</v>
      </c>
      <c r="F103" s="4">
        <v>18.0</v>
      </c>
      <c r="G103" s="4">
        <v>35.0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>
        <v>2023.0</v>
      </c>
      <c r="B104" s="5" t="s">
        <v>31</v>
      </c>
      <c r="C104" s="5" t="s">
        <v>21</v>
      </c>
      <c r="D104" s="4">
        <v>0.0</v>
      </c>
      <c r="E104" s="4">
        <v>0.0</v>
      </c>
      <c r="F104" s="4">
        <v>1.0</v>
      </c>
      <c r="G104" s="4">
        <v>1.0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>
        <v>2023.0</v>
      </c>
      <c r="B105" s="5" t="s">
        <v>31</v>
      </c>
      <c r="C105" s="5" t="s">
        <v>22</v>
      </c>
      <c r="D105" s="4">
        <v>3.0</v>
      </c>
      <c r="E105" s="4">
        <v>4.0</v>
      </c>
      <c r="F105" s="4">
        <v>18.0</v>
      </c>
      <c r="G105" s="4">
        <v>25.0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>
        <v>2023.0</v>
      </c>
      <c r="B106" s="5" t="s">
        <v>31</v>
      </c>
      <c r="C106" s="5" t="s">
        <v>23</v>
      </c>
      <c r="D106" s="4">
        <v>0.0</v>
      </c>
      <c r="E106" s="4">
        <v>0.0</v>
      </c>
      <c r="F106" s="4">
        <v>2.0</v>
      </c>
      <c r="G106" s="4">
        <v>2.0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>
        <v>2023.0</v>
      </c>
      <c r="B107" s="5" t="s">
        <v>32</v>
      </c>
      <c r="C107" s="5" t="s">
        <v>7</v>
      </c>
      <c r="D107" s="4">
        <v>1.0</v>
      </c>
      <c r="E107" s="4">
        <v>1.0</v>
      </c>
      <c r="F107" s="4">
        <v>2.0</v>
      </c>
      <c r="G107" s="4">
        <v>4.0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>
        <v>2023.0</v>
      </c>
      <c r="B108" s="5" t="s">
        <v>32</v>
      </c>
      <c r="C108" s="5" t="s">
        <v>33</v>
      </c>
      <c r="D108" s="4">
        <v>3.0</v>
      </c>
      <c r="E108" s="4">
        <v>3.0</v>
      </c>
      <c r="F108" s="4">
        <v>6.0</v>
      </c>
      <c r="G108" s="4">
        <v>12.0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>
        <v>2023.0</v>
      </c>
      <c r="B109" s="5" t="s">
        <v>32</v>
      </c>
      <c r="C109" s="5" t="s">
        <v>8</v>
      </c>
      <c r="D109" s="4">
        <v>0.0</v>
      </c>
      <c r="E109" s="4">
        <v>0.0</v>
      </c>
      <c r="F109" s="4">
        <v>0.0</v>
      </c>
      <c r="G109" s="4">
        <v>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>
        <v>2023.0</v>
      </c>
      <c r="B110" s="5" t="s">
        <v>32</v>
      </c>
      <c r="C110" s="5" t="s">
        <v>9</v>
      </c>
      <c r="D110" s="4">
        <v>2.0</v>
      </c>
      <c r="E110" s="4">
        <v>2.0</v>
      </c>
      <c r="F110" s="4">
        <v>12.0</v>
      </c>
      <c r="G110" s="4">
        <v>16.0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>
        <v>2023.0</v>
      </c>
      <c r="B111" s="5" t="s">
        <v>32</v>
      </c>
      <c r="C111" s="5" t="s">
        <v>10</v>
      </c>
      <c r="D111" s="4">
        <v>948.0</v>
      </c>
      <c r="E111" s="4">
        <v>812.0</v>
      </c>
      <c r="F111" s="4">
        <v>2914.0</v>
      </c>
      <c r="G111" s="4">
        <v>4674.0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>
        <v>2023.0</v>
      </c>
      <c r="B112" s="5" t="s">
        <v>32</v>
      </c>
      <c r="C112" s="5" t="s">
        <v>12</v>
      </c>
      <c r="D112" s="4">
        <v>3.0</v>
      </c>
      <c r="E112" s="4">
        <v>2.0</v>
      </c>
      <c r="F112" s="4">
        <v>16.0</v>
      </c>
      <c r="G112" s="4">
        <v>21.0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>
        <v>2023.0</v>
      </c>
      <c r="B113" s="5" t="s">
        <v>32</v>
      </c>
      <c r="C113" s="5" t="s">
        <v>15</v>
      </c>
      <c r="D113" s="4">
        <v>187.0</v>
      </c>
      <c r="E113" s="4">
        <v>159.0</v>
      </c>
      <c r="F113" s="4">
        <v>694.0</v>
      </c>
      <c r="G113" s="4">
        <v>1040.0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>
        <v>2023.0</v>
      </c>
      <c r="B114" s="5" t="s">
        <v>32</v>
      </c>
      <c r="C114" s="5" t="s">
        <v>16</v>
      </c>
      <c r="D114" s="4">
        <v>1.0</v>
      </c>
      <c r="E114" s="4">
        <v>0.0</v>
      </c>
      <c r="F114" s="4">
        <v>6.0</v>
      </c>
      <c r="G114" s="4">
        <v>7.0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>
        <v>2023.0</v>
      </c>
      <c r="B115" s="5" t="s">
        <v>32</v>
      </c>
      <c r="C115" s="5" t="s">
        <v>14</v>
      </c>
      <c r="D115" s="4">
        <v>872.0</v>
      </c>
      <c r="E115" s="4">
        <v>804.0</v>
      </c>
      <c r="F115" s="4">
        <v>2984.0</v>
      </c>
      <c r="G115" s="4">
        <v>4660.0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>
        <v>2023.0</v>
      </c>
      <c r="B116" s="5" t="s">
        <v>32</v>
      </c>
      <c r="C116" s="5" t="s">
        <v>17</v>
      </c>
      <c r="D116" s="4">
        <v>1.0</v>
      </c>
      <c r="E116" s="4">
        <v>2.0</v>
      </c>
      <c r="F116" s="4">
        <v>13.0</v>
      </c>
      <c r="G116" s="4">
        <v>16.0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>
        <v>2023.0</v>
      </c>
      <c r="B117" s="5" t="s">
        <v>32</v>
      </c>
      <c r="C117" s="5" t="s">
        <v>19</v>
      </c>
      <c r="D117" s="4">
        <v>11.0</v>
      </c>
      <c r="E117" s="4">
        <v>10.0</v>
      </c>
      <c r="F117" s="4">
        <v>54.0</v>
      </c>
      <c r="G117" s="4">
        <v>75.0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>
        <v>2023.0</v>
      </c>
      <c r="B118" s="5" t="s">
        <v>32</v>
      </c>
      <c r="C118" s="5" t="s">
        <v>20</v>
      </c>
      <c r="D118" s="4">
        <v>10.0</v>
      </c>
      <c r="E118" s="4">
        <v>7.0</v>
      </c>
      <c r="F118" s="4">
        <v>17.0</v>
      </c>
      <c r="G118" s="4">
        <v>34.0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>
        <v>2023.0</v>
      </c>
      <c r="B119" s="5" t="s">
        <v>32</v>
      </c>
      <c r="C119" s="5" t="s">
        <v>21</v>
      </c>
      <c r="D119" s="4">
        <v>0.0</v>
      </c>
      <c r="E119" s="4">
        <v>0.0</v>
      </c>
      <c r="F119" s="4">
        <v>1.0</v>
      </c>
      <c r="G119" s="4">
        <v>1.0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>
        <v>2023.0</v>
      </c>
      <c r="B120" s="5" t="s">
        <v>32</v>
      </c>
      <c r="C120" s="5" t="s">
        <v>22</v>
      </c>
      <c r="D120" s="4">
        <v>3.0</v>
      </c>
      <c r="E120" s="4">
        <v>4.0</v>
      </c>
      <c r="F120" s="4">
        <v>17.0</v>
      </c>
      <c r="G120" s="4">
        <v>24.0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>
        <v>2023.0</v>
      </c>
      <c r="B121" s="5" t="s">
        <v>32</v>
      </c>
      <c r="C121" s="5" t="s">
        <v>23</v>
      </c>
      <c r="D121" s="4">
        <v>0.0</v>
      </c>
      <c r="E121" s="4">
        <v>0.0</v>
      </c>
      <c r="F121" s="4">
        <v>2.0</v>
      </c>
      <c r="G121" s="4">
        <v>2.0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>
        <v>2023.0</v>
      </c>
      <c r="B122" s="5" t="s">
        <v>18</v>
      </c>
      <c r="C122" s="5" t="s">
        <v>7</v>
      </c>
      <c r="D122" s="4">
        <v>1.0</v>
      </c>
      <c r="E122" s="4">
        <v>0.0</v>
      </c>
      <c r="F122" s="4">
        <v>2.0</v>
      </c>
      <c r="G122" s="4">
        <v>3.0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>
        <v>2023.0</v>
      </c>
      <c r="B123" s="5" t="s">
        <v>18</v>
      </c>
      <c r="C123" s="5" t="s">
        <v>33</v>
      </c>
      <c r="D123" s="4">
        <v>4.0</v>
      </c>
      <c r="E123" s="4">
        <v>4.0</v>
      </c>
      <c r="F123" s="4">
        <v>8.0</v>
      </c>
      <c r="G123" s="4">
        <v>16.0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>
        <v>2023.0</v>
      </c>
      <c r="B124" s="5" t="s">
        <v>18</v>
      </c>
      <c r="C124" s="5" t="s">
        <v>8</v>
      </c>
      <c r="D124" s="4">
        <v>0.0</v>
      </c>
      <c r="E124" s="4">
        <v>0.0</v>
      </c>
      <c r="F124" s="4">
        <v>0.0</v>
      </c>
      <c r="G124" s="4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>
        <v>2023.0</v>
      </c>
      <c r="B125" s="5" t="s">
        <v>18</v>
      </c>
      <c r="C125" s="5" t="s">
        <v>9</v>
      </c>
      <c r="D125" s="4">
        <v>1.0</v>
      </c>
      <c r="E125" s="4">
        <v>1.0</v>
      </c>
      <c r="F125" s="4">
        <v>11.0</v>
      </c>
      <c r="G125" s="4">
        <v>13.0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>
        <v>2023.0</v>
      </c>
      <c r="B126" s="5" t="s">
        <v>18</v>
      </c>
      <c r="C126" s="5" t="s">
        <v>10</v>
      </c>
      <c r="D126" s="4">
        <v>912.0</v>
      </c>
      <c r="E126" s="4">
        <v>784.0</v>
      </c>
      <c r="F126" s="4">
        <v>2814.0</v>
      </c>
      <c r="G126" s="4">
        <v>4510.0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>
        <v>2023.0</v>
      </c>
      <c r="B127" s="5" t="s">
        <v>18</v>
      </c>
      <c r="C127" s="5" t="s">
        <v>12</v>
      </c>
      <c r="D127" s="4">
        <v>2.0</v>
      </c>
      <c r="E127" s="4">
        <v>2.0</v>
      </c>
      <c r="F127" s="4">
        <v>14.0</v>
      </c>
      <c r="G127" s="4">
        <v>18.0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>
        <v>2023.0</v>
      </c>
      <c r="B128" s="5" t="s">
        <v>18</v>
      </c>
      <c r="C128" s="5" t="s">
        <v>15</v>
      </c>
      <c r="D128" s="4">
        <v>178.0</v>
      </c>
      <c r="E128" s="4">
        <v>151.0</v>
      </c>
      <c r="F128" s="4">
        <v>654.0</v>
      </c>
      <c r="G128" s="4">
        <v>983.0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>
        <v>2023.0</v>
      </c>
      <c r="B129" s="5" t="s">
        <v>18</v>
      </c>
      <c r="C129" s="5" t="s">
        <v>16</v>
      </c>
      <c r="D129" s="4">
        <v>1.0</v>
      </c>
      <c r="E129" s="4">
        <v>0.0</v>
      </c>
      <c r="F129" s="4">
        <v>5.0</v>
      </c>
      <c r="G129" s="4">
        <v>6.0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>
        <v>2023.0</v>
      </c>
      <c r="B130" s="5" t="s">
        <v>18</v>
      </c>
      <c r="C130" s="5" t="s">
        <v>14</v>
      </c>
      <c r="D130" s="4">
        <v>842.0</v>
      </c>
      <c r="E130" s="4">
        <v>771.0</v>
      </c>
      <c r="F130" s="4">
        <v>2884.0</v>
      </c>
      <c r="G130" s="4">
        <v>4497.0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>
        <v>2023.0</v>
      </c>
      <c r="B131" s="5" t="s">
        <v>18</v>
      </c>
      <c r="C131" s="5" t="s">
        <v>17</v>
      </c>
      <c r="D131" s="4">
        <v>1.0</v>
      </c>
      <c r="E131" s="4">
        <v>1.0</v>
      </c>
      <c r="F131" s="4">
        <v>11.0</v>
      </c>
      <c r="G131" s="4">
        <v>13.0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>
        <v>2023.0</v>
      </c>
      <c r="B132" s="5" t="s">
        <v>18</v>
      </c>
      <c r="C132" s="5" t="s">
        <v>19</v>
      </c>
      <c r="D132" s="4">
        <v>9.0</v>
      </c>
      <c r="E132" s="4">
        <v>9.0</v>
      </c>
      <c r="F132" s="4">
        <v>51.0</v>
      </c>
      <c r="G132" s="4">
        <v>69.0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>
        <v>2023.0</v>
      </c>
      <c r="B133" s="5" t="s">
        <v>18</v>
      </c>
      <c r="C133" s="5" t="s">
        <v>20</v>
      </c>
      <c r="D133" s="4">
        <v>9.0</v>
      </c>
      <c r="E133" s="4">
        <v>6.0</v>
      </c>
      <c r="F133" s="4">
        <v>16.0</v>
      </c>
      <c r="G133" s="4">
        <v>31.0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>
        <v>2023.0</v>
      </c>
      <c r="B134" s="5" t="s">
        <v>18</v>
      </c>
      <c r="C134" s="5" t="s">
        <v>21</v>
      </c>
      <c r="D134" s="4">
        <v>0.0</v>
      </c>
      <c r="E134" s="4">
        <v>0.0</v>
      </c>
      <c r="F134" s="4">
        <v>1.0</v>
      </c>
      <c r="G134" s="4">
        <v>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>
        <v>2023.0</v>
      </c>
      <c r="B135" s="5" t="s">
        <v>18</v>
      </c>
      <c r="C135" s="5" t="s">
        <v>22</v>
      </c>
      <c r="D135" s="4">
        <v>2.0</v>
      </c>
      <c r="E135" s="4">
        <v>3.0</v>
      </c>
      <c r="F135" s="4">
        <v>15.0</v>
      </c>
      <c r="G135" s="4">
        <v>20.0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>
        <v>2023.0</v>
      </c>
      <c r="B136" s="5" t="s">
        <v>18</v>
      </c>
      <c r="C136" s="5" t="s">
        <v>23</v>
      </c>
      <c r="D136" s="4">
        <v>0.0</v>
      </c>
      <c r="E136" s="4">
        <v>0.0</v>
      </c>
      <c r="F136" s="4">
        <v>1.0</v>
      </c>
      <c r="G136" s="4">
        <v>1.0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>
        <v>2023.0</v>
      </c>
      <c r="B137" s="5" t="s">
        <v>25</v>
      </c>
      <c r="C137" s="5" t="s">
        <v>7</v>
      </c>
      <c r="D137" s="4">
        <v>2.0</v>
      </c>
      <c r="E137" s="4">
        <v>1.0</v>
      </c>
      <c r="F137" s="4">
        <v>3.0</v>
      </c>
      <c r="G137" s="4">
        <v>6.0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>
        <v>2023.0</v>
      </c>
      <c r="B138" s="5" t="s">
        <v>25</v>
      </c>
      <c r="C138" s="5" t="s">
        <v>33</v>
      </c>
      <c r="D138" s="4">
        <v>4.0</v>
      </c>
      <c r="E138" s="4">
        <v>4.0</v>
      </c>
      <c r="F138" s="4">
        <v>8.0</v>
      </c>
      <c r="G138" s="4">
        <v>16.0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>
        <v>2023.0</v>
      </c>
      <c r="B139" s="5" t="s">
        <v>25</v>
      </c>
      <c r="C139" s="5" t="s">
        <v>8</v>
      </c>
      <c r="D139" s="4">
        <v>0.0</v>
      </c>
      <c r="E139" s="4">
        <v>0.0</v>
      </c>
      <c r="F139" s="4">
        <v>0.0</v>
      </c>
      <c r="G139" s="4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>
        <v>2023.0</v>
      </c>
      <c r="B140" s="5" t="s">
        <v>25</v>
      </c>
      <c r="C140" s="5" t="s">
        <v>9</v>
      </c>
      <c r="D140" s="4">
        <v>2.0</v>
      </c>
      <c r="E140" s="4">
        <v>2.0</v>
      </c>
      <c r="F140" s="4">
        <v>13.0</v>
      </c>
      <c r="G140" s="4">
        <v>17.0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>
        <v>2023.0</v>
      </c>
      <c r="B141" s="5" t="s">
        <v>25</v>
      </c>
      <c r="C141" s="5" t="s">
        <v>10</v>
      </c>
      <c r="D141" s="4">
        <v>1014.0</v>
      </c>
      <c r="E141" s="4">
        <v>864.0</v>
      </c>
      <c r="F141" s="4">
        <v>3118.0</v>
      </c>
      <c r="G141" s="4">
        <v>4996.0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>
        <v>2023.0</v>
      </c>
      <c r="B142" s="5" t="s">
        <v>25</v>
      </c>
      <c r="C142" s="5" t="s">
        <v>12</v>
      </c>
      <c r="D142" s="4">
        <v>3.0</v>
      </c>
      <c r="E142" s="4">
        <v>2.0</v>
      </c>
      <c r="F142" s="4">
        <v>18.0</v>
      </c>
      <c r="G142" s="4">
        <v>23.0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>
        <v>2023.0</v>
      </c>
      <c r="B143" s="5" t="s">
        <v>25</v>
      </c>
      <c r="C143" s="5" t="s">
        <v>15</v>
      </c>
      <c r="D143" s="4">
        <v>198.0</v>
      </c>
      <c r="E143" s="4">
        <v>168.0</v>
      </c>
      <c r="F143" s="4">
        <v>724.0</v>
      </c>
      <c r="G143" s="4">
        <v>1090.0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>
        <v>2023.0</v>
      </c>
      <c r="B144" s="5" t="s">
        <v>25</v>
      </c>
      <c r="C144" s="5" t="s">
        <v>16</v>
      </c>
      <c r="D144" s="4">
        <v>1.0</v>
      </c>
      <c r="E144" s="4">
        <v>1.0</v>
      </c>
      <c r="F144" s="4">
        <v>7.0</v>
      </c>
      <c r="G144" s="4">
        <v>9.0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>
        <v>2023.0</v>
      </c>
      <c r="B145" s="5" t="s">
        <v>25</v>
      </c>
      <c r="C145" s="5" t="s">
        <v>14</v>
      </c>
      <c r="D145" s="4">
        <v>948.0</v>
      </c>
      <c r="E145" s="4">
        <v>852.0</v>
      </c>
      <c r="F145" s="4">
        <v>3214.0</v>
      </c>
      <c r="G145" s="4">
        <v>5014.0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>
        <v>2023.0</v>
      </c>
      <c r="B146" s="5" t="s">
        <v>25</v>
      </c>
      <c r="C146" s="5" t="s">
        <v>17</v>
      </c>
      <c r="D146" s="4">
        <v>1.0</v>
      </c>
      <c r="E146" s="4">
        <v>2.0</v>
      </c>
      <c r="F146" s="4">
        <v>13.0</v>
      </c>
      <c r="G146" s="4">
        <v>16.0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>
        <v>2023.0</v>
      </c>
      <c r="B147" s="5" t="s">
        <v>25</v>
      </c>
      <c r="C147" s="5" t="s">
        <v>19</v>
      </c>
      <c r="D147" s="4">
        <v>11.0</v>
      </c>
      <c r="E147" s="4">
        <v>11.0</v>
      </c>
      <c r="F147" s="4">
        <v>62.0</v>
      </c>
      <c r="G147" s="4">
        <v>84.0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>
        <v>2023.0</v>
      </c>
      <c r="B148" s="5" t="s">
        <v>25</v>
      </c>
      <c r="C148" s="5" t="s">
        <v>20</v>
      </c>
      <c r="D148" s="4">
        <v>10.0</v>
      </c>
      <c r="E148" s="4">
        <v>7.0</v>
      </c>
      <c r="F148" s="4">
        <v>19.0</v>
      </c>
      <c r="G148" s="4">
        <v>36.0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>
        <v>2023.0</v>
      </c>
      <c r="B149" s="5" t="s">
        <v>25</v>
      </c>
      <c r="C149" s="5" t="s">
        <v>21</v>
      </c>
      <c r="D149" s="4">
        <v>1.0</v>
      </c>
      <c r="E149" s="4">
        <v>0.0</v>
      </c>
      <c r="F149" s="4">
        <v>1.0</v>
      </c>
      <c r="G149" s="4">
        <v>2.0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>
        <v>2023.0</v>
      </c>
      <c r="B150" s="5" t="s">
        <v>25</v>
      </c>
      <c r="C150" s="5" t="s">
        <v>22</v>
      </c>
      <c r="D150" s="4">
        <v>3.0</v>
      </c>
      <c r="E150" s="4">
        <v>4.0</v>
      </c>
      <c r="F150" s="4">
        <v>18.0</v>
      </c>
      <c r="G150" s="4">
        <v>25.0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>
        <v>2023.0</v>
      </c>
      <c r="B151" s="5" t="s">
        <v>25</v>
      </c>
      <c r="C151" s="5" t="s">
        <v>23</v>
      </c>
      <c r="D151" s="4">
        <v>0.0</v>
      </c>
      <c r="E151" s="4">
        <v>1.0</v>
      </c>
      <c r="F151" s="4">
        <v>2.0</v>
      </c>
      <c r="G151" s="4">
        <v>3.0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>
        <v>2023.0</v>
      </c>
      <c r="B152" s="5" t="s">
        <v>27</v>
      </c>
      <c r="C152" s="5" t="s">
        <v>7</v>
      </c>
      <c r="D152" s="4">
        <v>1.0</v>
      </c>
      <c r="E152" s="4">
        <v>0.0</v>
      </c>
      <c r="F152" s="4">
        <v>2.0</v>
      </c>
      <c r="G152" s="4">
        <v>3.0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>
        <v>2023.0</v>
      </c>
      <c r="B153" s="5" t="s">
        <v>27</v>
      </c>
      <c r="C153" s="5" t="s">
        <v>33</v>
      </c>
      <c r="D153" s="4">
        <v>3.0</v>
      </c>
      <c r="E153" s="4">
        <v>3.0</v>
      </c>
      <c r="F153" s="4">
        <v>6.0</v>
      </c>
      <c r="G153" s="4">
        <v>12.0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>
        <v>2023.0</v>
      </c>
      <c r="B154" s="5" t="s">
        <v>27</v>
      </c>
      <c r="C154" s="5" t="s">
        <v>8</v>
      </c>
      <c r="D154" s="4">
        <v>0.0</v>
      </c>
      <c r="E154" s="4">
        <v>0.0</v>
      </c>
      <c r="F154" s="4">
        <v>0.0</v>
      </c>
      <c r="G154" s="4">
        <v>0.0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>
        <v>2023.0</v>
      </c>
      <c r="B155" s="5" t="s">
        <v>27</v>
      </c>
      <c r="C155" s="5" t="s">
        <v>9</v>
      </c>
      <c r="D155" s="4">
        <v>1.0</v>
      </c>
      <c r="E155" s="4">
        <v>1.0</v>
      </c>
      <c r="F155" s="4">
        <v>11.0</v>
      </c>
      <c r="G155" s="4">
        <v>13.0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>
        <v>2023.0</v>
      </c>
      <c r="B156" s="5" t="s">
        <v>27</v>
      </c>
      <c r="C156" s="5" t="s">
        <v>10</v>
      </c>
      <c r="D156" s="4">
        <v>912.0</v>
      </c>
      <c r="E156" s="4">
        <v>784.0</v>
      </c>
      <c r="F156" s="4">
        <v>2814.0</v>
      </c>
      <c r="G156" s="4">
        <v>4510.0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>
        <v>2023.0</v>
      </c>
      <c r="B157" s="5" t="s">
        <v>27</v>
      </c>
      <c r="C157" s="5" t="s">
        <v>12</v>
      </c>
      <c r="D157" s="4">
        <v>2.0</v>
      </c>
      <c r="E157" s="4">
        <v>2.0</v>
      </c>
      <c r="F157" s="4">
        <v>14.0</v>
      </c>
      <c r="G157" s="4">
        <v>18.0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>
        <v>2023.0</v>
      </c>
      <c r="B158" s="5" t="s">
        <v>27</v>
      </c>
      <c r="C158" s="5" t="s">
        <v>15</v>
      </c>
      <c r="D158" s="4">
        <v>178.0</v>
      </c>
      <c r="E158" s="4">
        <v>151.0</v>
      </c>
      <c r="F158" s="4">
        <v>654.0</v>
      </c>
      <c r="G158" s="4">
        <v>983.0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>
        <v>2023.0</v>
      </c>
      <c r="B159" s="5" t="s">
        <v>27</v>
      </c>
      <c r="C159" s="5" t="s">
        <v>16</v>
      </c>
      <c r="D159" s="4">
        <v>1.0</v>
      </c>
      <c r="E159" s="4">
        <v>0.0</v>
      </c>
      <c r="F159" s="4">
        <v>5.0</v>
      </c>
      <c r="G159" s="4">
        <v>6.0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>
        <v>2023.0</v>
      </c>
      <c r="B160" s="5" t="s">
        <v>27</v>
      </c>
      <c r="C160" s="5" t="s">
        <v>14</v>
      </c>
      <c r="D160" s="4">
        <v>842.0</v>
      </c>
      <c r="E160" s="4">
        <v>771.0</v>
      </c>
      <c r="F160" s="4">
        <v>2884.0</v>
      </c>
      <c r="G160" s="4">
        <v>4497.0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>
        <v>2023.0</v>
      </c>
      <c r="B161" s="5" t="s">
        <v>27</v>
      </c>
      <c r="C161" s="5" t="s">
        <v>17</v>
      </c>
      <c r="D161" s="4">
        <v>1.0</v>
      </c>
      <c r="E161" s="4">
        <v>1.0</v>
      </c>
      <c r="F161" s="4">
        <v>11.0</v>
      </c>
      <c r="G161" s="4">
        <v>13.0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>
        <v>2023.0</v>
      </c>
      <c r="B162" s="5" t="s">
        <v>27</v>
      </c>
      <c r="C162" s="5" t="s">
        <v>19</v>
      </c>
      <c r="D162" s="4">
        <v>9.0</v>
      </c>
      <c r="E162" s="4">
        <v>9.0</v>
      </c>
      <c r="F162" s="4">
        <v>51.0</v>
      </c>
      <c r="G162" s="4">
        <v>69.0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>
        <v>2023.0</v>
      </c>
      <c r="B163" s="5" t="s">
        <v>27</v>
      </c>
      <c r="C163" s="5" t="s">
        <v>20</v>
      </c>
      <c r="D163" s="4">
        <v>9.0</v>
      </c>
      <c r="E163" s="4">
        <v>6.0</v>
      </c>
      <c r="F163" s="4">
        <v>16.0</v>
      </c>
      <c r="G163" s="4">
        <v>31.0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>
        <v>2023.0</v>
      </c>
      <c r="B164" s="5" t="s">
        <v>27</v>
      </c>
      <c r="C164" s="5" t="s">
        <v>21</v>
      </c>
      <c r="D164" s="4">
        <v>0.0</v>
      </c>
      <c r="E164" s="4">
        <v>0.0</v>
      </c>
      <c r="F164" s="4">
        <v>1.0</v>
      </c>
      <c r="G164" s="4">
        <v>1.0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>
        <v>2023.0</v>
      </c>
      <c r="B165" s="5" t="s">
        <v>27</v>
      </c>
      <c r="C165" s="5" t="s">
        <v>22</v>
      </c>
      <c r="D165" s="4">
        <v>2.0</v>
      </c>
      <c r="E165" s="4">
        <v>3.0</v>
      </c>
      <c r="F165" s="4">
        <v>15.0</v>
      </c>
      <c r="G165" s="4">
        <v>20.0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>
        <v>2023.0</v>
      </c>
      <c r="B166" s="5" t="s">
        <v>27</v>
      </c>
      <c r="C166" s="5" t="s">
        <v>23</v>
      </c>
      <c r="D166" s="4">
        <v>0.0</v>
      </c>
      <c r="E166" s="4">
        <v>0.0</v>
      </c>
      <c r="F166" s="4">
        <v>1.0</v>
      </c>
      <c r="G166" s="4">
        <v>1.0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>
        <v>2023.0</v>
      </c>
      <c r="B167" s="5" t="s">
        <v>29</v>
      </c>
      <c r="C167" s="5" t="s">
        <v>7</v>
      </c>
      <c r="D167" s="4">
        <v>1.0</v>
      </c>
      <c r="E167" s="4">
        <v>0.0</v>
      </c>
      <c r="F167" s="4">
        <v>2.0</v>
      </c>
      <c r="G167" s="4">
        <v>3.0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>
        <v>2023.0</v>
      </c>
      <c r="B168" s="5" t="s">
        <v>29</v>
      </c>
      <c r="C168" s="5" t="s">
        <v>33</v>
      </c>
      <c r="D168" s="4">
        <v>4.0</v>
      </c>
      <c r="E168" s="4">
        <v>4.0</v>
      </c>
      <c r="F168" s="4">
        <v>8.0</v>
      </c>
      <c r="G168" s="4">
        <v>16.0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>
        <v>2023.0</v>
      </c>
      <c r="B169" s="5" t="s">
        <v>29</v>
      </c>
      <c r="C169" s="5" t="s">
        <v>8</v>
      </c>
      <c r="D169" s="4">
        <v>0.0</v>
      </c>
      <c r="E169" s="4">
        <v>0.0</v>
      </c>
      <c r="F169" s="4">
        <v>0.0</v>
      </c>
      <c r="G169" s="4">
        <v>0.0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>
        <v>2023.0</v>
      </c>
      <c r="B170" s="5" t="s">
        <v>29</v>
      </c>
      <c r="C170" s="5" t="s">
        <v>9</v>
      </c>
      <c r="D170" s="4">
        <v>1.0</v>
      </c>
      <c r="E170" s="4">
        <v>1.0</v>
      </c>
      <c r="F170" s="4">
        <v>11.0</v>
      </c>
      <c r="G170" s="4">
        <v>13.0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>
        <v>2023.0</v>
      </c>
      <c r="B171" s="5" t="s">
        <v>29</v>
      </c>
      <c r="C171" s="5" t="s">
        <v>10</v>
      </c>
      <c r="D171" s="4">
        <v>912.0</v>
      </c>
      <c r="E171" s="4">
        <v>784.0</v>
      </c>
      <c r="F171" s="4">
        <v>2814.0</v>
      </c>
      <c r="G171" s="4">
        <v>4510.0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>
        <v>2023.0</v>
      </c>
      <c r="B172" s="5" t="s">
        <v>29</v>
      </c>
      <c r="C172" s="5" t="s">
        <v>12</v>
      </c>
      <c r="D172" s="4">
        <v>2.0</v>
      </c>
      <c r="E172" s="4">
        <v>2.0</v>
      </c>
      <c r="F172" s="4">
        <v>14.0</v>
      </c>
      <c r="G172" s="4">
        <v>18.0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>
        <v>2023.0</v>
      </c>
      <c r="B173" s="5" t="s">
        <v>29</v>
      </c>
      <c r="C173" s="5" t="s">
        <v>15</v>
      </c>
      <c r="D173" s="4">
        <v>178.0</v>
      </c>
      <c r="E173" s="4">
        <v>151.0</v>
      </c>
      <c r="F173" s="4">
        <v>654.0</v>
      </c>
      <c r="G173" s="4">
        <v>983.0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>
        <v>2023.0</v>
      </c>
      <c r="B174" s="5" t="s">
        <v>29</v>
      </c>
      <c r="C174" s="5" t="s">
        <v>16</v>
      </c>
      <c r="D174" s="4">
        <v>1.0</v>
      </c>
      <c r="E174" s="4">
        <v>0.0</v>
      </c>
      <c r="F174" s="4">
        <v>5.0</v>
      </c>
      <c r="G174" s="4">
        <v>6.0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>
        <v>2023.0</v>
      </c>
      <c r="B175" s="5" t="s">
        <v>29</v>
      </c>
      <c r="C175" s="5" t="s">
        <v>14</v>
      </c>
      <c r="D175" s="4">
        <v>842.0</v>
      </c>
      <c r="E175" s="4">
        <v>771.0</v>
      </c>
      <c r="F175" s="4">
        <v>2884.0</v>
      </c>
      <c r="G175" s="4">
        <v>4497.0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>
        <v>2023.0</v>
      </c>
      <c r="B176" s="5" t="s">
        <v>29</v>
      </c>
      <c r="C176" s="5" t="s">
        <v>17</v>
      </c>
      <c r="D176" s="4">
        <v>1.0</v>
      </c>
      <c r="E176" s="4">
        <v>1.0</v>
      </c>
      <c r="F176" s="4">
        <v>11.0</v>
      </c>
      <c r="G176" s="4">
        <v>13.0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>
        <v>2023.0</v>
      </c>
      <c r="B177" s="5" t="s">
        <v>29</v>
      </c>
      <c r="C177" s="5" t="s">
        <v>19</v>
      </c>
      <c r="D177" s="4">
        <v>9.0</v>
      </c>
      <c r="E177" s="4">
        <v>9.0</v>
      </c>
      <c r="F177" s="4">
        <v>51.0</v>
      </c>
      <c r="G177" s="4">
        <v>69.0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>
        <v>2023.0</v>
      </c>
      <c r="B178" s="5" t="s">
        <v>29</v>
      </c>
      <c r="C178" s="5" t="s">
        <v>20</v>
      </c>
      <c r="D178" s="4">
        <v>9.0</v>
      </c>
      <c r="E178" s="4">
        <v>6.0</v>
      </c>
      <c r="F178" s="4">
        <v>16.0</v>
      </c>
      <c r="G178" s="4">
        <v>31.0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>
        <v>2023.0</v>
      </c>
      <c r="B179" s="5" t="s">
        <v>29</v>
      </c>
      <c r="C179" s="5" t="s">
        <v>21</v>
      </c>
      <c r="D179" s="4">
        <v>0.0</v>
      </c>
      <c r="E179" s="4">
        <v>0.0</v>
      </c>
      <c r="F179" s="4">
        <v>1.0</v>
      </c>
      <c r="G179" s="4">
        <v>1.0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>
        <v>2023.0</v>
      </c>
      <c r="B180" s="5" t="s">
        <v>29</v>
      </c>
      <c r="C180" s="5" t="s">
        <v>22</v>
      </c>
      <c r="D180" s="4">
        <v>2.0</v>
      </c>
      <c r="E180" s="4">
        <v>3.0</v>
      </c>
      <c r="F180" s="4">
        <v>15.0</v>
      </c>
      <c r="G180" s="4">
        <v>20.0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>
        <v>2023.0</v>
      </c>
      <c r="B181" s="5" t="s">
        <v>29</v>
      </c>
      <c r="C181" s="5" t="s">
        <v>23</v>
      </c>
      <c r="D181" s="4">
        <v>0.0</v>
      </c>
      <c r="E181" s="4">
        <v>0.0</v>
      </c>
      <c r="F181" s="4">
        <v>1.0</v>
      </c>
      <c r="G181" s="4">
        <v>1.0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</sheetData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2024.0</v>
      </c>
      <c r="B2" s="5" t="s">
        <v>11</v>
      </c>
      <c r="C2" s="5" t="s">
        <v>7</v>
      </c>
      <c r="D2" s="4">
        <v>1.0</v>
      </c>
      <c r="E2" s="4">
        <v>0.0</v>
      </c>
      <c r="F2" s="4">
        <v>2.0</v>
      </c>
      <c r="G2" s="4">
        <v>3.0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2024.0</v>
      </c>
      <c r="B3" s="5" t="s">
        <v>11</v>
      </c>
      <c r="C3" s="5" t="s">
        <v>33</v>
      </c>
      <c r="D3" s="4">
        <v>4.0</v>
      </c>
      <c r="E3" s="4">
        <v>4.0</v>
      </c>
      <c r="F3" s="4">
        <v>8.0</v>
      </c>
      <c r="G3" s="4">
        <v>16.0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2024.0</v>
      </c>
      <c r="B4" s="5" t="s">
        <v>11</v>
      </c>
      <c r="C4" s="5" t="s">
        <v>8</v>
      </c>
      <c r="D4" s="4">
        <v>0.0</v>
      </c>
      <c r="E4" s="4">
        <v>0.0</v>
      </c>
      <c r="F4" s="4">
        <v>0.0</v>
      </c>
      <c r="G4" s="4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2024.0</v>
      </c>
      <c r="B5" s="5" t="s">
        <v>11</v>
      </c>
      <c r="C5" s="5" t="s">
        <v>9</v>
      </c>
      <c r="D5" s="4">
        <v>2.0</v>
      </c>
      <c r="E5" s="4">
        <v>2.0</v>
      </c>
      <c r="F5" s="4">
        <v>12.0</v>
      </c>
      <c r="G5" s="4">
        <v>16.0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2024.0</v>
      </c>
      <c r="B6" s="5" t="s">
        <v>11</v>
      </c>
      <c r="C6" s="5" t="s">
        <v>10</v>
      </c>
      <c r="D6" s="4">
        <v>948.0</v>
      </c>
      <c r="E6" s="4">
        <v>812.0</v>
      </c>
      <c r="F6" s="4">
        <v>2914.0</v>
      </c>
      <c r="G6" s="4">
        <v>4674.0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2024.0</v>
      </c>
      <c r="B7" s="5" t="s">
        <v>11</v>
      </c>
      <c r="C7" s="5" t="s">
        <v>12</v>
      </c>
      <c r="D7" s="4">
        <v>3.0</v>
      </c>
      <c r="E7" s="4">
        <v>2.0</v>
      </c>
      <c r="F7" s="4">
        <v>16.0</v>
      </c>
      <c r="G7" s="4">
        <v>21.0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2024.0</v>
      </c>
      <c r="B8" s="5" t="s">
        <v>11</v>
      </c>
      <c r="C8" s="5" t="s">
        <v>15</v>
      </c>
      <c r="D8" s="4">
        <v>187.0</v>
      </c>
      <c r="E8" s="4">
        <v>159.0</v>
      </c>
      <c r="F8" s="4">
        <v>694.0</v>
      </c>
      <c r="G8" s="4">
        <v>1040.0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2024.0</v>
      </c>
      <c r="B9" s="5" t="s">
        <v>11</v>
      </c>
      <c r="C9" s="5" t="s">
        <v>16</v>
      </c>
      <c r="D9" s="4">
        <v>1.0</v>
      </c>
      <c r="E9" s="4">
        <v>0.0</v>
      </c>
      <c r="F9" s="4">
        <v>6.0</v>
      </c>
      <c r="G9" s="4">
        <v>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2024.0</v>
      </c>
      <c r="B10" s="5" t="s">
        <v>11</v>
      </c>
      <c r="C10" s="5" t="s">
        <v>14</v>
      </c>
      <c r="D10" s="4">
        <v>872.0</v>
      </c>
      <c r="E10" s="4">
        <v>804.0</v>
      </c>
      <c r="F10" s="4">
        <v>2984.0</v>
      </c>
      <c r="G10" s="4">
        <v>4660.0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2024.0</v>
      </c>
      <c r="B11" s="5" t="s">
        <v>11</v>
      </c>
      <c r="C11" s="5" t="s">
        <v>17</v>
      </c>
      <c r="D11" s="4">
        <v>1.0</v>
      </c>
      <c r="E11" s="4">
        <v>2.0</v>
      </c>
      <c r="F11" s="4">
        <v>13.0</v>
      </c>
      <c r="G11" s="4">
        <v>16.0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2024.0</v>
      </c>
      <c r="B12" s="5" t="s">
        <v>11</v>
      </c>
      <c r="C12" s="5" t="s">
        <v>19</v>
      </c>
      <c r="D12" s="4">
        <v>11.0</v>
      </c>
      <c r="E12" s="4">
        <v>10.0</v>
      </c>
      <c r="F12" s="4">
        <v>54.0</v>
      </c>
      <c r="G12" s="4">
        <v>75.0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2024.0</v>
      </c>
      <c r="B13" s="5" t="s">
        <v>11</v>
      </c>
      <c r="C13" s="5" t="s">
        <v>20</v>
      </c>
      <c r="D13" s="4">
        <v>10.0</v>
      </c>
      <c r="E13" s="4">
        <v>7.0</v>
      </c>
      <c r="F13" s="4">
        <v>17.0</v>
      </c>
      <c r="G13" s="4">
        <v>34.0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2024.0</v>
      </c>
      <c r="B14" s="5" t="s">
        <v>11</v>
      </c>
      <c r="C14" s="5" t="s">
        <v>21</v>
      </c>
      <c r="D14" s="4">
        <v>0.0</v>
      </c>
      <c r="E14" s="4">
        <v>0.0</v>
      </c>
      <c r="F14" s="4">
        <v>1.0</v>
      </c>
      <c r="G14" s="4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2024.0</v>
      </c>
      <c r="B15" s="5" t="s">
        <v>11</v>
      </c>
      <c r="C15" s="5" t="s">
        <v>22</v>
      </c>
      <c r="D15" s="4">
        <v>3.0</v>
      </c>
      <c r="E15" s="4">
        <v>4.0</v>
      </c>
      <c r="F15" s="4">
        <v>17.0</v>
      </c>
      <c r="G15" s="4">
        <v>24.0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2024.0</v>
      </c>
      <c r="B16" s="5" t="s">
        <v>11</v>
      </c>
      <c r="C16" s="5" t="s">
        <v>23</v>
      </c>
      <c r="D16" s="4">
        <v>0.0</v>
      </c>
      <c r="E16" s="4">
        <v>0.0</v>
      </c>
      <c r="F16" s="4">
        <v>2.0</v>
      </c>
      <c r="G16" s="4">
        <v>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2024.0</v>
      </c>
      <c r="B17" s="5" t="s">
        <v>24</v>
      </c>
      <c r="C17" s="5" t="s">
        <v>7</v>
      </c>
      <c r="D17" s="4">
        <v>1.0</v>
      </c>
      <c r="E17" s="4">
        <v>0.0</v>
      </c>
      <c r="F17" s="4">
        <v>2.0</v>
      </c>
      <c r="G17" s="4">
        <v>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2024.0</v>
      </c>
      <c r="B18" s="5" t="s">
        <v>24</v>
      </c>
      <c r="C18" s="5" t="s">
        <v>33</v>
      </c>
      <c r="D18" s="4">
        <v>3.0</v>
      </c>
      <c r="E18" s="4">
        <v>4.0</v>
      </c>
      <c r="F18" s="4">
        <v>7.0</v>
      </c>
      <c r="G18" s="4">
        <v>14.0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2024.0</v>
      </c>
      <c r="B19" s="5" t="s">
        <v>24</v>
      </c>
      <c r="C19" s="5" t="s">
        <v>8</v>
      </c>
      <c r="D19" s="4">
        <v>0.0</v>
      </c>
      <c r="E19" s="4">
        <v>0.0</v>
      </c>
      <c r="F19" s="4">
        <v>0.0</v>
      </c>
      <c r="G19" s="4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2024.0</v>
      </c>
      <c r="B20" s="5" t="s">
        <v>24</v>
      </c>
      <c r="C20" s="5" t="s">
        <v>9</v>
      </c>
      <c r="D20" s="4">
        <v>2.0</v>
      </c>
      <c r="E20" s="4">
        <v>2.0</v>
      </c>
      <c r="F20" s="4">
        <v>12.0</v>
      </c>
      <c r="G20" s="4">
        <v>16.0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2024.0</v>
      </c>
      <c r="B21" s="5" t="s">
        <v>24</v>
      </c>
      <c r="C21" s="5" t="s">
        <v>10</v>
      </c>
      <c r="D21" s="4">
        <v>948.0</v>
      </c>
      <c r="E21" s="4">
        <v>812.0</v>
      </c>
      <c r="F21" s="4">
        <v>2914.0</v>
      </c>
      <c r="G21" s="4">
        <v>4674.0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2024.0</v>
      </c>
      <c r="B22" s="5" t="s">
        <v>24</v>
      </c>
      <c r="C22" s="5" t="s">
        <v>12</v>
      </c>
      <c r="D22" s="4">
        <v>3.0</v>
      </c>
      <c r="E22" s="4">
        <v>2.0</v>
      </c>
      <c r="F22" s="4">
        <v>16.0</v>
      </c>
      <c r="G22" s="4">
        <v>21.0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2024.0</v>
      </c>
      <c r="B23" s="5" t="s">
        <v>24</v>
      </c>
      <c r="C23" s="5" t="s">
        <v>15</v>
      </c>
      <c r="D23" s="4">
        <v>187.0</v>
      </c>
      <c r="E23" s="4">
        <v>159.0</v>
      </c>
      <c r="F23" s="4">
        <v>694.0</v>
      </c>
      <c r="G23" s="4">
        <v>1040.0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2024.0</v>
      </c>
      <c r="B24" s="5" t="s">
        <v>24</v>
      </c>
      <c r="C24" s="5" t="s">
        <v>16</v>
      </c>
      <c r="D24" s="4">
        <v>1.0</v>
      </c>
      <c r="E24" s="4">
        <v>0.0</v>
      </c>
      <c r="F24" s="4">
        <v>6.0</v>
      </c>
      <c r="G24" s="4">
        <v>7.0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2024.0</v>
      </c>
      <c r="B25" s="5" t="s">
        <v>24</v>
      </c>
      <c r="C25" s="5" t="s">
        <v>14</v>
      </c>
      <c r="D25" s="4">
        <v>872.0</v>
      </c>
      <c r="E25" s="4">
        <v>804.0</v>
      </c>
      <c r="F25" s="4">
        <v>2984.0</v>
      </c>
      <c r="G25" s="4">
        <v>4660.0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2024.0</v>
      </c>
      <c r="B26" s="5" t="s">
        <v>24</v>
      </c>
      <c r="C26" s="5" t="s">
        <v>17</v>
      </c>
      <c r="D26" s="4">
        <v>1.0</v>
      </c>
      <c r="E26" s="4">
        <v>2.0</v>
      </c>
      <c r="F26" s="4">
        <v>13.0</v>
      </c>
      <c r="G26" s="4">
        <v>16.0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2024.0</v>
      </c>
      <c r="B27" s="5" t="s">
        <v>24</v>
      </c>
      <c r="C27" s="5" t="s">
        <v>19</v>
      </c>
      <c r="D27" s="4">
        <v>11.0</v>
      </c>
      <c r="E27" s="4">
        <v>10.0</v>
      </c>
      <c r="F27" s="4">
        <v>54.0</v>
      </c>
      <c r="G27" s="4">
        <v>75.0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2024.0</v>
      </c>
      <c r="B28" s="5" t="s">
        <v>24</v>
      </c>
      <c r="C28" s="5" t="s">
        <v>20</v>
      </c>
      <c r="D28" s="4">
        <v>10.0</v>
      </c>
      <c r="E28" s="4">
        <v>7.0</v>
      </c>
      <c r="F28" s="4">
        <v>17.0</v>
      </c>
      <c r="G28" s="4">
        <v>34.0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2024.0</v>
      </c>
      <c r="B29" s="5" t="s">
        <v>24</v>
      </c>
      <c r="C29" s="5" t="s">
        <v>21</v>
      </c>
      <c r="D29" s="4">
        <v>0.0</v>
      </c>
      <c r="E29" s="4">
        <v>0.0</v>
      </c>
      <c r="F29" s="4">
        <v>1.0</v>
      </c>
      <c r="G29" s="4">
        <v>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2024.0</v>
      </c>
      <c r="B30" s="5" t="s">
        <v>24</v>
      </c>
      <c r="C30" s="5" t="s">
        <v>22</v>
      </c>
      <c r="D30" s="4">
        <v>3.0</v>
      </c>
      <c r="E30" s="4">
        <v>4.0</v>
      </c>
      <c r="F30" s="4">
        <v>17.0</v>
      </c>
      <c r="G30" s="4">
        <v>24.0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2024.0</v>
      </c>
      <c r="B31" s="5" t="s">
        <v>24</v>
      </c>
      <c r="C31" s="5" t="s">
        <v>23</v>
      </c>
      <c r="D31" s="4">
        <v>0.0</v>
      </c>
      <c r="E31" s="4">
        <v>0.0</v>
      </c>
      <c r="F31" s="4">
        <v>2.0</v>
      </c>
      <c r="G31" s="4">
        <v>2.0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2024.0</v>
      </c>
      <c r="B32" s="5" t="s">
        <v>26</v>
      </c>
      <c r="C32" s="5" t="s">
        <v>7</v>
      </c>
      <c r="D32" s="4">
        <v>1.0</v>
      </c>
      <c r="E32" s="4">
        <v>0.0</v>
      </c>
      <c r="F32" s="4">
        <v>2.0</v>
      </c>
      <c r="G32" s="4">
        <v>3.0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2024.0</v>
      </c>
      <c r="B33" s="5" t="s">
        <v>26</v>
      </c>
      <c r="C33" s="5" t="s">
        <v>33</v>
      </c>
      <c r="D33" s="4">
        <v>4.0</v>
      </c>
      <c r="E33" s="4">
        <v>4.0</v>
      </c>
      <c r="F33" s="4">
        <v>9.0</v>
      </c>
      <c r="G33" s="4">
        <v>17.0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2024.0</v>
      </c>
      <c r="B34" s="5" t="s">
        <v>26</v>
      </c>
      <c r="C34" s="5" t="s">
        <v>8</v>
      </c>
      <c r="D34" s="4">
        <v>0.0</v>
      </c>
      <c r="E34" s="4">
        <v>0.0</v>
      </c>
      <c r="F34" s="4">
        <v>0.0</v>
      </c>
      <c r="G34" s="4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2024.0</v>
      </c>
      <c r="B35" s="5" t="s">
        <v>26</v>
      </c>
      <c r="C35" s="5" t="s">
        <v>9</v>
      </c>
      <c r="D35" s="4">
        <v>2.0</v>
      </c>
      <c r="E35" s="4">
        <v>2.0</v>
      </c>
      <c r="F35" s="4">
        <v>12.0</v>
      </c>
      <c r="G35" s="4">
        <v>16.0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2024.0</v>
      </c>
      <c r="B36" s="5" t="s">
        <v>26</v>
      </c>
      <c r="C36" s="5" t="s">
        <v>10</v>
      </c>
      <c r="D36" s="4">
        <v>948.0</v>
      </c>
      <c r="E36" s="4">
        <v>812.0</v>
      </c>
      <c r="F36" s="4">
        <v>2914.0</v>
      </c>
      <c r="G36" s="4">
        <v>4674.0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2024.0</v>
      </c>
      <c r="B37" s="5" t="s">
        <v>26</v>
      </c>
      <c r="C37" s="5" t="s">
        <v>12</v>
      </c>
      <c r="D37" s="4">
        <v>3.0</v>
      </c>
      <c r="E37" s="4">
        <v>2.0</v>
      </c>
      <c r="F37" s="4">
        <v>16.0</v>
      </c>
      <c r="G37" s="4">
        <v>21.0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2024.0</v>
      </c>
      <c r="B38" s="5" t="s">
        <v>26</v>
      </c>
      <c r="C38" s="5" t="s">
        <v>15</v>
      </c>
      <c r="D38" s="4">
        <v>187.0</v>
      </c>
      <c r="E38" s="4">
        <v>159.0</v>
      </c>
      <c r="F38" s="4">
        <v>694.0</v>
      </c>
      <c r="G38" s="4">
        <v>1040.0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2024.0</v>
      </c>
      <c r="B39" s="5" t="s">
        <v>26</v>
      </c>
      <c r="C39" s="5" t="s">
        <v>16</v>
      </c>
      <c r="D39" s="4">
        <v>1.0</v>
      </c>
      <c r="E39" s="4">
        <v>0.0</v>
      </c>
      <c r="F39" s="4">
        <v>6.0</v>
      </c>
      <c r="G39" s="4">
        <v>7.0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2024.0</v>
      </c>
      <c r="B40" s="5" t="s">
        <v>26</v>
      </c>
      <c r="C40" s="5" t="s">
        <v>14</v>
      </c>
      <c r="D40" s="4">
        <v>872.0</v>
      </c>
      <c r="E40" s="4">
        <v>804.0</v>
      </c>
      <c r="F40" s="4">
        <v>2984.0</v>
      </c>
      <c r="G40" s="4">
        <v>4660.0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2024.0</v>
      </c>
      <c r="B41" s="5" t="s">
        <v>26</v>
      </c>
      <c r="C41" s="5" t="s">
        <v>17</v>
      </c>
      <c r="D41" s="4">
        <v>1.0</v>
      </c>
      <c r="E41" s="4">
        <v>2.0</v>
      </c>
      <c r="F41" s="4">
        <v>13.0</v>
      </c>
      <c r="G41" s="4">
        <v>16.0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2024.0</v>
      </c>
      <c r="B42" s="5" t="s">
        <v>26</v>
      </c>
      <c r="C42" s="5" t="s">
        <v>19</v>
      </c>
      <c r="D42" s="4">
        <v>11.0</v>
      </c>
      <c r="E42" s="4">
        <v>10.0</v>
      </c>
      <c r="F42" s="4">
        <v>54.0</v>
      </c>
      <c r="G42" s="4">
        <v>75.0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2024.0</v>
      </c>
      <c r="B43" s="5" t="s">
        <v>26</v>
      </c>
      <c r="C43" s="5" t="s">
        <v>20</v>
      </c>
      <c r="D43" s="4">
        <v>10.0</v>
      </c>
      <c r="E43" s="4">
        <v>7.0</v>
      </c>
      <c r="F43" s="4">
        <v>17.0</v>
      </c>
      <c r="G43" s="4">
        <v>34.0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2024.0</v>
      </c>
      <c r="B44" s="5" t="s">
        <v>26</v>
      </c>
      <c r="C44" s="5" t="s">
        <v>21</v>
      </c>
      <c r="D44" s="4">
        <v>0.0</v>
      </c>
      <c r="E44" s="4">
        <v>0.0</v>
      </c>
      <c r="F44" s="4">
        <v>1.0</v>
      </c>
      <c r="G44" s="4">
        <v>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2024.0</v>
      </c>
      <c r="B45" s="5" t="s">
        <v>26</v>
      </c>
      <c r="C45" s="5" t="s">
        <v>22</v>
      </c>
      <c r="D45" s="4">
        <v>3.0</v>
      </c>
      <c r="E45" s="4">
        <v>4.0</v>
      </c>
      <c r="F45" s="4">
        <v>17.0</v>
      </c>
      <c r="G45" s="4">
        <v>24.0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2024.0</v>
      </c>
      <c r="B46" s="5" t="s">
        <v>26</v>
      </c>
      <c r="C46" s="5" t="s">
        <v>23</v>
      </c>
      <c r="D46" s="4">
        <v>0.0</v>
      </c>
      <c r="E46" s="4">
        <v>0.0</v>
      </c>
      <c r="F46" s="4">
        <v>2.0</v>
      </c>
      <c r="G46" s="4">
        <v>2.0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2024.0</v>
      </c>
      <c r="B47" s="5" t="s">
        <v>13</v>
      </c>
      <c r="C47" s="5" t="s">
        <v>7</v>
      </c>
      <c r="D47" s="4">
        <v>1.0</v>
      </c>
      <c r="E47" s="4">
        <v>0.0</v>
      </c>
      <c r="F47" s="4">
        <v>2.0</v>
      </c>
      <c r="G47" s="4">
        <v>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2024.0</v>
      </c>
      <c r="B48" s="5" t="s">
        <v>13</v>
      </c>
      <c r="C48" s="5" t="s">
        <v>33</v>
      </c>
      <c r="D48" s="4">
        <v>3.0</v>
      </c>
      <c r="E48" s="4">
        <v>3.0</v>
      </c>
      <c r="F48" s="4">
        <v>6.0</v>
      </c>
      <c r="G48" s="4">
        <v>12.0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2024.0</v>
      </c>
      <c r="B49" s="5" t="s">
        <v>13</v>
      </c>
      <c r="C49" s="5" t="s">
        <v>8</v>
      </c>
      <c r="D49" s="4">
        <v>0.0</v>
      </c>
      <c r="E49" s="4">
        <v>0.0</v>
      </c>
      <c r="F49" s="4">
        <v>0.0</v>
      </c>
      <c r="G49" s="4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2024.0</v>
      </c>
      <c r="B50" s="5" t="s">
        <v>13</v>
      </c>
      <c r="C50" s="5" t="s">
        <v>9</v>
      </c>
      <c r="D50" s="4">
        <v>1.0</v>
      </c>
      <c r="E50" s="4">
        <v>1.0</v>
      </c>
      <c r="F50" s="4">
        <v>11.0</v>
      </c>
      <c r="G50" s="4">
        <v>13.0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2024.0</v>
      </c>
      <c r="B51" s="5" t="s">
        <v>13</v>
      </c>
      <c r="C51" s="5" t="s">
        <v>10</v>
      </c>
      <c r="D51" s="4">
        <v>912.0</v>
      </c>
      <c r="E51" s="4">
        <v>784.0</v>
      </c>
      <c r="F51" s="4">
        <v>2814.0</v>
      </c>
      <c r="G51" s="4">
        <v>4510.0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>
        <v>2024.0</v>
      </c>
      <c r="B52" s="5" t="s">
        <v>13</v>
      </c>
      <c r="C52" s="5" t="s">
        <v>12</v>
      </c>
      <c r="D52" s="4">
        <v>2.0</v>
      </c>
      <c r="E52" s="4">
        <v>2.0</v>
      </c>
      <c r="F52" s="4">
        <v>14.0</v>
      </c>
      <c r="G52" s="4">
        <v>18.0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>
        <v>2024.0</v>
      </c>
      <c r="B53" s="5" t="s">
        <v>13</v>
      </c>
      <c r="C53" s="5" t="s">
        <v>15</v>
      </c>
      <c r="D53" s="4">
        <v>178.0</v>
      </c>
      <c r="E53" s="4">
        <v>151.0</v>
      </c>
      <c r="F53" s="4">
        <v>654.0</v>
      </c>
      <c r="G53" s="4">
        <v>983.0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>
        <v>2024.0</v>
      </c>
      <c r="B54" s="5" t="s">
        <v>13</v>
      </c>
      <c r="C54" s="5" t="s">
        <v>16</v>
      </c>
      <c r="D54" s="4">
        <v>1.0</v>
      </c>
      <c r="E54" s="4">
        <v>0.0</v>
      </c>
      <c r="F54" s="4">
        <v>5.0</v>
      </c>
      <c r="G54" s="4">
        <v>6.0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>
        <v>2024.0</v>
      </c>
      <c r="B55" s="5" t="s">
        <v>13</v>
      </c>
      <c r="C55" s="5" t="s">
        <v>14</v>
      </c>
      <c r="D55" s="4">
        <v>842.0</v>
      </c>
      <c r="E55" s="4">
        <v>771.0</v>
      </c>
      <c r="F55" s="4">
        <v>2884.0</v>
      </c>
      <c r="G55" s="4">
        <v>4497.0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>
        <v>2024.0</v>
      </c>
      <c r="B56" s="5" t="s">
        <v>13</v>
      </c>
      <c r="C56" s="5" t="s">
        <v>17</v>
      </c>
      <c r="D56" s="4">
        <v>1.0</v>
      </c>
      <c r="E56" s="4">
        <v>1.0</v>
      </c>
      <c r="F56" s="4">
        <v>11.0</v>
      </c>
      <c r="G56" s="4">
        <v>13.0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>
        <v>2024.0</v>
      </c>
      <c r="B57" s="5" t="s">
        <v>13</v>
      </c>
      <c r="C57" s="5" t="s">
        <v>19</v>
      </c>
      <c r="D57" s="4">
        <v>9.0</v>
      </c>
      <c r="E57" s="4">
        <v>9.0</v>
      </c>
      <c r="F57" s="4">
        <v>51.0</v>
      </c>
      <c r="G57" s="4">
        <v>69.0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>
        <v>2024.0</v>
      </c>
      <c r="B58" s="5" t="s">
        <v>13</v>
      </c>
      <c r="C58" s="5" t="s">
        <v>20</v>
      </c>
      <c r="D58" s="4">
        <v>9.0</v>
      </c>
      <c r="E58" s="4">
        <v>6.0</v>
      </c>
      <c r="F58" s="4">
        <v>16.0</v>
      </c>
      <c r="G58" s="4">
        <v>31.0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>
        <v>2024.0</v>
      </c>
      <c r="B59" s="5" t="s">
        <v>13</v>
      </c>
      <c r="C59" s="5" t="s">
        <v>21</v>
      </c>
      <c r="D59" s="4">
        <v>0.0</v>
      </c>
      <c r="E59" s="4">
        <v>0.0</v>
      </c>
      <c r="F59" s="4">
        <v>1.0</v>
      </c>
      <c r="G59" s="4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2024.0</v>
      </c>
      <c r="B60" s="5" t="s">
        <v>13</v>
      </c>
      <c r="C60" s="5" t="s">
        <v>22</v>
      </c>
      <c r="D60" s="4">
        <v>2.0</v>
      </c>
      <c r="E60" s="4">
        <v>3.0</v>
      </c>
      <c r="F60" s="4">
        <v>15.0</v>
      </c>
      <c r="G60" s="4">
        <v>20.0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2024.0</v>
      </c>
      <c r="B61" s="5" t="s">
        <v>13</v>
      </c>
      <c r="C61" s="5" t="s">
        <v>23</v>
      </c>
      <c r="D61" s="4">
        <v>0.0</v>
      </c>
      <c r="E61" s="4">
        <v>0.0</v>
      </c>
      <c r="F61" s="4">
        <v>1.0</v>
      </c>
      <c r="G61" s="4">
        <v>1.0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>
        <v>2024.0</v>
      </c>
      <c r="B62" s="5" t="s">
        <v>30</v>
      </c>
      <c r="C62" s="5" t="s">
        <v>7</v>
      </c>
      <c r="D62" s="4">
        <v>2.0</v>
      </c>
      <c r="E62" s="4">
        <v>1.0</v>
      </c>
      <c r="F62" s="4">
        <v>3.0</v>
      </c>
      <c r="G62" s="4">
        <v>6.0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>
        <v>2024.0</v>
      </c>
      <c r="B63" s="5" t="s">
        <v>30</v>
      </c>
      <c r="C63" s="5" t="s">
        <v>33</v>
      </c>
      <c r="D63" s="4">
        <v>4.0</v>
      </c>
      <c r="E63" s="4">
        <v>4.0</v>
      </c>
      <c r="F63" s="4">
        <v>8.0</v>
      </c>
      <c r="G63" s="4">
        <v>16.0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>
        <v>2024.0</v>
      </c>
      <c r="B64" s="5" t="s">
        <v>30</v>
      </c>
      <c r="C64" s="5" t="s">
        <v>8</v>
      </c>
      <c r="D64" s="4">
        <v>0.0</v>
      </c>
      <c r="E64" s="4">
        <v>0.0</v>
      </c>
      <c r="F64" s="4">
        <v>0.0</v>
      </c>
      <c r="G64" s="4">
        <v>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>
        <v>2024.0</v>
      </c>
      <c r="B65" s="5" t="s">
        <v>30</v>
      </c>
      <c r="C65" s="5" t="s">
        <v>9</v>
      </c>
      <c r="D65" s="4">
        <v>2.0</v>
      </c>
      <c r="E65" s="4">
        <v>2.0</v>
      </c>
      <c r="F65" s="4">
        <v>13.0</v>
      </c>
      <c r="G65" s="4">
        <v>17.0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>
        <v>2024.0</v>
      </c>
      <c r="B66" s="5" t="s">
        <v>30</v>
      </c>
      <c r="C66" s="5" t="s">
        <v>10</v>
      </c>
      <c r="D66" s="4">
        <v>1014.0</v>
      </c>
      <c r="E66" s="4">
        <v>864.0</v>
      </c>
      <c r="F66" s="4">
        <v>3118.0</v>
      </c>
      <c r="G66" s="4">
        <v>4996.0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>
        <v>2024.0</v>
      </c>
      <c r="B67" s="5" t="s">
        <v>30</v>
      </c>
      <c r="C67" s="5" t="s">
        <v>12</v>
      </c>
      <c r="D67" s="4">
        <v>3.0</v>
      </c>
      <c r="E67" s="4">
        <v>2.0</v>
      </c>
      <c r="F67" s="4">
        <v>18.0</v>
      </c>
      <c r="G67" s="4">
        <v>23.0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>
        <v>2024.0</v>
      </c>
      <c r="B68" s="5" t="s">
        <v>30</v>
      </c>
      <c r="C68" s="5" t="s">
        <v>15</v>
      </c>
      <c r="D68" s="4">
        <v>198.0</v>
      </c>
      <c r="E68" s="4">
        <v>168.0</v>
      </c>
      <c r="F68" s="4">
        <v>724.0</v>
      </c>
      <c r="G68" s="4">
        <v>1090.0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>
        <v>2024.0</v>
      </c>
      <c r="B69" s="5" t="s">
        <v>30</v>
      </c>
      <c r="C69" s="5" t="s">
        <v>16</v>
      </c>
      <c r="D69" s="4">
        <v>1.0</v>
      </c>
      <c r="E69" s="4">
        <v>1.0</v>
      </c>
      <c r="F69" s="4">
        <v>7.0</v>
      </c>
      <c r="G69" s="4">
        <v>9.0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>
        <v>2024.0</v>
      </c>
      <c r="B70" s="5" t="s">
        <v>30</v>
      </c>
      <c r="C70" s="5" t="s">
        <v>14</v>
      </c>
      <c r="D70" s="4">
        <v>948.0</v>
      </c>
      <c r="E70" s="4">
        <v>852.0</v>
      </c>
      <c r="F70" s="4">
        <v>3214.0</v>
      </c>
      <c r="G70" s="4">
        <v>5014.0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>
        <v>2024.0</v>
      </c>
      <c r="B71" s="5" t="s">
        <v>30</v>
      </c>
      <c r="C71" s="5" t="s">
        <v>17</v>
      </c>
      <c r="D71" s="4">
        <v>1.0</v>
      </c>
      <c r="E71" s="4">
        <v>2.0</v>
      </c>
      <c r="F71" s="4">
        <v>13.0</v>
      </c>
      <c r="G71" s="4">
        <v>16.0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>
        <v>2024.0</v>
      </c>
      <c r="B72" s="5" t="s">
        <v>30</v>
      </c>
      <c r="C72" s="5" t="s">
        <v>19</v>
      </c>
      <c r="D72" s="4">
        <v>11.0</v>
      </c>
      <c r="E72" s="4">
        <v>11.0</v>
      </c>
      <c r="F72" s="4">
        <v>62.0</v>
      </c>
      <c r="G72" s="4">
        <v>84.0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>
        <v>2024.0</v>
      </c>
      <c r="B73" s="5" t="s">
        <v>30</v>
      </c>
      <c r="C73" s="5" t="s">
        <v>20</v>
      </c>
      <c r="D73" s="4">
        <v>10.0</v>
      </c>
      <c r="E73" s="4">
        <v>7.0</v>
      </c>
      <c r="F73" s="4">
        <v>19.0</v>
      </c>
      <c r="G73" s="4">
        <v>36.0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>
        <v>2024.0</v>
      </c>
      <c r="B74" s="5" t="s">
        <v>30</v>
      </c>
      <c r="C74" s="5" t="s">
        <v>21</v>
      </c>
      <c r="D74" s="4">
        <v>1.0</v>
      </c>
      <c r="E74" s="4">
        <v>0.0</v>
      </c>
      <c r="F74" s="4">
        <v>1.0</v>
      </c>
      <c r="G74" s="4">
        <v>2.0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>
        <v>2024.0</v>
      </c>
      <c r="B75" s="5" t="s">
        <v>30</v>
      </c>
      <c r="C75" s="5" t="s">
        <v>22</v>
      </c>
      <c r="D75" s="4">
        <v>3.0</v>
      </c>
      <c r="E75" s="4">
        <v>4.0</v>
      </c>
      <c r="F75" s="4">
        <v>18.0</v>
      </c>
      <c r="G75" s="4">
        <v>25.0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>
        <v>2024.0</v>
      </c>
      <c r="B76" s="5" t="s">
        <v>30</v>
      </c>
      <c r="C76" s="5" t="s">
        <v>23</v>
      </c>
      <c r="D76" s="4">
        <v>0.0</v>
      </c>
      <c r="E76" s="4">
        <v>1.0</v>
      </c>
      <c r="F76" s="4">
        <v>2.0</v>
      </c>
      <c r="G76" s="4">
        <v>3.0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>
        <v>2024.0</v>
      </c>
      <c r="B77" s="5" t="s">
        <v>28</v>
      </c>
      <c r="C77" s="5" t="s">
        <v>7</v>
      </c>
      <c r="D77" s="4">
        <v>1.0</v>
      </c>
      <c r="E77" s="4">
        <v>0.0</v>
      </c>
      <c r="F77" s="4">
        <v>2.0</v>
      </c>
      <c r="G77" s="4">
        <v>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>
        <v>2024.0</v>
      </c>
      <c r="B78" s="5" t="s">
        <v>28</v>
      </c>
      <c r="C78" s="5" t="s">
        <v>33</v>
      </c>
      <c r="D78" s="4">
        <v>3.0</v>
      </c>
      <c r="E78" s="4">
        <v>3.0</v>
      </c>
      <c r="F78" s="4">
        <v>6.0</v>
      </c>
      <c r="G78" s="4">
        <v>12.0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>
        <v>2024.0</v>
      </c>
      <c r="B79" s="5" t="s">
        <v>28</v>
      </c>
      <c r="C79" s="5" t="s">
        <v>8</v>
      </c>
      <c r="D79" s="4">
        <v>0.0</v>
      </c>
      <c r="E79" s="4">
        <v>0.0</v>
      </c>
      <c r="F79" s="4">
        <v>0.0</v>
      </c>
      <c r="G79" s="4">
        <v>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>
        <v>2024.0</v>
      </c>
      <c r="B80" s="5" t="s">
        <v>28</v>
      </c>
      <c r="C80" s="5" t="s">
        <v>9</v>
      </c>
      <c r="D80" s="4">
        <v>1.0</v>
      </c>
      <c r="E80" s="4">
        <v>2.0</v>
      </c>
      <c r="F80" s="4">
        <v>11.0</v>
      </c>
      <c r="G80" s="4">
        <v>14.0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>
        <v>2024.0</v>
      </c>
      <c r="B81" s="5" t="s">
        <v>28</v>
      </c>
      <c r="C81" s="5" t="s">
        <v>10</v>
      </c>
      <c r="D81" s="4">
        <v>842.0</v>
      </c>
      <c r="E81" s="4">
        <v>741.0</v>
      </c>
      <c r="F81" s="4">
        <v>2831.0</v>
      </c>
      <c r="G81" s="4">
        <v>4414.0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>
        <v>2024.0</v>
      </c>
      <c r="B82" s="5" t="s">
        <v>28</v>
      </c>
      <c r="C82" s="5" t="s">
        <v>12</v>
      </c>
      <c r="D82" s="4">
        <v>2.0</v>
      </c>
      <c r="E82" s="4">
        <v>2.0</v>
      </c>
      <c r="F82" s="4">
        <v>15.0</v>
      </c>
      <c r="G82" s="4">
        <v>19.0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>
        <v>2024.0</v>
      </c>
      <c r="B83" s="5" t="s">
        <v>28</v>
      </c>
      <c r="C83" s="5" t="s">
        <v>15</v>
      </c>
      <c r="D83" s="4">
        <v>172.0</v>
      </c>
      <c r="E83" s="4">
        <v>151.0</v>
      </c>
      <c r="F83" s="4">
        <v>649.0</v>
      </c>
      <c r="G83" s="4">
        <v>972.0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>
        <v>2024.0</v>
      </c>
      <c r="B84" s="5" t="s">
        <v>28</v>
      </c>
      <c r="C84" s="5" t="s">
        <v>16</v>
      </c>
      <c r="D84" s="4">
        <v>1.0</v>
      </c>
      <c r="E84" s="4">
        <v>0.0</v>
      </c>
      <c r="F84" s="4">
        <v>5.0</v>
      </c>
      <c r="G84" s="4">
        <v>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>
        <v>2024.0</v>
      </c>
      <c r="B85" s="5" t="s">
        <v>28</v>
      </c>
      <c r="C85" s="5" t="s">
        <v>14</v>
      </c>
      <c r="D85" s="4">
        <v>811.0</v>
      </c>
      <c r="E85" s="4">
        <v>743.0</v>
      </c>
      <c r="F85" s="4">
        <v>2894.0</v>
      </c>
      <c r="G85" s="4">
        <v>4448.0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>
        <v>2024.0</v>
      </c>
      <c r="B86" s="5" t="s">
        <v>28</v>
      </c>
      <c r="C86" s="5" t="s">
        <v>17</v>
      </c>
      <c r="D86" s="4">
        <v>1.0</v>
      </c>
      <c r="E86" s="4">
        <v>2.0</v>
      </c>
      <c r="F86" s="4">
        <v>12.0</v>
      </c>
      <c r="G86" s="4">
        <v>15.0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>
        <v>2024.0</v>
      </c>
      <c r="B87" s="5" t="s">
        <v>28</v>
      </c>
      <c r="C87" s="5" t="s">
        <v>19</v>
      </c>
      <c r="D87" s="4">
        <v>9.0</v>
      </c>
      <c r="E87" s="4">
        <v>9.0</v>
      </c>
      <c r="F87" s="4">
        <v>51.0</v>
      </c>
      <c r="G87" s="4">
        <v>69.0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>
        <v>2024.0</v>
      </c>
      <c r="B88" s="5" t="s">
        <v>28</v>
      </c>
      <c r="C88" s="5" t="s">
        <v>20</v>
      </c>
      <c r="D88" s="4">
        <v>9.0</v>
      </c>
      <c r="E88" s="4">
        <v>6.0</v>
      </c>
      <c r="F88" s="4">
        <v>17.0</v>
      </c>
      <c r="G88" s="4">
        <v>32.0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>
        <v>2024.0</v>
      </c>
      <c r="B89" s="5" t="s">
        <v>28</v>
      </c>
      <c r="C89" s="5" t="s">
        <v>21</v>
      </c>
      <c r="D89" s="4">
        <v>0.0</v>
      </c>
      <c r="E89" s="4">
        <v>0.0</v>
      </c>
      <c r="F89" s="4">
        <v>1.0</v>
      </c>
      <c r="G89" s="4">
        <v>1.0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>
        <v>2024.0</v>
      </c>
      <c r="B90" s="5" t="s">
        <v>28</v>
      </c>
      <c r="C90" s="5" t="s">
        <v>22</v>
      </c>
      <c r="D90" s="4">
        <v>3.0</v>
      </c>
      <c r="E90" s="4">
        <v>4.0</v>
      </c>
      <c r="F90" s="4">
        <v>16.0</v>
      </c>
      <c r="G90" s="4">
        <v>23.0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>
        <v>2024.0</v>
      </c>
      <c r="B91" s="5" t="s">
        <v>28</v>
      </c>
      <c r="C91" s="5" t="s">
        <v>23</v>
      </c>
      <c r="D91" s="4">
        <v>0.0</v>
      </c>
      <c r="E91" s="4">
        <v>0.0</v>
      </c>
      <c r="F91" s="4">
        <v>2.0</v>
      </c>
      <c r="G91" s="4">
        <v>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>
        <v>2024.0</v>
      </c>
      <c r="B92" s="5" t="s">
        <v>31</v>
      </c>
      <c r="C92" s="5" t="s">
        <v>7</v>
      </c>
      <c r="D92" s="4">
        <v>2.0</v>
      </c>
      <c r="E92" s="4">
        <v>0.0</v>
      </c>
      <c r="F92" s="4">
        <v>1.0</v>
      </c>
      <c r="G92" s="4">
        <v>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>
        <v>2024.0</v>
      </c>
      <c r="B93" s="5" t="s">
        <v>31</v>
      </c>
      <c r="C93" s="5" t="s">
        <v>33</v>
      </c>
      <c r="D93" s="4">
        <v>3.0</v>
      </c>
      <c r="E93" s="4">
        <v>4.0</v>
      </c>
      <c r="F93" s="4">
        <v>7.0</v>
      </c>
      <c r="G93" s="4">
        <v>14.0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>
        <v>2024.0</v>
      </c>
      <c r="B94" s="5" t="s">
        <v>31</v>
      </c>
      <c r="C94" s="5" t="s">
        <v>8</v>
      </c>
      <c r="D94" s="4">
        <v>0.0</v>
      </c>
      <c r="E94" s="4">
        <v>0.0</v>
      </c>
      <c r="F94" s="4">
        <v>0.0</v>
      </c>
      <c r="G94" s="4">
        <v>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>
        <v>2024.0</v>
      </c>
      <c r="B95" s="5" t="s">
        <v>31</v>
      </c>
      <c r="C95" s="5" t="s">
        <v>9</v>
      </c>
      <c r="D95" s="4">
        <v>2.0</v>
      </c>
      <c r="E95" s="4">
        <v>3.0</v>
      </c>
      <c r="F95" s="4">
        <v>12.0</v>
      </c>
      <c r="G95" s="4">
        <v>17.0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>
        <v>2024.0</v>
      </c>
      <c r="B96" s="5" t="s">
        <v>31</v>
      </c>
      <c r="C96" s="5" t="s">
        <v>10</v>
      </c>
      <c r="D96" s="4">
        <v>913.0</v>
      </c>
      <c r="E96" s="4">
        <v>805.0</v>
      </c>
      <c r="F96" s="4">
        <v>2914.0</v>
      </c>
      <c r="G96" s="4">
        <v>4632.0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>
        <v>2024.0</v>
      </c>
      <c r="B97" s="5" t="s">
        <v>31</v>
      </c>
      <c r="C97" s="5" t="s">
        <v>12</v>
      </c>
      <c r="D97" s="4">
        <v>3.0</v>
      </c>
      <c r="E97" s="4">
        <v>2.0</v>
      </c>
      <c r="F97" s="4">
        <v>17.0</v>
      </c>
      <c r="G97" s="4">
        <v>22.0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>
        <v>2024.0</v>
      </c>
      <c r="B98" s="5" t="s">
        <v>31</v>
      </c>
      <c r="C98" s="5" t="s">
        <v>15</v>
      </c>
      <c r="D98" s="4">
        <v>191.0</v>
      </c>
      <c r="E98" s="4">
        <v>168.0</v>
      </c>
      <c r="F98" s="4">
        <v>702.0</v>
      </c>
      <c r="G98" s="4">
        <v>1061.0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>
        <v>2024.0</v>
      </c>
      <c r="B99" s="5" t="s">
        <v>31</v>
      </c>
      <c r="C99" s="5" t="s">
        <v>16</v>
      </c>
      <c r="D99" s="4">
        <v>1.0</v>
      </c>
      <c r="E99" s="4">
        <v>0.0</v>
      </c>
      <c r="F99" s="4">
        <v>6.0</v>
      </c>
      <c r="G99" s="4">
        <v>7.0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>
        <v>2024.0</v>
      </c>
      <c r="B100" s="5" t="s">
        <v>31</v>
      </c>
      <c r="C100" s="5" t="s">
        <v>14</v>
      </c>
      <c r="D100" s="4">
        <v>884.0</v>
      </c>
      <c r="E100" s="4">
        <v>812.0</v>
      </c>
      <c r="F100" s="4">
        <v>3012.0</v>
      </c>
      <c r="G100" s="4">
        <v>4708.0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>
        <v>2024.0</v>
      </c>
      <c r="B101" s="5" t="s">
        <v>31</v>
      </c>
      <c r="C101" s="5" t="s">
        <v>17</v>
      </c>
      <c r="D101" s="4">
        <v>1.0</v>
      </c>
      <c r="E101" s="4">
        <v>2.0</v>
      </c>
      <c r="F101" s="4">
        <v>13.0</v>
      </c>
      <c r="G101" s="4">
        <v>16.0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>
        <v>2024.0</v>
      </c>
      <c r="B102" s="5" t="s">
        <v>31</v>
      </c>
      <c r="C102" s="5" t="s">
        <v>19</v>
      </c>
      <c r="D102" s="4">
        <v>11.0</v>
      </c>
      <c r="E102" s="4">
        <v>10.0</v>
      </c>
      <c r="F102" s="4">
        <v>56.0</v>
      </c>
      <c r="G102" s="4">
        <v>77.0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>
        <v>2024.0</v>
      </c>
      <c r="B103" s="5" t="s">
        <v>31</v>
      </c>
      <c r="C103" s="5" t="s">
        <v>20</v>
      </c>
      <c r="D103" s="4">
        <v>10.0</v>
      </c>
      <c r="E103" s="4">
        <v>7.0</v>
      </c>
      <c r="F103" s="4">
        <v>18.0</v>
      </c>
      <c r="G103" s="4">
        <v>35.0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>
        <v>2024.0</v>
      </c>
      <c r="B104" s="5" t="s">
        <v>31</v>
      </c>
      <c r="C104" s="5" t="s">
        <v>21</v>
      </c>
      <c r="D104" s="4">
        <v>0.0</v>
      </c>
      <c r="E104" s="4">
        <v>0.0</v>
      </c>
      <c r="F104" s="4">
        <v>1.0</v>
      </c>
      <c r="G104" s="4">
        <v>1.0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>
        <v>2024.0</v>
      </c>
      <c r="B105" s="5" t="s">
        <v>31</v>
      </c>
      <c r="C105" s="5" t="s">
        <v>22</v>
      </c>
      <c r="D105" s="4">
        <v>3.0</v>
      </c>
      <c r="E105" s="4">
        <v>4.0</v>
      </c>
      <c r="F105" s="4">
        <v>18.0</v>
      </c>
      <c r="G105" s="4">
        <v>25.0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>
        <v>2024.0</v>
      </c>
      <c r="B106" s="5" t="s">
        <v>31</v>
      </c>
      <c r="C106" s="5" t="s">
        <v>23</v>
      </c>
      <c r="D106" s="4">
        <v>0.0</v>
      </c>
      <c r="E106" s="4">
        <v>0.0</v>
      </c>
      <c r="F106" s="4">
        <v>2.0</v>
      </c>
      <c r="G106" s="4">
        <v>2.0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>
        <v>2024.0</v>
      </c>
      <c r="B107" s="5" t="s">
        <v>32</v>
      </c>
      <c r="C107" s="5" t="s">
        <v>7</v>
      </c>
      <c r="D107" s="4">
        <v>1.0</v>
      </c>
      <c r="E107" s="4">
        <v>1.0</v>
      </c>
      <c r="F107" s="4">
        <v>2.0</v>
      </c>
      <c r="G107" s="4">
        <v>4.0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>
        <v>2024.0</v>
      </c>
      <c r="B108" s="5" t="s">
        <v>32</v>
      </c>
      <c r="C108" s="5" t="s">
        <v>33</v>
      </c>
      <c r="D108" s="4">
        <v>3.0</v>
      </c>
      <c r="E108" s="4">
        <v>3.0</v>
      </c>
      <c r="F108" s="4">
        <v>6.0</v>
      </c>
      <c r="G108" s="4">
        <v>12.0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>
        <v>2024.0</v>
      </c>
      <c r="B109" s="5" t="s">
        <v>32</v>
      </c>
      <c r="C109" s="5" t="s">
        <v>8</v>
      </c>
      <c r="D109" s="4">
        <v>0.0</v>
      </c>
      <c r="E109" s="4">
        <v>0.0</v>
      </c>
      <c r="F109" s="4">
        <v>0.0</v>
      </c>
      <c r="G109" s="4">
        <v>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>
        <v>2024.0</v>
      </c>
      <c r="B110" s="5" t="s">
        <v>32</v>
      </c>
      <c r="C110" s="5" t="s">
        <v>9</v>
      </c>
      <c r="D110" s="4">
        <v>2.0</v>
      </c>
      <c r="E110" s="4">
        <v>2.0</v>
      </c>
      <c r="F110" s="4">
        <v>12.0</v>
      </c>
      <c r="G110" s="4">
        <v>16.0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>
        <v>2024.0</v>
      </c>
      <c r="B111" s="5" t="s">
        <v>32</v>
      </c>
      <c r="C111" s="5" t="s">
        <v>10</v>
      </c>
      <c r="D111" s="4">
        <v>948.0</v>
      </c>
      <c r="E111" s="4">
        <v>812.0</v>
      </c>
      <c r="F111" s="4">
        <v>2914.0</v>
      </c>
      <c r="G111" s="4">
        <v>4674.0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>
        <v>2024.0</v>
      </c>
      <c r="B112" s="5" t="s">
        <v>32</v>
      </c>
      <c r="C112" s="5" t="s">
        <v>12</v>
      </c>
      <c r="D112" s="4">
        <v>3.0</v>
      </c>
      <c r="E112" s="4">
        <v>2.0</v>
      </c>
      <c r="F112" s="4">
        <v>16.0</v>
      </c>
      <c r="G112" s="4">
        <v>21.0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>
        <v>2024.0</v>
      </c>
      <c r="B113" s="5" t="s">
        <v>32</v>
      </c>
      <c r="C113" s="5" t="s">
        <v>15</v>
      </c>
      <c r="D113" s="4">
        <v>187.0</v>
      </c>
      <c r="E113" s="4">
        <v>159.0</v>
      </c>
      <c r="F113" s="4">
        <v>694.0</v>
      </c>
      <c r="G113" s="4">
        <v>1040.0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>
        <v>2024.0</v>
      </c>
      <c r="B114" s="5" t="s">
        <v>32</v>
      </c>
      <c r="C114" s="5" t="s">
        <v>16</v>
      </c>
      <c r="D114" s="4">
        <v>1.0</v>
      </c>
      <c r="E114" s="4">
        <v>0.0</v>
      </c>
      <c r="F114" s="4">
        <v>6.0</v>
      </c>
      <c r="G114" s="4">
        <v>7.0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>
        <v>2024.0</v>
      </c>
      <c r="B115" s="5" t="s">
        <v>32</v>
      </c>
      <c r="C115" s="5" t="s">
        <v>14</v>
      </c>
      <c r="D115" s="4">
        <v>872.0</v>
      </c>
      <c r="E115" s="4">
        <v>804.0</v>
      </c>
      <c r="F115" s="4">
        <v>2984.0</v>
      </c>
      <c r="G115" s="4">
        <v>4660.0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>
        <v>2024.0</v>
      </c>
      <c r="B116" s="5" t="s">
        <v>32</v>
      </c>
      <c r="C116" s="5" t="s">
        <v>17</v>
      </c>
      <c r="D116" s="4">
        <v>1.0</v>
      </c>
      <c r="E116" s="4">
        <v>2.0</v>
      </c>
      <c r="F116" s="4">
        <v>13.0</v>
      </c>
      <c r="G116" s="4">
        <v>16.0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>
        <v>2024.0</v>
      </c>
      <c r="B117" s="5" t="s">
        <v>32</v>
      </c>
      <c r="C117" s="5" t="s">
        <v>19</v>
      </c>
      <c r="D117" s="4">
        <v>11.0</v>
      </c>
      <c r="E117" s="4">
        <v>10.0</v>
      </c>
      <c r="F117" s="4">
        <v>54.0</v>
      </c>
      <c r="G117" s="4">
        <v>75.0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>
        <v>2024.0</v>
      </c>
      <c r="B118" s="5" t="s">
        <v>32</v>
      </c>
      <c r="C118" s="5" t="s">
        <v>20</v>
      </c>
      <c r="D118" s="4">
        <v>10.0</v>
      </c>
      <c r="E118" s="4">
        <v>7.0</v>
      </c>
      <c r="F118" s="4">
        <v>17.0</v>
      </c>
      <c r="G118" s="4">
        <v>34.0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>
        <v>2024.0</v>
      </c>
      <c r="B119" s="5" t="s">
        <v>32</v>
      </c>
      <c r="C119" s="5" t="s">
        <v>21</v>
      </c>
      <c r="D119" s="4">
        <v>0.0</v>
      </c>
      <c r="E119" s="4">
        <v>0.0</v>
      </c>
      <c r="F119" s="4">
        <v>1.0</v>
      </c>
      <c r="G119" s="4">
        <v>1.0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>
        <v>2024.0</v>
      </c>
      <c r="B120" s="5" t="s">
        <v>32</v>
      </c>
      <c r="C120" s="5" t="s">
        <v>22</v>
      </c>
      <c r="D120" s="4">
        <v>3.0</v>
      </c>
      <c r="E120" s="4">
        <v>4.0</v>
      </c>
      <c r="F120" s="4">
        <v>17.0</v>
      </c>
      <c r="G120" s="4">
        <v>24.0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>
        <v>2024.0</v>
      </c>
      <c r="B121" s="5" t="s">
        <v>32</v>
      </c>
      <c r="C121" s="5" t="s">
        <v>23</v>
      </c>
      <c r="D121" s="4">
        <v>0.0</v>
      </c>
      <c r="E121" s="4">
        <v>0.0</v>
      </c>
      <c r="F121" s="4">
        <v>2.0</v>
      </c>
      <c r="G121" s="4">
        <v>2.0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>
        <v>2024.0</v>
      </c>
      <c r="B122" s="5" t="s">
        <v>18</v>
      </c>
      <c r="C122" s="5" t="s">
        <v>7</v>
      </c>
      <c r="D122" s="4">
        <v>1.0</v>
      </c>
      <c r="E122" s="4">
        <v>0.0</v>
      </c>
      <c r="F122" s="4">
        <v>2.0</v>
      </c>
      <c r="G122" s="4">
        <v>3.0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>
        <v>2024.0</v>
      </c>
      <c r="B123" s="5" t="s">
        <v>18</v>
      </c>
      <c r="C123" s="5" t="s">
        <v>33</v>
      </c>
      <c r="D123" s="4">
        <v>4.0</v>
      </c>
      <c r="E123" s="4">
        <v>4.0</v>
      </c>
      <c r="F123" s="4">
        <v>8.0</v>
      </c>
      <c r="G123" s="4">
        <v>16.0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>
        <v>2024.0</v>
      </c>
      <c r="B124" s="5" t="s">
        <v>18</v>
      </c>
      <c r="C124" s="5" t="s">
        <v>8</v>
      </c>
      <c r="D124" s="4">
        <v>0.0</v>
      </c>
      <c r="E124" s="4">
        <v>0.0</v>
      </c>
      <c r="F124" s="4">
        <v>0.0</v>
      </c>
      <c r="G124" s="4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>
        <v>2024.0</v>
      </c>
      <c r="B125" s="5" t="s">
        <v>18</v>
      </c>
      <c r="C125" s="5" t="s">
        <v>9</v>
      </c>
      <c r="D125" s="4">
        <v>1.0</v>
      </c>
      <c r="E125" s="4">
        <v>1.0</v>
      </c>
      <c r="F125" s="4">
        <v>11.0</v>
      </c>
      <c r="G125" s="4">
        <v>13.0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>
        <v>2024.0</v>
      </c>
      <c r="B126" s="5" t="s">
        <v>18</v>
      </c>
      <c r="C126" s="5" t="s">
        <v>10</v>
      </c>
      <c r="D126" s="4">
        <v>912.0</v>
      </c>
      <c r="E126" s="4">
        <v>784.0</v>
      </c>
      <c r="F126" s="4">
        <v>2814.0</v>
      </c>
      <c r="G126" s="4">
        <v>4510.0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>
        <v>2024.0</v>
      </c>
      <c r="B127" s="5" t="s">
        <v>18</v>
      </c>
      <c r="C127" s="5" t="s">
        <v>12</v>
      </c>
      <c r="D127" s="4">
        <v>2.0</v>
      </c>
      <c r="E127" s="4">
        <v>2.0</v>
      </c>
      <c r="F127" s="4">
        <v>14.0</v>
      </c>
      <c r="G127" s="4">
        <v>18.0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>
        <v>2024.0</v>
      </c>
      <c r="B128" s="5" t="s">
        <v>18</v>
      </c>
      <c r="C128" s="5" t="s">
        <v>15</v>
      </c>
      <c r="D128" s="4">
        <v>178.0</v>
      </c>
      <c r="E128" s="4">
        <v>151.0</v>
      </c>
      <c r="F128" s="4">
        <v>654.0</v>
      </c>
      <c r="G128" s="4">
        <v>983.0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>
        <v>2024.0</v>
      </c>
      <c r="B129" s="5" t="s">
        <v>18</v>
      </c>
      <c r="C129" s="5" t="s">
        <v>16</v>
      </c>
      <c r="D129" s="4">
        <v>1.0</v>
      </c>
      <c r="E129" s="4">
        <v>0.0</v>
      </c>
      <c r="F129" s="4">
        <v>5.0</v>
      </c>
      <c r="G129" s="4">
        <v>6.0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>
        <v>2024.0</v>
      </c>
      <c r="B130" s="5" t="s">
        <v>18</v>
      </c>
      <c r="C130" s="5" t="s">
        <v>14</v>
      </c>
      <c r="D130" s="4">
        <v>842.0</v>
      </c>
      <c r="E130" s="4">
        <v>771.0</v>
      </c>
      <c r="F130" s="4">
        <v>2884.0</v>
      </c>
      <c r="G130" s="4">
        <v>4497.0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>
        <v>2024.0</v>
      </c>
      <c r="B131" s="5" t="s">
        <v>18</v>
      </c>
      <c r="C131" s="5" t="s">
        <v>17</v>
      </c>
      <c r="D131" s="4">
        <v>1.0</v>
      </c>
      <c r="E131" s="4">
        <v>1.0</v>
      </c>
      <c r="F131" s="4">
        <v>11.0</v>
      </c>
      <c r="G131" s="4">
        <v>13.0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>
        <v>2024.0</v>
      </c>
      <c r="B132" s="5" t="s">
        <v>18</v>
      </c>
      <c r="C132" s="5" t="s">
        <v>19</v>
      </c>
      <c r="D132" s="4">
        <v>9.0</v>
      </c>
      <c r="E132" s="4">
        <v>9.0</v>
      </c>
      <c r="F132" s="4">
        <v>51.0</v>
      </c>
      <c r="G132" s="4">
        <v>69.0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>
        <v>2024.0</v>
      </c>
      <c r="B133" s="5" t="s">
        <v>18</v>
      </c>
      <c r="C133" s="5" t="s">
        <v>20</v>
      </c>
      <c r="D133" s="4">
        <v>9.0</v>
      </c>
      <c r="E133" s="4">
        <v>6.0</v>
      </c>
      <c r="F133" s="4">
        <v>16.0</v>
      </c>
      <c r="G133" s="4">
        <v>31.0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>
        <v>2024.0</v>
      </c>
      <c r="B134" s="5" t="s">
        <v>18</v>
      </c>
      <c r="C134" s="5" t="s">
        <v>21</v>
      </c>
      <c r="D134" s="4">
        <v>0.0</v>
      </c>
      <c r="E134" s="4">
        <v>0.0</v>
      </c>
      <c r="F134" s="4">
        <v>1.0</v>
      </c>
      <c r="G134" s="4">
        <v>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>
        <v>2024.0</v>
      </c>
      <c r="B135" s="5" t="s">
        <v>18</v>
      </c>
      <c r="C135" s="5" t="s">
        <v>22</v>
      </c>
      <c r="D135" s="4">
        <v>2.0</v>
      </c>
      <c r="E135" s="4">
        <v>3.0</v>
      </c>
      <c r="F135" s="4">
        <v>15.0</v>
      </c>
      <c r="G135" s="4">
        <v>20.0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>
        <v>2024.0</v>
      </c>
      <c r="B136" s="5" t="s">
        <v>18</v>
      </c>
      <c r="C136" s="5" t="s">
        <v>23</v>
      </c>
      <c r="D136" s="4">
        <v>0.0</v>
      </c>
      <c r="E136" s="4">
        <v>0.0</v>
      </c>
      <c r="F136" s="4">
        <v>1.0</v>
      </c>
      <c r="G136" s="4">
        <v>1.0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>
        <v>2024.0</v>
      </c>
      <c r="B137" s="5" t="s">
        <v>25</v>
      </c>
      <c r="C137" s="5" t="s">
        <v>7</v>
      </c>
      <c r="D137" s="4">
        <v>2.0</v>
      </c>
      <c r="E137" s="4">
        <v>1.0</v>
      </c>
      <c r="F137" s="4">
        <v>3.0</v>
      </c>
      <c r="G137" s="4">
        <v>6.0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>
        <v>2024.0</v>
      </c>
      <c r="B138" s="5" t="s">
        <v>25</v>
      </c>
      <c r="C138" s="5" t="s">
        <v>33</v>
      </c>
      <c r="D138" s="4">
        <v>4.0</v>
      </c>
      <c r="E138" s="4">
        <v>4.0</v>
      </c>
      <c r="F138" s="4">
        <v>8.0</v>
      </c>
      <c r="G138" s="4">
        <v>16.0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>
        <v>2024.0</v>
      </c>
      <c r="B139" s="5" t="s">
        <v>25</v>
      </c>
      <c r="C139" s="5" t="s">
        <v>8</v>
      </c>
      <c r="D139" s="4">
        <v>0.0</v>
      </c>
      <c r="E139" s="4">
        <v>0.0</v>
      </c>
      <c r="F139" s="4">
        <v>0.0</v>
      </c>
      <c r="G139" s="4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>
        <v>2024.0</v>
      </c>
      <c r="B140" s="5" t="s">
        <v>25</v>
      </c>
      <c r="C140" s="5" t="s">
        <v>9</v>
      </c>
      <c r="D140" s="4">
        <v>2.0</v>
      </c>
      <c r="E140" s="4">
        <v>2.0</v>
      </c>
      <c r="F140" s="4">
        <v>13.0</v>
      </c>
      <c r="G140" s="4">
        <v>17.0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>
        <v>2024.0</v>
      </c>
      <c r="B141" s="5" t="s">
        <v>25</v>
      </c>
      <c r="C141" s="5" t="s">
        <v>10</v>
      </c>
      <c r="D141" s="4">
        <v>1014.0</v>
      </c>
      <c r="E141" s="4">
        <v>864.0</v>
      </c>
      <c r="F141" s="4">
        <v>3118.0</v>
      </c>
      <c r="G141" s="4">
        <v>4996.0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>
        <v>2024.0</v>
      </c>
      <c r="B142" s="5" t="s">
        <v>25</v>
      </c>
      <c r="C142" s="5" t="s">
        <v>12</v>
      </c>
      <c r="D142" s="4">
        <v>3.0</v>
      </c>
      <c r="E142" s="4">
        <v>2.0</v>
      </c>
      <c r="F142" s="4">
        <v>18.0</v>
      </c>
      <c r="G142" s="4">
        <v>23.0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>
        <v>2024.0</v>
      </c>
      <c r="B143" s="5" t="s">
        <v>25</v>
      </c>
      <c r="C143" s="5" t="s">
        <v>15</v>
      </c>
      <c r="D143" s="4">
        <v>198.0</v>
      </c>
      <c r="E143" s="4">
        <v>168.0</v>
      </c>
      <c r="F143" s="4">
        <v>724.0</v>
      </c>
      <c r="G143" s="4">
        <v>1090.0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>
        <v>2024.0</v>
      </c>
      <c r="B144" s="5" t="s">
        <v>25</v>
      </c>
      <c r="C144" s="5" t="s">
        <v>16</v>
      </c>
      <c r="D144" s="4">
        <v>1.0</v>
      </c>
      <c r="E144" s="4">
        <v>1.0</v>
      </c>
      <c r="F144" s="4">
        <v>7.0</v>
      </c>
      <c r="G144" s="4">
        <v>9.0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>
        <v>2024.0</v>
      </c>
      <c r="B145" s="5" t="s">
        <v>25</v>
      </c>
      <c r="C145" s="5" t="s">
        <v>14</v>
      </c>
      <c r="D145" s="4">
        <v>948.0</v>
      </c>
      <c r="E145" s="4">
        <v>852.0</v>
      </c>
      <c r="F145" s="4">
        <v>3214.0</v>
      </c>
      <c r="G145" s="4">
        <v>5014.0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>
        <v>2024.0</v>
      </c>
      <c r="B146" s="5" t="s">
        <v>25</v>
      </c>
      <c r="C146" s="5" t="s">
        <v>17</v>
      </c>
      <c r="D146" s="4">
        <v>1.0</v>
      </c>
      <c r="E146" s="4">
        <v>2.0</v>
      </c>
      <c r="F146" s="4">
        <v>13.0</v>
      </c>
      <c r="G146" s="4">
        <v>16.0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>
        <v>2024.0</v>
      </c>
      <c r="B147" s="5" t="s">
        <v>25</v>
      </c>
      <c r="C147" s="5" t="s">
        <v>19</v>
      </c>
      <c r="D147" s="4">
        <v>11.0</v>
      </c>
      <c r="E147" s="4">
        <v>11.0</v>
      </c>
      <c r="F147" s="4">
        <v>62.0</v>
      </c>
      <c r="G147" s="4">
        <v>84.0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>
        <v>2024.0</v>
      </c>
      <c r="B148" s="5" t="s">
        <v>25</v>
      </c>
      <c r="C148" s="5" t="s">
        <v>20</v>
      </c>
      <c r="D148" s="4">
        <v>10.0</v>
      </c>
      <c r="E148" s="4">
        <v>7.0</v>
      </c>
      <c r="F148" s="4">
        <v>19.0</v>
      </c>
      <c r="G148" s="4">
        <v>36.0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>
        <v>2024.0</v>
      </c>
      <c r="B149" s="5" t="s">
        <v>25</v>
      </c>
      <c r="C149" s="5" t="s">
        <v>21</v>
      </c>
      <c r="D149" s="4">
        <v>1.0</v>
      </c>
      <c r="E149" s="4">
        <v>0.0</v>
      </c>
      <c r="F149" s="4">
        <v>1.0</v>
      </c>
      <c r="G149" s="4">
        <v>2.0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>
        <v>2024.0</v>
      </c>
      <c r="B150" s="5" t="s">
        <v>25</v>
      </c>
      <c r="C150" s="5" t="s">
        <v>22</v>
      </c>
      <c r="D150" s="4">
        <v>3.0</v>
      </c>
      <c r="E150" s="4">
        <v>4.0</v>
      </c>
      <c r="F150" s="4">
        <v>18.0</v>
      </c>
      <c r="G150" s="4">
        <v>25.0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>
        <v>2024.0</v>
      </c>
      <c r="B151" s="5" t="s">
        <v>25</v>
      </c>
      <c r="C151" s="5" t="s">
        <v>23</v>
      </c>
      <c r="D151" s="4">
        <v>0.0</v>
      </c>
      <c r="E151" s="4">
        <v>1.0</v>
      </c>
      <c r="F151" s="4">
        <v>2.0</v>
      </c>
      <c r="G151" s="4">
        <v>3.0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>
        <v>2024.0</v>
      </c>
      <c r="B152" s="5" t="s">
        <v>27</v>
      </c>
      <c r="C152" s="5" t="s">
        <v>7</v>
      </c>
      <c r="D152" s="4">
        <v>1.0</v>
      </c>
      <c r="E152" s="4">
        <v>0.0</v>
      </c>
      <c r="F152" s="4">
        <v>2.0</v>
      </c>
      <c r="G152" s="4">
        <v>3.0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>
        <v>2024.0</v>
      </c>
      <c r="B153" s="5" t="s">
        <v>27</v>
      </c>
      <c r="C153" s="5" t="s">
        <v>33</v>
      </c>
      <c r="D153" s="4">
        <v>3.0</v>
      </c>
      <c r="E153" s="4">
        <v>3.0</v>
      </c>
      <c r="F153" s="4">
        <v>6.0</v>
      </c>
      <c r="G153" s="4">
        <v>12.0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>
        <v>2024.0</v>
      </c>
      <c r="B154" s="5" t="s">
        <v>27</v>
      </c>
      <c r="C154" s="5" t="s">
        <v>8</v>
      </c>
      <c r="D154" s="4">
        <v>0.0</v>
      </c>
      <c r="E154" s="4">
        <v>0.0</v>
      </c>
      <c r="F154" s="4">
        <v>0.0</v>
      </c>
      <c r="G154" s="4">
        <v>0.0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>
        <v>2024.0</v>
      </c>
      <c r="B155" s="5" t="s">
        <v>27</v>
      </c>
      <c r="C155" s="5" t="s">
        <v>9</v>
      </c>
      <c r="D155" s="4">
        <v>1.0</v>
      </c>
      <c r="E155" s="4">
        <v>1.0</v>
      </c>
      <c r="F155" s="4">
        <v>11.0</v>
      </c>
      <c r="G155" s="4">
        <v>13.0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>
        <v>2024.0</v>
      </c>
      <c r="B156" s="5" t="s">
        <v>27</v>
      </c>
      <c r="C156" s="5" t="s">
        <v>10</v>
      </c>
      <c r="D156" s="4">
        <v>912.0</v>
      </c>
      <c r="E156" s="4">
        <v>784.0</v>
      </c>
      <c r="F156" s="4">
        <v>2814.0</v>
      </c>
      <c r="G156" s="4">
        <v>4510.0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>
        <v>2024.0</v>
      </c>
      <c r="B157" s="5" t="s">
        <v>27</v>
      </c>
      <c r="C157" s="5" t="s">
        <v>12</v>
      </c>
      <c r="D157" s="4">
        <v>2.0</v>
      </c>
      <c r="E157" s="4">
        <v>2.0</v>
      </c>
      <c r="F157" s="4">
        <v>14.0</v>
      </c>
      <c r="G157" s="4">
        <v>18.0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>
        <v>2024.0</v>
      </c>
      <c r="B158" s="5" t="s">
        <v>27</v>
      </c>
      <c r="C158" s="5" t="s">
        <v>15</v>
      </c>
      <c r="D158" s="4">
        <v>178.0</v>
      </c>
      <c r="E158" s="4">
        <v>151.0</v>
      </c>
      <c r="F158" s="4">
        <v>654.0</v>
      </c>
      <c r="G158" s="4">
        <v>983.0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>
        <v>2024.0</v>
      </c>
      <c r="B159" s="5" t="s">
        <v>27</v>
      </c>
      <c r="C159" s="5" t="s">
        <v>16</v>
      </c>
      <c r="D159" s="4">
        <v>1.0</v>
      </c>
      <c r="E159" s="4">
        <v>0.0</v>
      </c>
      <c r="F159" s="4">
        <v>5.0</v>
      </c>
      <c r="G159" s="4">
        <v>6.0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>
        <v>2024.0</v>
      </c>
      <c r="B160" s="5" t="s">
        <v>27</v>
      </c>
      <c r="C160" s="5" t="s">
        <v>14</v>
      </c>
      <c r="D160" s="4">
        <v>842.0</v>
      </c>
      <c r="E160" s="4">
        <v>771.0</v>
      </c>
      <c r="F160" s="4">
        <v>2884.0</v>
      </c>
      <c r="G160" s="4">
        <v>4497.0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>
        <v>2024.0</v>
      </c>
      <c r="B161" s="5" t="s">
        <v>27</v>
      </c>
      <c r="C161" s="5" t="s">
        <v>17</v>
      </c>
      <c r="D161" s="4">
        <v>1.0</v>
      </c>
      <c r="E161" s="4">
        <v>1.0</v>
      </c>
      <c r="F161" s="4">
        <v>11.0</v>
      </c>
      <c r="G161" s="4">
        <v>13.0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>
        <v>2024.0</v>
      </c>
      <c r="B162" s="5" t="s">
        <v>27</v>
      </c>
      <c r="C162" s="5" t="s">
        <v>19</v>
      </c>
      <c r="D162" s="4">
        <v>9.0</v>
      </c>
      <c r="E162" s="4">
        <v>9.0</v>
      </c>
      <c r="F162" s="4">
        <v>51.0</v>
      </c>
      <c r="G162" s="4">
        <v>69.0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>
        <v>2024.0</v>
      </c>
      <c r="B163" s="5" t="s">
        <v>27</v>
      </c>
      <c r="C163" s="5" t="s">
        <v>20</v>
      </c>
      <c r="D163" s="4">
        <v>9.0</v>
      </c>
      <c r="E163" s="4">
        <v>6.0</v>
      </c>
      <c r="F163" s="4">
        <v>16.0</v>
      </c>
      <c r="G163" s="4">
        <v>31.0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>
        <v>2024.0</v>
      </c>
      <c r="B164" s="5" t="s">
        <v>27</v>
      </c>
      <c r="C164" s="5" t="s">
        <v>21</v>
      </c>
      <c r="D164" s="4">
        <v>0.0</v>
      </c>
      <c r="E164" s="4">
        <v>0.0</v>
      </c>
      <c r="F164" s="4">
        <v>1.0</v>
      </c>
      <c r="G164" s="4">
        <v>1.0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>
        <v>2024.0</v>
      </c>
      <c r="B165" s="5" t="s">
        <v>27</v>
      </c>
      <c r="C165" s="5" t="s">
        <v>22</v>
      </c>
      <c r="D165" s="4">
        <v>2.0</v>
      </c>
      <c r="E165" s="4">
        <v>3.0</v>
      </c>
      <c r="F165" s="4">
        <v>15.0</v>
      </c>
      <c r="G165" s="4">
        <v>20.0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>
        <v>2024.0</v>
      </c>
      <c r="B166" s="5" t="s">
        <v>27</v>
      </c>
      <c r="C166" s="5" t="s">
        <v>23</v>
      </c>
      <c r="D166" s="4">
        <v>0.0</v>
      </c>
      <c r="E166" s="4">
        <v>0.0</v>
      </c>
      <c r="F166" s="4">
        <v>1.0</v>
      </c>
      <c r="G166" s="4">
        <v>1.0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>
        <v>2024.0</v>
      </c>
      <c r="B167" s="5" t="s">
        <v>29</v>
      </c>
      <c r="C167" s="5" t="s">
        <v>7</v>
      </c>
      <c r="D167" s="4">
        <v>1.0</v>
      </c>
      <c r="E167" s="4">
        <v>0.0</v>
      </c>
      <c r="F167" s="4">
        <v>2.0</v>
      </c>
      <c r="G167" s="4">
        <v>3.0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>
        <v>2024.0</v>
      </c>
      <c r="B168" s="5" t="s">
        <v>29</v>
      </c>
      <c r="C168" s="5" t="s">
        <v>33</v>
      </c>
      <c r="D168" s="4">
        <v>4.0</v>
      </c>
      <c r="E168" s="4">
        <v>4.0</v>
      </c>
      <c r="F168" s="4">
        <v>8.0</v>
      </c>
      <c r="G168" s="4">
        <v>16.0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>
        <v>2024.0</v>
      </c>
      <c r="B169" s="5" t="s">
        <v>29</v>
      </c>
      <c r="C169" s="5" t="s">
        <v>8</v>
      </c>
      <c r="D169" s="4">
        <v>0.0</v>
      </c>
      <c r="E169" s="4">
        <v>0.0</v>
      </c>
      <c r="F169" s="4">
        <v>0.0</v>
      </c>
      <c r="G169" s="4">
        <v>0.0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>
        <v>2024.0</v>
      </c>
      <c r="B170" s="5" t="s">
        <v>29</v>
      </c>
      <c r="C170" s="5" t="s">
        <v>9</v>
      </c>
      <c r="D170" s="4">
        <v>1.0</v>
      </c>
      <c r="E170" s="4">
        <v>1.0</v>
      </c>
      <c r="F170" s="4">
        <v>11.0</v>
      </c>
      <c r="G170" s="4">
        <v>13.0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>
        <v>2024.0</v>
      </c>
      <c r="B171" s="5" t="s">
        <v>29</v>
      </c>
      <c r="C171" s="5" t="s">
        <v>10</v>
      </c>
      <c r="D171" s="4">
        <v>912.0</v>
      </c>
      <c r="E171" s="4">
        <v>784.0</v>
      </c>
      <c r="F171" s="4">
        <v>2814.0</v>
      </c>
      <c r="G171" s="4">
        <v>4510.0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>
        <v>2024.0</v>
      </c>
      <c r="B172" s="5" t="s">
        <v>29</v>
      </c>
      <c r="C172" s="5" t="s">
        <v>12</v>
      </c>
      <c r="D172" s="4">
        <v>2.0</v>
      </c>
      <c r="E172" s="4">
        <v>2.0</v>
      </c>
      <c r="F172" s="4">
        <v>14.0</v>
      </c>
      <c r="G172" s="4">
        <v>18.0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>
        <v>2024.0</v>
      </c>
      <c r="B173" s="5" t="s">
        <v>29</v>
      </c>
      <c r="C173" s="5" t="s">
        <v>15</v>
      </c>
      <c r="D173" s="4">
        <v>178.0</v>
      </c>
      <c r="E173" s="4">
        <v>151.0</v>
      </c>
      <c r="F173" s="4">
        <v>654.0</v>
      </c>
      <c r="G173" s="4">
        <v>983.0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>
        <v>2024.0</v>
      </c>
      <c r="B174" s="5" t="s">
        <v>29</v>
      </c>
      <c r="C174" s="5" t="s">
        <v>16</v>
      </c>
      <c r="D174" s="4">
        <v>1.0</v>
      </c>
      <c r="E174" s="4">
        <v>0.0</v>
      </c>
      <c r="F174" s="4">
        <v>5.0</v>
      </c>
      <c r="G174" s="4">
        <v>6.0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>
        <v>2024.0</v>
      </c>
      <c r="B175" s="5" t="s">
        <v>29</v>
      </c>
      <c r="C175" s="5" t="s">
        <v>14</v>
      </c>
      <c r="D175" s="4">
        <v>842.0</v>
      </c>
      <c r="E175" s="4">
        <v>771.0</v>
      </c>
      <c r="F175" s="4">
        <v>2884.0</v>
      </c>
      <c r="G175" s="4">
        <v>4497.0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>
        <v>2024.0</v>
      </c>
      <c r="B176" s="5" t="s">
        <v>29</v>
      </c>
      <c r="C176" s="5" t="s">
        <v>17</v>
      </c>
      <c r="D176" s="4">
        <v>1.0</v>
      </c>
      <c r="E176" s="4">
        <v>1.0</v>
      </c>
      <c r="F176" s="4">
        <v>11.0</v>
      </c>
      <c r="G176" s="4">
        <v>13.0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>
        <v>2024.0</v>
      </c>
      <c r="B177" s="5" t="s">
        <v>29</v>
      </c>
      <c r="C177" s="5" t="s">
        <v>19</v>
      </c>
      <c r="D177" s="4">
        <v>9.0</v>
      </c>
      <c r="E177" s="4">
        <v>9.0</v>
      </c>
      <c r="F177" s="4">
        <v>51.0</v>
      </c>
      <c r="G177" s="4">
        <v>69.0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>
        <v>2024.0</v>
      </c>
      <c r="B178" s="5" t="s">
        <v>29</v>
      </c>
      <c r="C178" s="5" t="s">
        <v>20</v>
      </c>
      <c r="D178" s="4">
        <v>9.0</v>
      </c>
      <c r="E178" s="4">
        <v>6.0</v>
      </c>
      <c r="F178" s="4">
        <v>16.0</v>
      </c>
      <c r="G178" s="4">
        <v>31.0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>
        <v>2024.0</v>
      </c>
      <c r="B179" s="5" t="s">
        <v>29</v>
      </c>
      <c r="C179" s="5" t="s">
        <v>21</v>
      </c>
      <c r="D179" s="4">
        <v>0.0</v>
      </c>
      <c r="E179" s="4">
        <v>0.0</v>
      </c>
      <c r="F179" s="4">
        <v>1.0</v>
      </c>
      <c r="G179" s="4">
        <v>1.0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>
        <v>2024.0</v>
      </c>
      <c r="B180" s="5" t="s">
        <v>29</v>
      </c>
      <c r="C180" s="5" t="s">
        <v>22</v>
      </c>
      <c r="D180" s="4">
        <v>2.0</v>
      </c>
      <c r="E180" s="4">
        <v>3.0</v>
      </c>
      <c r="F180" s="4">
        <v>15.0</v>
      </c>
      <c r="G180" s="4">
        <v>20.0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>
        <v>2024.0</v>
      </c>
      <c r="B181" s="5" t="s">
        <v>29</v>
      </c>
      <c r="C181" s="5" t="s">
        <v>23</v>
      </c>
      <c r="D181" s="4">
        <v>0.0</v>
      </c>
      <c r="E181" s="4">
        <v>0.0</v>
      </c>
      <c r="F181" s="4">
        <v>1.0</v>
      </c>
      <c r="G181" s="4">
        <v>1.0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</sheetData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2025.0</v>
      </c>
      <c r="B2" s="5" t="s">
        <v>11</v>
      </c>
      <c r="C2" s="5" t="s">
        <v>7</v>
      </c>
      <c r="D2" s="4">
        <v>1.0</v>
      </c>
      <c r="E2" s="4">
        <v>0.0</v>
      </c>
      <c r="F2" s="4">
        <v>2.0</v>
      </c>
      <c r="G2" s="4">
        <v>3.0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2025.0</v>
      </c>
      <c r="B3" s="5" t="s">
        <v>11</v>
      </c>
      <c r="C3" s="5" t="s">
        <v>33</v>
      </c>
      <c r="D3" s="4">
        <v>4.0</v>
      </c>
      <c r="E3" s="4">
        <v>4.0</v>
      </c>
      <c r="F3" s="4">
        <v>8.0</v>
      </c>
      <c r="G3" s="4">
        <v>16.0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2025.0</v>
      </c>
      <c r="B4" s="5" t="s">
        <v>11</v>
      </c>
      <c r="C4" s="5" t="s">
        <v>8</v>
      </c>
      <c r="D4" s="4">
        <v>0.0</v>
      </c>
      <c r="E4" s="4">
        <v>0.0</v>
      </c>
      <c r="F4" s="4">
        <v>0.0</v>
      </c>
      <c r="G4" s="4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2025.0</v>
      </c>
      <c r="B5" s="5" t="s">
        <v>11</v>
      </c>
      <c r="C5" s="5" t="s">
        <v>9</v>
      </c>
      <c r="D5" s="4">
        <v>2.0</v>
      </c>
      <c r="E5" s="4">
        <v>2.0</v>
      </c>
      <c r="F5" s="4">
        <v>12.0</v>
      </c>
      <c r="G5" s="4">
        <v>16.0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2025.0</v>
      </c>
      <c r="B6" s="5" t="s">
        <v>11</v>
      </c>
      <c r="C6" s="5" t="s">
        <v>10</v>
      </c>
      <c r="D6" s="4">
        <v>948.0</v>
      </c>
      <c r="E6" s="4">
        <v>812.0</v>
      </c>
      <c r="F6" s="4">
        <v>2914.0</v>
      </c>
      <c r="G6" s="4">
        <v>4674.0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2025.0</v>
      </c>
      <c r="B7" s="5" t="s">
        <v>11</v>
      </c>
      <c r="C7" s="5" t="s">
        <v>12</v>
      </c>
      <c r="D7" s="4">
        <v>3.0</v>
      </c>
      <c r="E7" s="4">
        <v>2.0</v>
      </c>
      <c r="F7" s="4">
        <v>16.0</v>
      </c>
      <c r="G7" s="4">
        <v>21.0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2025.0</v>
      </c>
      <c r="B8" s="5" t="s">
        <v>11</v>
      </c>
      <c r="C8" s="5" t="s">
        <v>15</v>
      </c>
      <c r="D8" s="4">
        <v>187.0</v>
      </c>
      <c r="E8" s="4">
        <v>159.0</v>
      </c>
      <c r="F8" s="4">
        <v>694.0</v>
      </c>
      <c r="G8" s="4">
        <v>1040.0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2025.0</v>
      </c>
      <c r="B9" s="5" t="s">
        <v>11</v>
      </c>
      <c r="C9" s="5" t="s">
        <v>16</v>
      </c>
      <c r="D9" s="4">
        <v>1.0</v>
      </c>
      <c r="E9" s="4">
        <v>0.0</v>
      </c>
      <c r="F9" s="4">
        <v>6.0</v>
      </c>
      <c r="G9" s="4">
        <v>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2025.0</v>
      </c>
      <c r="B10" s="5" t="s">
        <v>11</v>
      </c>
      <c r="C10" s="5" t="s">
        <v>14</v>
      </c>
      <c r="D10" s="4">
        <v>872.0</v>
      </c>
      <c r="E10" s="4">
        <v>804.0</v>
      </c>
      <c r="F10" s="4">
        <v>2984.0</v>
      </c>
      <c r="G10" s="4">
        <v>4660.0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2025.0</v>
      </c>
      <c r="B11" s="5" t="s">
        <v>11</v>
      </c>
      <c r="C11" s="5" t="s">
        <v>17</v>
      </c>
      <c r="D11" s="4">
        <v>1.0</v>
      </c>
      <c r="E11" s="4">
        <v>2.0</v>
      </c>
      <c r="F11" s="4">
        <v>13.0</v>
      </c>
      <c r="G11" s="4">
        <v>16.0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2025.0</v>
      </c>
      <c r="B12" s="5" t="s">
        <v>11</v>
      </c>
      <c r="C12" s="5" t="s">
        <v>19</v>
      </c>
      <c r="D12" s="4">
        <v>11.0</v>
      </c>
      <c r="E12" s="4">
        <v>10.0</v>
      </c>
      <c r="F12" s="4">
        <v>54.0</v>
      </c>
      <c r="G12" s="4">
        <v>75.0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2025.0</v>
      </c>
      <c r="B13" s="5" t="s">
        <v>11</v>
      </c>
      <c r="C13" s="5" t="s">
        <v>20</v>
      </c>
      <c r="D13" s="4">
        <v>10.0</v>
      </c>
      <c r="E13" s="4">
        <v>7.0</v>
      </c>
      <c r="F13" s="4">
        <v>17.0</v>
      </c>
      <c r="G13" s="4">
        <v>34.0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2025.0</v>
      </c>
      <c r="B14" s="5" t="s">
        <v>11</v>
      </c>
      <c r="C14" s="5" t="s">
        <v>21</v>
      </c>
      <c r="D14" s="4">
        <v>0.0</v>
      </c>
      <c r="E14" s="4">
        <v>0.0</v>
      </c>
      <c r="F14" s="4">
        <v>1.0</v>
      </c>
      <c r="G14" s="4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2025.0</v>
      </c>
      <c r="B15" s="5" t="s">
        <v>11</v>
      </c>
      <c r="C15" s="5" t="s">
        <v>22</v>
      </c>
      <c r="D15" s="4">
        <v>3.0</v>
      </c>
      <c r="E15" s="4">
        <v>4.0</v>
      </c>
      <c r="F15" s="4">
        <v>17.0</v>
      </c>
      <c r="G15" s="4">
        <v>24.0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2025.0</v>
      </c>
      <c r="B16" s="5" t="s">
        <v>11</v>
      </c>
      <c r="C16" s="5" t="s">
        <v>23</v>
      </c>
      <c r="D16" s="4">
        <v>0.0</v>
      </c>
      <c r="E16" s="4">
        <v>0.0</v>
      </c>
      <c r="F16" s="4">
        <v>2.0</v>
      </c>
      <c r="G16" s="4">
        <v>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2025.0</v>
      </c>
      <c r="B17" s="5" t="s">
        <v>24</v>
      </c>
      <c r="C17" s="5" t="s">
        <v>7</v>
      </c>
      <c r="D17" s="4">
        <v>1.0</v>
      </c>
      <c r="E17" s="4">
        <v>0.0</v>
      </c>
      <c r="F17" s="4">
        <v>2.0</v>
      </c>
      <c r="G17" s="4">
        <v>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2025.0</v>
      </c>
      <c r="B18" s="5" t="s">
        <v>24</v>
      </c>
      <c r="C18" s="5" t="s">
        <v>33</v>
      </c>
      <c r="D18" s="4">
        <v>3.0</v>
      </c>
      <c r="E18" s="4">
        <v>4.0</v>
      </c>
      <c r="F18" s="4">
        <v>7.0</v>
      </c>
      <c r="G18" s="4">
        <v>14.0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2025.0</v>
      </c>
      <c r="B19" s="5" t="s">
        <v>24</v>
      </c>
      <c r="C19" s="5" t="s">
        <v>8</v>
      </c>
      <c r="D19" s="4">
        <v>0.0</v>
      </c>
      <c r="E19" s="4">
        <v>0.0</v>
      </c>
      <c r="F19" s="4">
        <v>0.0</v>
      </c>
      <c r="G19" s="4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2025.0</v>
      </c>
      <c r="B20" s="5" t="s">
        <v>24</v>
      </c>
      <c r="C20" s="5" t="s">
        <v>9</v>
      </c>
      <c r="D20" s="4">
        <v>2.0</v>
      </c>
      <c r="E20" s="4">
        <v>2.0</v>
      </c>
      <c r="F20" s="4">
        <v>12.0</v>
      </c>
      <c r="G20" s="4">
        <v>16.0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2025.0</v>
      </c>
      <c r="B21" s="5" t="s">
        <v>24</v>
      </c>
      <c r="C21" s="5" t="s">
        <v>10</v>
      </c>
      <c r="D21" s="4">
        <v>948.0</v>
      </c>
      <c r="E21" s="4">
        <v>812.0</v>
      </c>
      <c r="F21" s="4">
        <v>2914.0</v>
      </c>
      <c r="G21" s="4">
        <v>4674.0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2025.0</v>
      </c>
      <c r="B22" s="5" t="s">
        <v>24</v>
      </c>
      <c r="C22" s="5" t="s">
        <v>12</v>
      </c>
      <c r="D22" s="4">
        <v>3.0</v>
      </c>
      <c r="E22" s="4">
        <v>2.0</v>
      </c>
      <c r="F22" s="4">
        <v>16.0</v>
      </c>
      <c r="G22" s="4">
        <v>21.0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2025.0</v>
      </c>
      <c r="B23" s="5" t="s">
        <v>24</v>
      </c>
      <c r="C23" s="5" t="s">
        <v>15</v>
      </c>
      <c r="D23" s="4">
        <v>187.0</v>
      </c>
      <c r="E23" s="4">
        <v>159.0</v>
      </c>
      <c r="F23" s="4">
        <v>694.0</v>
      </c>
      <c r="G23" s="4">
        <v>1040.0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2025.0</v>
      </c>
      <c r="B24" s="5" t="s">
        <v>24</v>
      </c>
      <c r="C24" s="5" t="s">
        <v>16</v>
      </c>
      <c r="D24" s="4">
        <v>1.0</v>
      </c>
      <c r="E24" s="4">
        <v>0.0</v>
      </c>
      <c r="F24" s="4">
        <v>6.0</v>
      </c>
      <c r="G24" s="4">
        <v>7.0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2025.0</v>
      </c>
      <c r="B25" s="5" t="s">
        <v>24</v>
      </c>
      <c r="C25" s="5" t="s">
        <v>14</v>
      </c>
      <c r="D25" s="4">
        <v>872.0</v>
      </c>
      <c r="E25" s="4">
        <v>804.0</v>
      </c>
      <c r="F25" s="4">
        <v>2984.0</v>
      </c>
      <c r="G25" s="4">
        <v>4660.0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2025.0</v>
      </c>
      <c r="B26" s="5" t="s">
        <v>24</v>
      </c>
      <c r="C26" s="5" t="s">
        <v>17</v>
      </c>
      <c r="D26" s="4">
        <v>1.0</v>
      </c>
      <c r="E26" s="4">
        <v>2.0</v>
      </c>
      <c r="F26" s="4">
        <v>13.0</v>
      </c>
      <c r="G26" s="4">
        <v>16.0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2025.0</v>
      </c>
      <c r="B27" s="5" t="s">
        <v>24</v>
      </c>
      <c r="C27" s="5" t="s">
        <v>19</v>
      </c>
      <c r="D27" s="4">
        <v>11.0</v>
      </c>
      <c r="E27" s="4">
        <v>10.0</v>
      </c>
      <c r="F27" s="4">
        <v>54.0</v>
      </c>
      <c r="G27" s="4">
        <v>75.0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2025.0</v>
      </c>
      <c r="B28" s="5" t="s">
        <v>24</v>
      </c>
      <c r="C28" s="5" t="s">
        <v>20</v>
      </c>
      <c r="D28" s="4">
        <v>10.0</v>
      </c>
      <c r="E28" s="4">
        <v>7.0</v>
      </c>
      <c r="F28" s="4">
        <v>17.0</v>
      </c>
      <c r="G28" s="4">
        <v>34.0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2025.0</v>
      </c>
      <c r="B29" s="5" t="s">
        <v>24</v>
      </c>
      <c r="C29" s="5" t="s">
        <v>21</v>
      </c>
      <c r="D29" s="4">
        <v>0.0</v>
      </c>
      <c r="E29" s="4">
        <v>0.0</v>
      </c>
      <c r="F29" s="4">
        <v>1.0</v>
      </c>
      <c r="G29" s="4">
        <v>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2025.0</v>
      </c>
      <c r="B30" s="5" t="s">
        <v>24</v>
      </c>
      <c r="C30" s="5" t="s">
        <v>22</v>
      </c>
      <c r="D30" s="4">
        <v>3.0</v>
      </c>
      <c r="E30" s="4">
        <v>4.0</v>
      </c>
      <c r="F30" s="4">
        <v>17.0</v>
      </c>
      <c r="G30" s="4">
        <v>24.0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2025.0</v>
      </c>
      <c r="B31" s="5" t="s">
        <v>24</v>
      </c>
      <c r="C31" s="5" t="s">
        <v>23</v>
      </c>
      <c r="D31" s="4">
        <v>0.0</v>
      </c>
      <c r="E31" s="4">
        <v>0.0</v>
      </c>
      <c r="F31" s="4">
        <v>2.0</v>
      </c>
      <c r="G31" s="4">
        <v>2.0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2025.0</v>
      </c>
      <c r="B32" s="5" t="s">
        <v>26</v>
      </c>
      <c r="C32" s="5" t="s">
        <v>7</v>
      </c>
      <c r="D32" s="4">
        <v>1.0</v>
      </c>
      <c r="E32" s="4">
        <v>0.0</v>
      </c>
      <c r="F32" s="4">
        <v>2.0</v>
      </c>
      <c r="G32" s="4">
        <v>3.0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2025.0</v>
      </c>
      <c r="B33" s="5" t="s">
        <v>26</v>
      </c>
      <c r="C33" s="5" t="s">
        <v>33</v>
      </c>
      <c r="D33" s="4">
        <v>4.0</v>
      </c>
      <c r="E33" s="4">
        <v>4.0</v>
      </c>
      <c r="F33" s="4">
        <v>9.0</v>
      </c>
      <c r="G33" s="4">
        <v>17.0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2025.0</v>
      </c>
      <c r="B34" s="5" t="s">
        <v>26</v>
      </c>
      <c r="C34" s="5" t="s">
        <v>8</v>
      </c>
      <c r="D34" s="4">
        <v>0.0</v>
      </c>
      <c r="E34" s="4">
        <v>0.0</v>
      </c>
      <c r="F34" s="4">
        <v>0.0</v>
      </c>
      <c r="G34" s="4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2025.0</v>
      </c>
      <c r="B35" s="5" t="s">
        <v>26</v>
      </c>
      <c r="C35" s="5" t="s">
        <v>9</v>
      </c>
      <c r="D35" s="4">
        <v>2.0</v>
      </c>
      <c r="E35" s="4">
        <v>2.0</v>
      </c>
      <c r="F35" s="4">
        <v>12.0</v>
      </c>
      <c r="G35" s="4">
        <v>16.0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2025.0</v>
      </c>
      <c r="B36" s="5" t="s">
        <v>26</v>
      </c>
      <c r="C36" s="5" t="s">
        <v>10</v>
      </c>
      <c r="D36" s="4">
        <v>948.0</v>
      </c>
      <c r="E36" s="4">
        <v>812.0</v>
      </c>
      <c r="F36" s="4">
        <v>2914.0</v>
      </c>
      <c r="G36" s="4">
        <v>4674.0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2025.0</v>
      </c>
      <c r="B37" s="5" t="s">
        <v>26</v>
      </c>
      <c r="C37" s="5" t="s">
        <v>12</v>
      </c>
      <c r="D37" s="4">
        <v>3.0</v>
      </c>
      <c r="E37" s="4">
        <v>2.0</v>
      </c>
      <c r="F37" s="4">
        <v>16.0</v>
      </c>
      <c r="G37" s="4">
        <v>21.0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2025.0</v>
      </c>
      <c r="B38" s="5" t="s">
        <v>26</v>
      </c>
      <c r="C38" s="5" t="s">
        <v>15</v>
      </c>
      <c r="D38" s="4">
        <v>187.0</v>
      </c>
      <c r="E38" s="4">
        <v>159.0</v>
      </c>
      <c r="F38" s="4">
        <v>694.0</v>
      </c>
      <c r="G38" s="4">
        <v>1040.0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2025.0</v>
      </c>
      <c r="B39" s="5" t="s">
        <v>26</v>
      </c>
      <c r="C39" s="5" t="s">
        <v>16</v>
      </c>
      <c r="D39" s="4">
        <v>1.0</v>
      </c>
      <c r="E39" s="4">
        <v>0.0</v>
      </c>
      <c r="F39" s="4">
        <v>6.0</v>
      </c>
      <c r="G39" s="4">
        <v>7.0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2025.0</v>
      </c>
      <c r="B40" s="5" t="s">
        <v>26</v>
      </c>
      <c r="C40" s="5" t="s">
        <v>14</v>
      </c>
      <c r="D40" s="4">
        <v>872.0</v>
      </c>
      <c r="E40" s="4">
        <v>804.0</v>
      </c>
      <c r="F40" s="4">
        <v>2984.0</v>
      </c>
      <c r="G40" s="4">
        <v>4660.0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2025.0</v>
      </c>
      <c r="B41" s="5" t="s">
        <v>26</v>
      </c>
      <c r="C41" s="5" t="s">
        <v>17</v>
      </c>
      <c r="D41" s="4">
        <v>1.0</v>
      </c>
      <c r="E41" s="4">
        <v>2.0</v>
      </c>
      <c r="F41" s="4">
        <v>13.0</v>
      </c>
      <c r="G41" s="4">
        <v>16.0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2025.0</v>
      </c>
      <c r="B42" s="5" t="s">
        <v>26</v>
      </c>
      <c r="C42" s="5" t="s">
        <v>19</v>
      </c>
      <c r="D42" s="4">
        <v>11.0</v>
      </c>
      <c r="E42" s="4">
        <v>10.0</v>
      </c>
      <c r="F42" s="4">
        <v>54.0</v>
      </c>
      <c r="G42" s="4">
        <v>75.0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2025.0</v>
      </c>
      <c r="B43" s="5" t="s">
        <v>26</v>
      </c>
      <c r="C43" s="5" t="s">
        <v>20</v>
      </c>
      <c r="D43" s="4">
        <v>10.0</v>
      </c>
      <c r="E43" s="4">
        <v>7.0</v>
      </c>
      <c r="F43" s="4">
        <v>17.0</v>
      </c>
      <c r="G43" s="4">
        <v>34.0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2025.0</v>
      </c>
      <c r="B44" s="5" t="s">
        <v>26</v>
      </c>
      <c r="C44" s="5" t="s">
        <v>21</v>
      </c>
      <c r="D44" s="4">
        <v>0.0</v>
      </c>
      <c r="E44" s="4">
        <v>0.0</v>
      </c>
      <c r="F44" s="4">
        <v>1.0</v>
      </c>
      <c r="G44" s="4">
        <v>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2025.0</v>
      </c>
      <c r="B45" s="5" t="s">
        <v>26</v>
      </c>
      <c r="C45" s="5" t="s">
        <v>22</v>
      </c>
      <c r="D45" s="4">
        <v>3.0</v>
      </c>
      <c r="E45" s="4">
        <v>4.0</v>
      </c>
      <c r="F45" s="4">
        <v>17.0</v>
      </c>
      <c r="G45" s="4">
        <v>24.0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2025.0</v>
      </c>
      <c r="B46" s="5" t="s">
        <v>26</v>
      </c>
      <c r="C46" s="5" t="s">
        <v>23</v>
      </c>
      <c r="D46" s="4">
        <v>0.0</v>
      </c>
      <c r="E46" s="4">
        <v>0.0</v>
      </c>
      <c r="F46" s="4">
        <v>2.0</v>
      </c>
      <c r="G46" s="4">
        <v>2.0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2025.0</v>
      </c>
      <c r="B47" s="5" t="s">
        <v>13</v>
      </c>
      <c r="C47" s="5" t="s">
        <v>7</v>
      </c>
      <c r="D47" s="4">
        <v>1.0</v>
      </c>
      <c r="E47" s="4">
        <v>0.0</v>
      </c>
      <c r="F47" s="4">
        <v>2.0</v>
      </c>
      <c r="G47" s="4">
        <v>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2025.0</v>
      </c>
      <c r="B48" s="5" t="s">
        <v>13</v>
      </c>
      <c r="C48" s="5" t="s">
        <v>33</v>
      </c>
      <c r="D48" s="4">
        <v>3.0</v>
      </c>
      <c r="E48" s="4">
        <v>3.0</v>
      </c>
      <c r="F48" s="4">
        <v>6.0</v>
      </c>
      <c r="G48" s="4">
        <v>12.0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2025.0</v>
      </c>
      <c r="B49" s="5" t="s">
        <v>13</v>
      </c>
      <c r="C49" s="5" t="s">
        <v>8</v>
      </c>
      <c r="D49" s="4">
        <v>0.0</v>
      </c>
      <c r="E49" s="4">
        <v>0.0</v>
      </c>
      <c r="F49" s="4">
        <v>0.0</v>
      </c>
      <c r="G49" s="4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2025.0</v>
      </c>
      <c r="B50" s="5" t="s">
        <v>13</v>
      </c>
      <c r="C50" s="5" t="s">
        <v>9</v>
      </c>
      <c r="D50" s="4">
        <v>1.0</v>
      </c>
      <c r="E50" s="4">
        <v>1.0</v>
      </c>
      <c r="F50" s="4">
        <v>11.0</v>
      </c>
      <c r="G50" s="4">
        <v>13.0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2025.0</v>
      </c>
      <c r="B51" s="5" t="s">
        <v>13</v>
      </c>
      <c r="C51" s="5" t="s">
        <v>10</v>
      </c>
      <c r="D51" s="4">
        <v>912.0</v>
      </c>
      <c r="E51" s="4">
        <v>784.0</v>
      </c>
      <c r="F51" s="4">
        <v>2814.0</v>
      </c>
      <c r="G51" s="4">
        <v>4510.0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>
        <v>2025.0</v>
      </c>
      <c r="B52" s="5" t="s">
        <v>13</v>
      </c>
      <c r="C52" s="5" t="s">
        <v>12</v>
      </c>
      <c r="D52" s="4">
        <v>2.0</v>
      </c>
      <c r="E52" s="4">
        <v>2.0</v>
      </c>
      <c r="F52" s="4">
        <v>14.0</v>
      </c>
      <c r="G52" s="4">
        <v>18.0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>
        <v>2025.0</v>
      </c>
      <c r="B53" s="5" t="s">
        <v>13</v>
      </c>
      <c r="C53" s="5" t="s">
        <v>15</v>
      </c>
      <c r="D53" s="4">
        <v>178.0</v>
      </c>
      <c r="E53" s="4">
        <v>151.0</v>
      </c>
      <c r="F53" s="4">
        <v>654.0</v>
      </c>
      <c r="G53" s="4">
        <v>983.0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>
        <v>2025.0</v>
      </c>
      <c r="B54" s="5" t="s">
        <v>13</v>
      </c>
      <c r="C54" s="5" t="s">
        <v>16</v>
      </c>
      <c r="D54" s="4">
        <v>1.0</v>
      </c>
      <c r="E54" s="4">
        <v>0.0</v>
      </c>
      <c r="F54" s="4">
        <v>5.0</v>
      </c>
      <c r="G54" s="4">
        <v>6.0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>
        <v>2025.0</v>
      </c>
      <c r="B55" s="5" t="s">
        <v>13</v>
      </c>
      <c r="C55" s="5" t="s">
        <v>14</v>
      </c>
      <c r="D55" s="4">
        <v>842.0</v>
      </c>
      <c r="E55" s="4">
        <v>771.0</v>
      </c>
      <c r="F55" s="4">
        <v>2884.0</v>
      </c>
      <c r="G55" s="4">
        <v>4497.0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>
        <v>2025.0</v>
      </c>
      <c r="B56" s="5" t="s">
        <v>13</v>
      </c>
      <c r="C56" s="5" t="s">
        <v>17</v>
      </c>
      <c r="D56" s="4">
        <v>1.0</v>
      </c>
      <c r="E56" s="4">
        <v>1.0</v>
      </c>
      <c r="F56" s="4">
        <v>11.0</v>
      </c>
      <c r="G56" s="4">
        <v>13.0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>
        <v>2025.0</v>
      </c>
      <c r="B57" s="5" t="s">
        <v>13</v>
      </c>
      <c r="C57" s="5" t="s">
        <v>19</v>
      </c>
      <c r="D57" s="4">
        <v>9.0</v>
      </c>
      <c r="E57" s="4">
        <v>9.0</v>
      </c>
      <c r="F57" s="4">
        <v>51.0</v>
      </c>
      <c r="G57" s="4">
        <v>69.0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>
        <v>2025.0</v>
      </c>
      <c r="B58" s="5" t="s">
        <v>13</v>
      </c>
      <c r="C58" s="5" t="s">
        <v>20</v>
      </c>
      <c r="D58" s="4">
        <v>9.0</v>
      </c>
      <c r="E58" s="4">
        <v>6.0</v>
      </c>
      <c r="F58" s="4">
        <v>16.0</v>
      </c>
      <c r="G58" s="4">
        <v>31.0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>
        <v>2025.0</v>
      </c>
      <c r="B59" s="5" t="s">
        <v>13</v>
      </c>
      <c r="C59" s="5" t="s">
        <v>21</v>
      </c>
      <c r="D59" s="4">
        <v>0.0</v>
      </c>
      <c r="E59" s="4">
        <v>0.0</v>
      </c>
      <c r="F59" s="4">
        <v>1.0</v>
      </c>
      <c r="G59" s="4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2025.0</v>
      </c>
      <c r="B60" s="5" t="s">
        <v>13</v>
      </c>
      <c r="C60" s="5" t="s">
        <v>22</v>
      </c>
      <c r="D60" s="4">
        <v>2.0</v>
      </c>
      <c r="E60" s="4">
        <v>3.0</v>
      </c>
      <c r="F60" s="4">
        <v>15.0</v>
      </c>
      <c r="G60" s="4">
        <v>20.0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2025.0</v>
      </c>
      <c r="B61" s="5" t="s">
        <v>13</v>
      </c>
      <c r="C61" s="5" t="s">
        <v>23</v>
      </c>
      <c r="D61" s="4">
        <v>0.0</v>
      </c>
      <c r="E61" s="4">
        <v>0.0</v>
      </c>
      <c r="F61" s="4">
        <v>1.0</v>
      </c>
      <c r="G61" s="4">
        <v>1.0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4">
        <v>2025.0</v>
      </c>
      <c r="B62" s="5" t="s">
        <v>30</v>
      </c>
      <c r="C62" s="5" t="s">
        <v>7</v>
      </c>
      <c r="D62" s="4">
        <v>2.0</v>
      </c>
      <c r="E62" s="4">
        <v>1.0</v>
      </c>
      <c r="F62" s="4">
        <v>3.0</v>
      </c>
      <c r="G62" s="4">
        <v>6.0</v>
      </c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4">
        <v>2025.0</v>
      </c>
      <c r="B63" s="5" t="s">
        <v>30</v>
      </c>
      <c r="C63" s="5" t="s">
        <v>33</v>
      </c>
      <c r="D63" s="4">
        <v>4.0</v>
      </c>
      <c r="E63" s="4">
        <v>4.0</v>
      </c>
      <c r="F63" s="4">
        <v>8.0</v>
      </c>
      <c r="G63" s="4">
        <v>16.0</v>
      </c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4">
        <v>2025.0</v>
      </c>
      <c r="B64" s="5" t="s">
        <v>30</v>
      </c>
      <c r="C64" s="5" t="s">
        <v>8</v>
      </c>
      <c r="D64" s="4">
        <v>0.0</v>
      </c>
      <c r="E64" s="4">
        <v>0.0</v>
      </c>
      <c r="F64" s="4">
        <v>0.0</v>
      </c>
      <c r="G64" s="4">
        <v>0.0</v>
      </c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4">
        <v>2025.0</v>
      </c>
      <c r="B65" s="5" t="s">
        <v>30</v>
      </c>
      <c r="C65" s="5" t="s">
        <v>9</v>
      </c>
      <c r="D65" s="4">
        <v>2.0</v>
      </c>
      <c r="E65" s="4">
        <v>2.0</v>
      </c>
      <c r="F65" s="4">
        <v>13.0</v>
      </c>
      <c r="G65" s="4">
        <v>17.0</v>
      </c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4">
        <v>2025.0</v>
      </c>
      <c r="B66" s="5" t="s">
        <v>30</v>
      </c>
      <c r="C66" s="5" t="s">
        <v>10</v>
      </c>
      <c r="D66" s="4">
        <v>1014.0</v>
      </c>
      <c r="E66" s="4">
        <v>864.0</v>
      </c>
      <c r="F66" s="4">
        <v>3118.0</v>
      </c>
      <c r="G66" s="4">
        <v>4996.0</v>
      </c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4">
        <v>2025.0</v>
      </c>
      <c r="B67" s="5" t="s">
        <v>30</v>
      </c>
      <c r="C67" s="5" t="s">
        <v>12</v>
      </c>
      <c r="D67" s="4">
        <v>3.0</v>
      </c>
      <c r="E67" s="4">
        <v>2.0</v>
      </c>
      <c r="F67" s="4">
        <v>18.0</v>
      </c>
      <c r="G67" s="4">
        <v>23.0</v>
      </c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4">
        <v>2025.0</v>
      </c>
      <c r="B68" s="5" t="s">
        <v>30</v>
      </c>
      <c r="C68" s="5" t="s">
        <v>15</v>
      </c>
      <c r="D68" s="4">
        <v>198.0</v>
      </c>
      <c r="E68" s="4">
        <v>168.0</v>
      </c>
      <c r="F68" s="4">
        <v>724.0</v>
      </c>
      <c r="G68" s="4">
        <v>1090.0</v>
      </c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4">
        <v>2025.0</v>
      </c>
      <c r="B69" s="5" t="s">
        <v>30</v>
      </c>
      <c r="C69" s="5" t="s">
        <v>16</v>
      </c>
      <c r="D69" s="4">
        <v>1.0</v>
      </c>
      <c r="E69" s="4">
        <v>1.0</v>
      </c>
      <c r="F69" s="4">
        <v>7.0</v>
      </c>
      <c r="G69" s="4">
        <v>9.0</v>
      </c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4">
        <v>2025.0</v>
      </c>
      <c r="B70" s="5" t="s">
        <v>30</v>
      </c>
      <c r="C70" s="5" t="s">
        <v>14</v>
      </c>
      <c r="D70" s="4">
        <v>948.0</v>
      </c>
      <c r="E70" s="4">
        <v>852.0</v>
      </c>
      <c r="F70" s="4">
        <v>3214.0</v>
      </c>
      <c r="G70" s="4">
        <v>5014.0</v>
      </c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4">
        <v>2025.0</v>
      </c>
      <c r="B71" s="5" t="s">
        <v>30</v>
      </c>
      <c r="C71" s="5" t="s">
        <v>17</v>
      </c>
      <c r="D71" s="4">
        <v>1.0</v>
      </c>
      <c r="E71" s="4">
        <v>2.0</v>
      </c>
      <c r="F71" s="4">
        <v>13.0</v>
      </c>
      <c r="G71" s="4">
        <v>16.0</v>
      </c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4">
        <v>2025.0</v>
      </c>
      <c r="B72" s="5" t="s">
        <v>30</v>
      </c>
      <c r="C72" s="5" t="s">
        <v>19</v>
      </c>
      <c r="D72" s="4">
        <v>11.0</v>
      </c>
      <c r="E72" s="4">
        <v>11.0</v>
      </c>
      <c r="F72" s="4">
        <v>62.0</v>
      </c>
      <c r="G72" s="4">
        <v>84.0</v>
      </c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4">
        <v>2025.0</v>
      </c>
      <c r="B73" s="5" t="s">
        <v>30</v>
      </c>
      <c r="C73" s="5" t="s">
        <v>20</v>
      </c>
      <c r="D73" s="4">
        <v>10.0</v>
      </c>
      <c r="E73" s="4">
        <v>7.0</v>
      </c>
      <c r="F73" s="4">
        <v>19.0</v>
      </c>
      <c r="G73" s="4">
        <v>36.0</v>
      </c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4">
        <v>2025.0</v>
      </c>
      <c r="B74" s="5" t="s">
        <v>30</v>
      </c>
      <c r="C74" s="5" t="s">
        <v>21</v>
      </c>
      <c r="D74" s="4">
        <v>1.0</v>
      </c>
      <c r="E74" s="4">
        <v>0.0</v>
      </c>
      <c r="F74" s="4">
        <v>1.0</v>
      </c>
      <c r="G74" s="4">
        <v>2.0</v>
      </c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4">
        <v>2025.0</v>
      </c>
      <c r="B75" s="5" t="s">
        <v>30</v>
      </c>
      <c r="C75" s="5" t="s">
        <v>22</v>
      </c>
      <c r="D75" s="4">
        <v>3.0</v>
      </c>
      <c r="E75" s="4">
        <v>4.0</v>
      </c>
      <c r="F75" s="4">
        <v>18.0</v>
      </c>
      <c r="G75" s="4">
        <v>25.0</v>
      </c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4">
        <v>2025.0</v>
      </c>
      <c r="B76" s="5" t="s">
        <v>30</v>
      </c>
      <c r="C76" s="5" t="s">
        <v>23</v>
      </c>
      <c r="D76" s="4">
        <v>0.0</v>
      </c>
      <c r="E76" s="4">
        <v>1.0</v>
      </c>
      <c r="F76" s="4">
        <v>2.0</v>
      </c>
      <c r="G76" s="4">
        <v>3.0</v>
      </c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4">
        <v>2025.0</v>
      </c>
      <c r="B77" s="5" t="s">
        <v>28</v>
      </c>
      <c r="C77" s="5" t="s">
        <v>7</v>
      </c>
      <c r="D77" s="4">
        <v>1.0</v>
      </c>
      <c r="E77" s="4">
        <v>0.0</v>
      </c>
      <c r="F77" s="4">
        <v>2.0</v>
      </c>
      <c r="G77" s="4">
        <v>3.0</v>
      </c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4">
        <v>2025.0</v>
      </c>
      <c r="B78" s="5" t="s">
        <v>28</v>
      </c>
      <c r="C78" s="5" t="s">
        <v>33</v>
      </c>
      <c r="D78" s="4">
        <v>3.0</v>
      </c>
      <c r="E78" s="4">
        <v>3.0</v>
      </c>
      <c r="F78" s="4">
        <v>6.0</v>
      </c>
      <c r="G78" s="4">
        <v>12.0</v>
      </c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4">
        <v>2025.0</v>
      </c>
      <c r="B79" s="5" t="s">
        <v>28</v>
      </c>
      <c r="C79" s="5" t="s">
        <v>8</v>
      </c>
      <c r="D79" s="4">
        <v>0.0</v>
      </c>
      <c r="E79" s="4">
        <v>0.0</v>
      </c>
      <c r="F79" s="4">
        <v>0.0</v>
      </c>
      <c r="G79" s="4">
        <v>0.0</v>
      </c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4">
        <v>2025.0</v>
      </c>
      <c r="B80" s="5" t="s">
        <v>28</v>
      </c>
      <c r="C80" s="5" t="s">
        <v>9</v>
      </c>
      <c r="D80" s="4">
        <v>1.0</v>
      </c>
      <c r="E80" s="4">
        <v>2.0</v>
      </c>
      <c r="F80" s="4">
        <v>11.0</v>
      </c>
      <c r="G80" s="4">
        <v>14.0</v>
      </c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4">
        <v>2025.0</v>
      </c>
      <c r="B81" s="5" t="s">
        <v>28</v>
      </c>
      <c r="C81" s="5" t="s">
        <v>10</v>
      </c>
      <c r="D81" s="4">
        <v>842.0</v>
      </c>
      <c r="E81" s="4">
        <v>741.0</v>
      </c>
      <c r="F81" s="4">
        <v>2831.0</v>
      </c>
      <c r="G81" s="4">
        <v>4414.0</v>
      </c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4">
        <v>2025.0</v>
      </c>
      <c r="B82" s="5" t="s">
        <v>28</v>
      </c>
      <c r="C82" s="5" t="s">
        <v>12</v>
      </c>
      <c r="D82" s="4">
        <v>2.0</v>
      </c>
      <c r="E82" s="4">
        <v>2.0</v>
      </c>
      <c r="F82" s="4">
        <v>15.0</v>
      </c>
      <c r="G82" s="4">
        <v>19.0</v>
      </c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4">
        <v>2025.0</v>
      </c>
      <c r="B83" s="5" t="s">
        <v>28</v>
      </c>
      <c r="C83" s="5" t="s">
        <v>15</v>
      </c>
      <c r="D83" s="4">
        <v>172.0</v>
      </c>
      <c r="E83" s="4">
        <v>151.0</v>
      </c>
      <c r="F83" s="4">
        <v>649.0</v>
      </c>
      <c r="G83" s="4">
        <v>972.0</v>
      </c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4">
        <v>2025.0</v>
      </c>
      <c r="B84" s="5" t="s">
        <v>28</v>
      </c>
      <c r="C84" s="5" t="s">
        <v>16</v>
      </c>
      <c r="D84" s="4">
        <v>1.0</v>
      </c>
      <c r="E84" s="4">
        <v>0.0</v>
      </c>
      <c r="F84" s="4">
        <v>5.0</v>
      </c>
      <c r="G84" s="4">
        <v>6.0</v>
      </c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4">
        <v>2025.0</v>
      </c>
      <c r="B85" s="5" t="s">
        <v>28</v>
      </c>
      <c r="C85" s="5" t="s">
        <v>14</v>
      </c>
      <c r="D85" s="4">
        <v>811.0</v>
      </c>
      <c r="E85" s="4">
        <v>743.0</v>
      </c>
      <c r="F85" s="4">
        <v>2894.0</v>
      </c>
      <c r="G85" s="4">
        <v>4448.0</v>
      </c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4">
        <v>2025.0</v>
      </c>
      <c r="B86" s="5" t="s">
        <v>28</v>
      </c>
      <c r="C86" s="5" t="s">
        <v>17</v>
      </c>
      <c r="D86" s="4">
        <v>1.0</v>
      </c>
      <c r="E86" s="4">
        <v>2.0</v>
      </c>
      <c r="F86" s="4">
        <v>12.0</v>
      </c>
      <c r="G86" s="4">
        <v>15.0</v>
      </c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4">
        <v>2025.0</v>
      </c>
      <c r="B87" s="5" t="s">
        <v>28</v>
      </c>
      <c r="C87" s="5" t="s">
        <v>19</v>
      </c>
      <c r="D87" s="4">
        <v>9.0</v>
      </c>
      <c r="E87" s="4">
        <v>9.0</v>
      </c>
      <c r="F87" s="4">
        <v>51.0</v>
      </c>
      <c r="G87" s="4">
        <v>69.0</v>
      </c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4">
        <v>2025.0</v>
      </c>
      <c r="B88" s="5" t="s">
        <v>28</v>
      </c>
      <c r="C88" s="5" t="s">
        <v>20</v>
      </c>
      <c r="D88" s="4">
        <v>9.0</v>
      </c>
      <c r="E88" s="4">
        <v>6.0</v>
      </c>
      <c r="F88" s="4">
        <v>17.0</v>
      </c>
      <c r="G88" s="4">
        <v>32.0</v>
      </c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4">
        <v>2025.0</v>
      </c>
      <c r="B89" s="5" t="s">
        <v>28</v>
      </c>
      <c r="C89" s="5" t="s">
        <v>21</v>
      </c>
      <c r="D89" s="4">
        <v>0.0</v>
      </c>
      <c r="E89" s="4">
        <v>0.0</v>
      </c>
      <c r="F89" s="4">
        <v>1.0</v>
      </c>
      <c r="G89" s="4">
        <v>1.0</v>
      </c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4">
        <v>2025.0</v>
      </c>
      <c r="B90" s="5" t="s">
        <v>28</v>
      </c>
      <c r="C90" s="5" t="s">
        <v>22</v>
      </c>
      <c r="D90" s="4">
        <v>3.0</v>
      </c>
      <c r="E90" s="4">
        <v>4.0</v>
      </c>
      <c r="F90" s="4">
        <v>16.0</v>
      </c>
      <c r="G90" s="4">
        <v>23.0</v>
      </c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4">
        <v>2025.0</v>
      </c>
      <c r="B91" s="5" t="s">
        <v>28</v>
      </c>
      <c r="C91" s="5" t="s">
        <v>23</v>
      </c>
      <c r="D91" s="4">
        <v>0.0</v>
      </c>
      <c r="E91" s="4">
        <v>0.0</v>
      </c>
      <c r="F91" s="4">
        <v>2.0</v>
      </c>
      <c r="G91" s="4">
        <v>2.0</v>
      </c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4">
        <v>2025.0</v>
      </c>
      <c r="B92" s="5" t="s">
        <v>31</v>
      </c>
      <c r="C92" s="5" t="s">
        <v>7</v>
      </c>
      <c r="D92" s="4">
        <v>2.0</v>
      </c>
      <c r="E92" s="4">
        <v>0.0</v>
      </c>
      <c r="F92" s="4">
        <v>1.0</v>
      </c>
      <c r="G92" s="4">
        <v>3.0</v>
      </c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4">
        <v>2025.0</v>
      </c>
      <c r="B93" s="5" t="s">
        <v>31</v>
      </c>
      <c r="C93" s="5" t="s">
        <v>33</v>
      </c>
      <c r="D93" s="4">
        <v>3.0</v>
      </c>
      <c r="E93" s="4">
        <v>4.0</v>
      </c>
      <c r="F93" s="4">
        <v>7.0</v>
      </c>
      <c r="G93" s="4">
        <v>14.0</v>
      </c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4">
        <v>2025.0</v>
      </c>
      <c r="B94" s="5" t="s">
        <v>31</v>
      </c>
      <c r="C94" s="5" t="s">
        <v>8</v>
      </c>
      <c r="D94" s="4">
        <v>0.0</v>
      </c>
      <c r="E94" s="4">
        <v>0.0</v>
      </c>
      <c r="F94" s="4">
        <v>0.0</v>
      </c>
      <c r="G94" s="4">
        <v>0.0</v>
      </c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4">
        <v>2025.0</v>
      </c>
      <c r="B95" s="5" t="s">
        <v>31</v>
      </c>
      <c r="C95" s="5" t="s">
        <v>9</v>
      </c>
      <c r="D95" s="4">
        <v>2.0</v>
      </c>
      <c r="E95" s="4">
        <v>3.0</v>
      </c>
      <c r="F95" s="4">
        <v>12.0</v>
      </c>
      <c r="G95" s="4">
        <v>17.0</v>
      </c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4">
        <v>2025.0</v>
      </c>
      <c r="B96" s="5" t="s">
        <v>31</v>
      </c>
      <c r="C96" s="5" t="s">
        <v>10</v>
      </c>
      <c r="D96" s="4">
        <v>913.0</v>
      </c>
      <c r="E96" s="4">
        <v>805.0</v>
      </c>
      <c r="F96" s="4">
        <v>2914.0</v>
      </c>
      <c r="G96" s="4">
        <v>4632.0</v>
      </c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4">
        <v>2025.0</v>
      </c>
      <c r="B97" s="5" t="s">
        <v>31</v>
      </c>
      <c r="C97" s="5" t="s">
        <v>12</v>
      </c>
      <c r="D97" s="4">
        <v>3.0</v>
      </c>
      <c r="E97" s="4">
        <v>2.0</v>
      </c>
      <c r="F97" s="4">
        <v>17.0</v>
      </c>
      <c r="G97" s="4">
        <v>22.0</v>
      </c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4">
        <v>2025.0</v>
      </c>
      <c r="B98" s="5" t="s">
        <v>31</v>
      </c>
      <c r="C98" s="5" t="s">
        <v>15</v>
      </c>
      <c r="D98" s="4">
        <v>191.0</v>
      </c>
      <c r="E98" s="4">
        <v>168.0</v>
      </c>
      <c r="F98" s="4">
        <v>702.0</v>
      </c>
      <c r="G98" s="4">
        <v>1061.0</v>
      </c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4">
        <v>2025.0</v>
      </c>
      <c r="B99" s="5" t="s">
        <v>31</v>
      </c>
      <c r="C99" s="5" t="s">
        <v>16</v>
      </c>
      <c r="D99" s="4">
        <v>1.0</v>
      </c>
      <c r="E99" s="4">
        <v>0.0</v>
      </c>
      <c r="F99" s="4">
        <v>6.0</v>
      </c>
      <c r="G99" s="4">
        <v>7.0</v>
      </c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4">
        <v>2025.0</v>
      </c>
      <c r="B100" s="5" t="s">
        <v>31</v>
      </c>
      <c r="C100" s="5" t="s">
        <v>14</v>
      </c>
      <c r="D100" s="4">
        <v>884.0</v>
      </c>
      <c r="E100" s="4">
        <v>812.0</v>
      </c>
      <c r="F100" s="4">
        <v>3012.0</v>
      </c>
      <c r="G100" s="4">
        <v>4708.0</v>
      </c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4">
        <v>2025.0</v>
      </c>
      <c r="B101" s="5" t="s">
        <v>31</v>
      </c>
      <c r="C101" s="5" t="s">
        <v>17</v>
      </c>
      <c r="D101" s="4">
        <v>1.0</v>
      </c>
      <c r="E101" s="4">
        <v>2.0</v>
      </c>
      <c r="F101" s="4">
        <v>13.0</v>
      </c>
      <c r="G101" s="4">
        <v>16.0</v>
      </c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4">
        <v>2025.0</v>
      </c>
      <c r="B102" s="5" t="s">
        <v>31</v>
      </c>
      <c r="C102" s="5" t="s">
        <v>19</v>
      </c>
      <c r="D102" s="4">
        <v>11.0</v>
      </c>
      <c r="E102" s="4">
        <v>10.0</v>
      </c>
      <c r="F102" s="4">
        <v>56.0</v>
      </c>
      <c r="G102" s="4">
        <v>77.0</v>
      </c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4">
        <v>2025.0</v>
      </c>
      <c r="B103" s="5" t="s">
        <v>31</v>
      </c>
      <c r="C103" s="5" t="s">
        <v>20</v>
      </c>
      <c r="D103" s="4">
        <v>10.0</v>
      </c>
      <c r="E103" s="4">
        <v>7.0</v>
      </c>
      <c r="F103" s="4">
        <v>18.0</v>
      </c>
      <c r="G103" s="4">
        <v>35.0</v>
      </c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4">
        <v>2025.0</v>
      </c>
      <c r="B104" s="5" t="s">
        <v>31</v>
      </c>
      <c r="C104" s="5" t="s">
        <v>21</v>
      </c>
      <c r="D104" s="4">
        <v>0.0</v>
      </c>
      <c r="E104" s="4">
        <v>0.0</v>
      </c>
      <c r="F104" s="4">
        <v>1.0</v>
      </c>
      <c r="G104" s="4">
        <v>1.0</v>
      </c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4">
        <v>2025.0</v>
      </c>
      <c r="B105" s="5" t="s">
        <v>31</v>
      </c>
      <c r="C105" s="5" t="s">
        <v>22</v>
      </c>
      <c r="D105" s="4">
        <v>3.0</v>
      </c>
      <c r="E105" s="4">
        <v>4.0</v>
      </c>
      <c r="F105" s="4">
        <v>18.0</v>
      </c>
      <c r="G105" s="4">
        <v>25.0</v>
      </c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4">
        <v>2025.0</v>
      </c>
      <c r="B106" s="5" t="s">
        <v>31</v>
      </c>
      <c r="C106" s="5" t="s">
        <v>23</v>
      </c>
      <c r="D106" s="4">
        <v>0.0</v>
      </c>
      <c r="E106" s="4">
        <v>0.0</v>
      </c>
      <c r="F106" s="4">
        <v>2.0</v>
      </c>
      <c r="G106" s="4">
        <v>2.0</v>
      </c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4">
        <v>2025.0</v>
      </c>
      <c r="B107" s="5" t="s">
        <v>32</v>
      </c>
      <c r="C107" s="5" t="s">
        <v>7</v>
      </c>
      <c r="D107" s="4">
        <v>1.0</v>
      </c>
      <c r="E107" s="4">
        <v>1.0</v>
      </c>
      <c r="F107" s="4">
        <v>2.0</v>
      </c>
      <c r="G107" s="4">
        <v>4.0</v>
      </c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4">
        <v>2025.0</v>
      </c>
      <c r="B108" s="5" t="s">
        <v>32</v>
      </c>
      <c r="C108" s="5" t="s">
        <v>33</v>
      </c>
      <c r="D108" s="4">
        <v>3.0</v>
      </c>
      <c r="E108" s="4">
        <v>3.0</v>
      </c>
      <c r="F108" s="4">
        <v>6.0</v>
      </c>
      <c r="G108" s="4">
        <v>12.0</v>
      </c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4">
        <v>2025.0</v>
      </c>
      <c r="B109" s="5" t="s">
        <v>32</v>
      </c>
      <c r="C109" s="5" t="s">
        <v>8</v>
      </c>
      <c r="D109" s="4">
        <v>0.0</v>
      </c>
      <c r="E109" s="4">
        <v>0.0</v>
      </c>
      <c r="F109" s="4">
        <v>0.0</v>
      </c>
      <c r="G109" s="4">
        <v>0.0</v>
      </c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4">
        <v>2025.0</v>
      </c>
      <c r="B110" s="5" t="s">
        <v>32</v>
      </c>
      <c r="C110" s="5" t="s">
        <v>9</v>
      </c>
      <c r="D110" s="4">
        <v>2.0</v>
      </c>
      <c r="E110" s="4">
        <v>2.0</v>
      </c>
      <c r="F110" s="4">
        <v>12.0</v>
      </c>
      <c r="G110" s="4">
        <v>16.0</v>
      </c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4">
        <v>2025.0</v>
      </c>
      <c r="B111" s="5" t="s">
        <v>32</v>
      </c>
      <c r="C111" s="5" t="s">
        <v>10</v>
      </c>
      <c r="D111" s="4">
        <v>948.0</v>
      </c>
      <c r="E111" s="4">
        <v>812.0</v>
      </c>
      <c r="F111" s="4">
        <v>2914.0</v>
      </c>
      <c r="G111" s="4">
        <v>4674.0</v>
      </c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4">
        <v>2025.0</v>
      </c>
      <c r="B112" s="5" t="s">
        <v>32</v>
      </c>
      <c r="C112" s="5" t="s">
        <v>12</v>
      </c>
      <c r="D112" s="4">
        <v>3.0</v>
      </c>
      <c r="E112" s="4">
        <v>2.0</v>
      </c>
      <c r="F112" s="4">
        <v>16.0</v>
      </c>
      <c r="G112" s="4">
        <v>21.0</v>
      </c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4">
        <v>2025.0</v>
      </c>
      <c r="B113" s="5" t="s">
        <v>32</v>
      </c>
      <c r="C113" s="5" t="s">
        <v>15</v>
      </c>
      <c r="D113" s="4">
        <v>187.0</v>
      </c>
      <c r="E113" s="4">
        <v>159.0</v>
      </c>
      <c r="F113" s="4">
        <v>694.0</v>
      </c>
      <c r="G113" s="4">
        <v>1040.0</v>
      </c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4">
        <v>2025.0</v>
      </c>
      <c r="B114" s="5" t="s">
        <v>32</v>
      </c>
      <c r="C114" s="5" t="s">
        <v>16</v>
      </c>
      <c r="D114" s="4">
        <v>1.0</v>
      </c>
      <c r="E114" s="4">
        <v>0.0</v>
      </c>
      <c r="F114" s="4">
        <v>6.0</v>
      </c>
      <c r="G114" s="4">
        <v>7.0</v>
      </c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4">
        <v>2025.0</v>
      </c>
      <c r="B115" s="5" t="s">
        <v>32</v>
      </c>
      <c r="C115" s="5" t="s">
        <v>14</v>
      </c>
      <c r="D115" s="4">
        <v>872.0</v>
      </c>
      <c r="E115" s="4">
        <v>804.0</v>
      </c>
      <c r="F115" s="4">
        <v>2984.0</v>
      </c>
      <c r="G115" s="4">
        <v>4660.0</v>
      </c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4">
        <v>2025.0</v>
      </c>
      <c r="B116" s="5" t="s">
        <v>32</v>
      </c>
      <c r="C116" s="5" t="s">
        <v>17</v>
      </c>
      <c r="D116" s="4">
        <v>1.0</v>
      </c>
      <c r="E116" s="4">
        <v>2.0</v>
      </c>
      <c r="F116" s="4">
        <v>13.0</v>
      </c>
      <c r="G116" s="4">
        <v>16.0</v>
      </c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4">
        <v>2025.0</v>
      </c>
      <c r="B117" s="5" t="s">
        <v>32</v>
      </c>
      <c r="C117" s="5" t="s">
        <v>19</v>
      </c>
      <c r="D117" s="4">
        <v>11.0</v>
      </c>
      <c r="E117" s="4">
        <v>10.0</v>
      </c>
      <c r="F117" s="4">
        <v>54.0</v>
      </c>
      <c r="G117" s="4">
        <v>75.0</v>
      </c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4">
        <v>2025.0</v>
      </c>
      <c r="B118" s="5" t="s">
        <v>32</v>
      </c>
      <c r="C118" s="5" t="s">
        <v>20</v>
      </c>
      <c r="D118" s="4">
        <v>10.0</v>
      </c>
      <c r="E118" s="4">
        <v>7.0</v>
      </c>
      <c r="F118" s="4">
        <v>17.0</v>
      </c>
      <c r="G118" s="4">
        <v>34.0</v>
      </c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4">
        <v>2025.0</v>
      </c>
      <c r="B119" s="5" t="s">
        <v>32</v>
      </c>
      <c r="C119" s="5" t="s">
        <v>21</v>
      </c>
      <c r="D119" s="4">
        <v>0.0</v>
      </c>
      <c r="E119" s="4">
        <v>0.0</v>
      </c>
      <c r="F119" s="4">
        <v>1.0</v>
      </c>
      <c r="G119" s="4">
        <v>1.0</v>
      </c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4">
        <v>2025.0</v>
      </c>
      <c r="B120" s="5" t="s">
        <v>32</v>
      </c>
      <c r="C120" s="5" t="s">
        <v>22</v>
      </c>
      <c r="D120" s="4">
        <v>3.0</v>
      </c>
      <c r="E120" s="4">
        <v>4.0</v>
      </c>
      <c r="F120" s="4">
        <v>17.0</v>
      </c>
      <c r="G120" s="4">
        <v>24.0</v>
      </c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4">
        <v>2025.0</v>
      </c>
      <c r="B121" s="5" t="s">
        <v>32</v>
      </c>
      <c r="C121" s="5" t="s">
        <v>23</v>
      </c>
      <c r="D121" s="4">
        <v>0.0</v>
      </c>
      <c r="E121" s="4">
        <v>0.0</v>
      </c>
      <c r="F121" s="4">
        <v>2.0</v>
      </c>
      <c r="G121" s="4">
        <v>2.0</v>
      </c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4">
        <v>2025.0</v>
      </c>
      <c r="B122" s="5" t="s">
        <v>18</v>
      </c>
      <c r="C122" s="5" t="s">
        <v>7</v>
      </c>
      <c r="D122" s="4">
        <v>1.0</v>
      </c>
      <c r="E122" s="4">
        <v>0.0</v>
      </c>
      <c r="F122" s="4">
        <v>2.0</v>
      </c>
      <c r="G122" s="4">
        <v>3.0</v>
      </c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4">
        <v>2025.0</v>
      </c>
      <c r="B123" s="5" t="s">
        <v>18</v>
      </c>
      <c r="C123" s="5" t="s">
        <v>33</v>
      </c>
      <c r="D123" s="4">
        <v>4.0</v>
      </c>
      <c r="E123" s="4">
        <v>4.0</v>
      </c>
      <c r="F123" s="4">
        <v>8.0</v>
      </c>
      <c r="G123" s="4">
        <v>16.0</v>
      </c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4">
        <v>2025.0</v>
      </c>
      <c r="B124" s="5" t="s">
        <v>18</v>
      </c>
      <c r="C124" s="5" t="s">
        <v>8</v>
      </c>
      <c r="D124" s="4">
        <v>0.0</v>
      </c>
      <c r="E124" s="4">
        <v>0.0</v>
      </c>
      <c r="F124" s="4">
        <v>0.0</v>
      </c>
      <c r="G124" s="4">
        <v>0.0</v>
      </c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4">
        <v>2025.0</v>
      </c>
      <c r="B125" s="5" t="s">
        <v>18</v>
      </c>
      <c r="C125" s="5" t="s">
        <v>9</v>
      </c>
      <c r="D125" s="4">
        <v>1.0</v>
      </c>
      <c r="E125" s="4">
        <v>1.0</v>
      </c>
      <c r="F125" s="4">
        <v>11.0</v>
      </c>
      <c r="G125" s="4">
        <v>13.0</v>
      </c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4">
        <v>2025.0</v>
      </c>
      <c r="B126" s="5" t="s">
        <v>18</v>
      </c>
      <c r="C126" s="5" t="s">
        <v>10</v>
      </c>
      <c r="D126" s="4">
        <v>912.0</v>
      </c>
      <c r="E126" s="4">
        <v>784.0</v>
      </c>
      <c r="F126" s="4">
        <v>2814.0</v>
      </c>
      <c r="G126" s="4">
        <v>4510.0</v>
      </c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4">
        <v>2025.0</v>
      </c>
      <c r="B127" s="5" t="s">
        <v>18</v>
      </c>
      <c r="C127" s="5" t="s">
        <v>12</v>
      </c>
      <c r="D127" s="4">
        <v>2.0</v>
      </c>
      <c r="E127" s="4">
        <v>2.0</v>
      </c>
      <c r="F127" s="4">
        <v>14.0</v>
      </c>
      <c r="G127" s="4">
        <v>18.0</v>
      </c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4">
        <v>2025.0</v>
      </c>
      <c r="B128" s="5" t="s">
        <v>18</v>
      </c>
      <c r="C128" s="5" t="s">
        <v>15</v>
      </c>
      <c r="D128" s="4">
        <v>178.0</v>
      </c>
      <c r="E128" s="4">
        <v>151.0</v>
      </c>
      <c r="F128" s="4">
        <v>654.0</v>
      </c>
      <c r="G128" s="4">
        <v>983.0</v>
      </c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4">
        <v>2025.0</v>
      </c>
      <c r="B129" s="5" t="s">
        <v>18</v>
      </c>
      <c r="C129" s="5" t="s">
        <v>16</v>
      </c>
      <c r="D129" s="4">
        <v>1.0</v>
      </c>
      <c r="E129" s="4">
        <v>0.0</v>
      </c>
      <c r="F129" s="4">
        <v>5.0</v>
      </c>
      <c r="G129" s="4">
        <v>6.0</v>
      </c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4">
        <v>2025.0</v>
      </c>
      <c r="B130" s="5" t="s">
        <v>18</v>
      </c>
      <c r="C130" s="5" t="s">
        <v>14</v>
      </c>
      <c r="D130" s="4">
        <v>842.0</v>
      </c>
      <c r="E130" s="4">
        <v>771.0</v>
      </c>
      <c r="F130" s="4">
        <v>2884.0</v>
      </c>
      <c r="G130" s="4">
        <v>4497.0</v>
      </c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4">
        <v>2025.0</v>
      </c>
      <c r="B131" s="5" t="s">
        <v>18</v>
      </c>
      <c r="C131" s="5" t="s">
        <v>17</v>
      </c>
      <c r="D131" s="4">
        <v>1.0</v>
      </c>
      <c r="E131" s="4">
        <v>1.0</v>
      </c>
      <c r="F131" s="4">
        <v>11.0</v>
      </c>
      <c r="G131" s="4">
        <v>13.0</v>
      </c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4">
        <v>2025.0</v>
      </c>
      <c r="B132" s="5" t="s">
        <v>18</v>
      </c>
      <c r="C132" s="5" t="s">
        <v>19</v>
      </c>
      <c r="D132" s="4">
        <v>9.0</v>
      </c>
      <c r="E132" s="4">
        <v>9.0</v>
      </c>
      <c r="F132" s="4">
        <v>51.0</v>
      </c>
      <c r="G132" s="4">
        <v>69.0</v>
      </c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4">
        <v>2025.0</v>
      </c>
      <c r="B133" s="5" t="s">
        <v>18</v>
      </c>
      <c r="C133" s="5" t="s">
        <v>20</v>
      </c>
      <c r="D133" s="4">
        <v>9.0</v>
      </c>
      <c r="E133" s="4">
        <v>6.0</v>
      </c>
      <c r="F133" s="4">
        <v>16.0</v>
      </c>
      <c r="G133" s="4">
        <v>31.0</v>
      </c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4">
        <v>2025.0</v>
      </c>
      <c r="B134" s="5" t="s">
        <v>18</v>
      </c>
      <c r="C134" s="5" t="s">
        <v>21</v>
      </c>
      <c r="D134" s="4">
        <v>0.0</v>
      </c>
      <c r="E134" s="4">
        <v>0.0</v>
      </c>
      <c r="F134" s="4">
        <v>1.0</v>
      </c>
      <c r="G134" s="4">
        <v>1.0</v>
      </c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4">
        <v>2025.0</v>
      </c>
      <c r="B135" s="5" t="s">
        <v>18</v>
      </c>
      <c r="C135" s="5" t="s">
        <v>22</v>
      </c>
      <c r="D135" s="4">
        <v>2.0</v>
      </c>
      <c r="E135" s="4">
        <v>3.0</v>
      </c>
      <c r="F135" s="4">
        <v>15.0</v>
      </c>
      <c r="G135" s="4">
        <v>20.0</v>
      </c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4">
        <v>2025.0</v>
      </c>
      <c r="B136" s="5" t="s">
        <v>18</v>
      </c>
      <c r="C136" s="5" t="s">
        <v>23</v>
      </c>
      <c r="D136" s="4">
        <v>0.0</v>
      </c>
      <c r="E136" s="4">
        <v>0.0</v>
      </c>
      <c r="F136" s="4">
        <v>1.0</v>
      </c>
      <c r="G136" s="4">
        <v>1.0</v>
      </c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4">
        <v>2025.0</v>
      </c>
      <c r="B137" s="5" t="s">
        <v>25</v>
      </c>
      <c r="C137" s="5" t="s">
        <v>7</v>
      </c>
      <c r="D137" s="4">
        <v>2.0</v>
      </c>
      <c r="E137" s="4">
        <v>1.0</v>
      </c>
      <c r="F137" s="4">
        <v>3.0</v>
      </c>
      <c r="G137" s="4">
        <v>6.0</v>
      </c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4">
        <v>2025.0</v>
      </c>
      <c r="B138" s="5" t="s">
        <v>25</v>
      </c>
      <c r="C138" s="5" t="s">
        <v>33</v>
      </c>
      <c r="D138" s="4">
        <v>4.0</v>
      </c>
      <c r="E138" s="4">
        <v>4.0</v>
      </c>
      <c r="F138" s="4">
        <v>8.0</v>
      </c>
      <c r="G138" s="4">
        <v>16.0</v>
      </c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4">
        <v>2025.0</v>
      </c>
      <c r="B139" s="5" t="s">
        <v>25</v>
      </c>
      <c r="C139" s="5" t="s">
        <v>8</v>
      </c>
      <c r="D139" s="4">
        <v>0.0</v>
      </c>
      <c r="E139" s="4">
        <v>0.0</v>
      </c>
      <c r="F139" s="4">
        <v>0.0</v>
      </c>
      <c r="G139" s="4">
        <v>0.0</v>
      </c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4">
        <v>2025.0</v>
      </c>
      <c r="B140" s="5" t="s">
        <v>25</v>
      </c>
      <c r="C140" s="5" t="s">
        <v>9</v>
      </c>
      <c r="D140" s="4">
        <v>2.0</v>
      </c>
      <c r="E140" s="4">
        <v>2.0</v>
      </c>
      <c r="F140" s="4">
        <v>13.0</v>
      </c>
      <c r="G140" s="4">
        <v>17.0</v>
      </c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4">
        <v>2025.0</v>
      </c>
      <c r="B141" s="5" t="s">
        <v>25</v>
      </c>
      <c r="C141" s="5" t="s">
        <v>10</v>
      </c>
      <c r="D141" s="4">
        <v>1014.0</v>
      </c>
      <c r="E141" s="4">
        <v>864.0</v>
      </c>
      <c r="F141" s="4">
        <v>3118.0</v>
      </c>
      <c r="G141" s="4">
        <v>4996.0</v>
      </c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4">
        <v>2025.0</v>
      </c>
      <c r="B142" s="5" t="s">
        <v>25</v>
      </c>
      <c r="C142" s="5" t="s">
        <v>12</v>
      </c>
      <c r="D142" s="4">
        <v>3.0</v>
      </c>
      <c r="E142" s="4">
        <v>2.0</v>
      </c>
      <c r="F142" s="4">
        <v>18.0</v>
      </c>
      <c r="G142" s="4">
        <v>23.0</v>
      </c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4">
        <v>2025.0</v>
      </c>
      <c r="B143" s="5" t="s">
        <v>25</v>
      </c>
      <c r="C143" s="5" t="s">
        <v>15</v>
      </c>
      <c r="D143" s="4">
        <v>198.0</v>
      </c>
      <c r="E143" s="4">
        <v>168.0</v>
      </c>
      <c r="F143" s="4">
        <v>724.0</v>
      </c>
      <c r="G143" s="4">
        <v>1090.0</v>
      </c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4">
        <v>2025.0</v>
      </c>
      <c r="B144" s="5" t="s">
        <v>25</v>
      </c>
      <c r="C144" s="5" t="s">
        <v>16</v>
      </c>
      <c r="D144" s="4">
        <v>1.0</v>
      </c>
      <c r="E144" s="4">
        <v>1.0</v>
      </c>
      <c r="F144" s="4">
        <v>7.0</v>
      </c>
      <c r="G144" s="4">
        <v>9.0</v>
      </c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4">
        <v>2025.0</v>
      </c>
      <c r="B145" s="5" t="s">
        <v>25</v>
      </c>
      <c r="C145" s="5" t="s">
        <v>14</v>
      </c>
      <c r="D145" s="4">
        <v>948.0</v>
      </c>
      <c r="E145" s="4">
        <v>852.0</v>
      </c>
      <c r="F145" s="4">
        <v>3214.0</v>
      </c>
      <c r="G145" s="4">
        <v>5014.0</v>
      </c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4">
        <v>2025.0</v>
      </c>
      <c r="B146" s="5" t="s">
        <v>25</v>
      </c>
      <c r="C146" s="5" t="s">
        <v>17</v>
      </c>
      <c r="D146" s="4">
        <v>1.0</v>
      </c>
      <c r="E146" s="4">
        <v>2.0</v>
      </c>
      <c r="F146" s="4">
        <v>13.0</v>
      </c>
      <c r="G146" s="4">
        <v>16.0</v>
      </c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4">
        <v>2025.0</v>
      </c>
      <c r="B147" s="5" t="s">
        <v>25</v>
      </c>
      <c r="C147" s="5" t="s">
        <v>19</v>
      </c>
      <c r="D147" s="4">
        <v>11.0</v>
      </c>
      <c r="E147" s="4">
        <v>11.0</v>
      </c>
      <c r="F147" s="4">
        <v>62.0</v>
      </c>
      <c r="G147" s="4">
        <v>84.0</v>
      </c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4">
        <v>2025.0</v>
      </c>
      <c r="B148" s="5" t="s">
        <v>25</v>
      </c>
      <c r="C148" s="5" t="s">
        <v>20</v>
      </c>
      <c r="D148" s="4">
        <v>10.0</v>
      </c>
      <c r="E148" s="4">
        <v>7.0</v>
      </c>
      <c r="F148" s="4">
        <v>19.0</v>
      </c>
      <c r="G148" s="4">
        <v>36.0</v>
      </c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4">
        <v>2025.0</v>
      </c>
      <c r="B149" s="5" t="s">
        <v>25</v>
      </c>
      <c r="C149" s="5" t="s">
        <v>21</v>
      </c>
      <c r="D149" s="4">
        <v>1.0</v>
      </c>
      <c r="E149" s="4">
        <v>0.0</v>
      </c>
      <c r="F149" s="4">
        <v>1.0</v>
      </c>
      <c r="G149" s="4">
        <v>2.0</v>
      </c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4">
        <v>2025.0</v>
      </c>
      <c r="B150" s="5" t="s">
        <v>25</v>
      </c>
      <c r="C150" s="5" t="s">
        <v>22</v>
      </c>
      <c r="D150" s="4">
        <v>3.0</v>
      </c>
      <c r="E150" s="4">
        <v>4.0</v>
      </c>
      <c r="F150" s="4">
        <v>18.0</v>
      </c>
      <c r="G150" s="4">
        <v>25.0</v>
      </c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4">
        <v>2025.0</v>
      </c>
      <c r="B151" s="5" t="s">
        <v>25</v>
      </c>
      <c r="C151" s="5" t="s">
        <v>23</v>
      </c>
      <c r="D151" s="4">
        <v>0.0</v>
      </c>
      <c r="E151" s="4">
        <v>1.0</v>
      </c>
      <c r="F151" s="4">
        <v>2.0</v>
      </c>
      <c r="G151" s="4">
        <v>3.0</v>
      </c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4">
        <v>2025.0</v>
      </c>
      <c r="B152" s="5" t="s">
        <v>27</v>
      </c>
      <c r="C152" s="5" t="s">
        <v>7</v>
      </c>
      <c r="D152" s="4">
        <v>1.0</v>
      </c>
      <c r="E152" s="4">
        <v>0.0</v>
      </c>
      <c r="F152" s="4">
        <v>2.0</v>
      </c>
      <c r="G152" s="4">
        <v>3.0</v>
      </c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4">
        <v>2025.0</v>
      </c>
      <c r="B153" s="5" t="s">
        <v>27</v>
      </c>
      <c r="C153" s="5" t="s">
        <v>33</v>
      </c>
      <c r="D153" s="4">
        <v>3.0</v>
      </c>
      <c r="E153" s="4">
        <v>3.0</v>
      </c>
      <c r="F153" s="4">
        <v>6.0</v>
      </c>
      <c r="G153" s="4">
        <v>12.0</v>
      </c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4">
        <v>2025.0</v>
      </c>
      <c r="B154" s="5" t="s">
        <v>27</v>
      </c>
      <c r="C154" s="5" t="s">
        <v>8</v>
      </c>
      <c r="D154" s="4">
        <v>0.0</v>
      </c>
      <c r="E154" s="4">
        <v>0.0</v>
      </c>
      <c r="F154" s="4">
        <v>0.0</v>
      </c>
      <c r="G154" s="4">
        <v>0.0</v>
      </c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4">
        <v>2025.0</v>
      </c>
      <c r="B155" s="5" t="s">
        <v>27</v>
      </c>
      <c r="C155" s="5" t="s">
        <v>9</v>
      </c>
      <c r="D155" s="4">
        <v>1.0</v>
      </c>
      <c r="E155" s="4">
        <v>1.0</v>
      </c>
      <c r="F155" s="4">
        <v>11.0</v>
      </c>
      <c r="G155" s="4">
        <v>13.0</v>
      </c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4">
        <v>2025.0</v>
      </c>
      <c r="B156" s="5" t="s">
        <v>27</v>
      </c>
      <c r="C156" s="5" t="s">
        <v>10</v>
      </c>
      <c r="D156" s="4">
        <v>912.0</v>
      </c>
      <c r="E156" s="4">
        <v>784.0</v>
      </c>
      <c r="F156" s="4">
        <v>2814.0</v>
      </c>
      <c r="G156" s="4">
        <v>4510.0</v>
      </c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4">
        <v>2025.0</v>
      </c>
      <c r="B157" s="5" t="s">
        <v>27</v>
      </c>
      <c r="C157" s="5" t="s">
        <v>12</v>
      </c>
      <c r="D157" s="4">
        <v>2.0</v>
      </c>
      <c r="E157" s="4">
        <v>2.0</v>
      </c>
      <c r="F157" s="4">
        <v>14.0</v>
      </c>
      <c r="G157" s="4">
        <v>18.0</v>
      </c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4">
        <v>2025.0</v>
      </c>
      <c r="B158" s="5" t="s">
        <v>27</v>
      </c>
      <c r="C158" s="5" t="s">
        <v>15</v>
      </c>
      <c r="D158" s="4">
        <v>178.0</v>
      </c>
      <c r="E158" s="4">
        <v>151.0</v>
      </c>
      <c r="F158" s="4">
        <v>654.0</v>
      </c>
      <c r="G158" s="4">
        <v>983.0</v>
      </c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4">
        <v>2025.0</v>
      </c>
      <c r="B159" s="5" t="s">
        <v>27</v>
      </c>
      <c r="C159" s="5" t="s">
        <v>16</v>
      </c>
      <c r="D159" s="4">
        <v>1.0</v>
      </c>
      <c r="E159" s="4">
        <v>0.0</v>
      </c>
      <c r="F159" s="4">
        <v>5.0</v>
      </c>
      <c r="G159" s="4">
        <v>6.0</v>
      </c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4">
        <v>2025.0</v>
      </c>
      <c r="B160" s="5" t="s">
        <v>27</v>
      </c>
      <c r="C160" s="5" t="s">
        <v>14</v>
      </c>
      <c r="D160" s="4">
        <v>842.0</v>
      </c>
      <c r="E160" s="4">
        <v>771.0</v>
      </c>
      <c r="F160" s="4">
        <v>2884.0</v>
      </c>
      <c r="G160" s="4">
        <v>4497.0</v>
      </c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4">
        <v>2025.0</v>
      </c>
      <c r="B161" s="5" t="s">
        <v>27</v>
      </c>
      <c r="C161" s="5" t="s">
        <v>17</v>
      </c>
      <c r="D161" s="4">
        <v>1.0</v>
      </c>
      <c r="E161" s="4">
        <v>1.0</v>
      </c>
      <c r="F161" s="4">
        <v>11.0</v>
      </c>
      <c r="G161" s="4">
        <v>13.0</v>
      </c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4">
        <v>2025.0</v>
      </c>
      <c r="B162" s="5" t="s">
        <v>27</v>
      </c>
      <c r="C162" s="5" t="s">
        <v>19</v>
      </c>
      <c r="D162" s="4">
        <v>9.0</v>
      </c>
      <c r="E162" s="4">
        <v>9.0</v>
      </c>
      <c r="F162" s="4">
        <v>51.0</v>
      </c>
      <c r="G162" s="4">
        <v>69.0</v>
      </c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4">
        <v>2025.0</v>
      </c>
      <c r="B163" s="5" t="s">
        <v>27</v>
      </c>
      <c r="C163" s="5" t="s">
        <v>20</v>
      </c>
      <c r="D163" s="4">
        <v>9.0</v>
      </c>
      <c r="E163" s="4">
        <v>6.0</v>
      </c>
      <c r="F163" s="4">
        <v>16.0</v>
      </c>
      <c r="G163" s="4">
        <v>31.0</v>
      </c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4">
        <v>2025.0</v>
      </c>
      <c r="B164" s="5" t="s">
        <v>27</v>
      </c>
      <c r="C164" s="5" t="s">
        <v>21</v>
      </c>
      <c r="D164" s="4">
        <v>0.0</v>
      </c>
      <c r="E164" s="4">
        <v>0.0</v>
      </c>
      <c r="F164" s="4">
        <v>1.0</v>
      </c>
      <c r="G164" s="4">
        <v>1.0</v>
      </c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4">
        <v>2025.0</v>
      </c>
      <c r="B165" s="5" t="s">
        <v>27</v>
      </c>
      <c r="C165" s="5" t="s">
        <v>22</v>
      </c>
      <c r="D165" s="4">
        <v>2.0</v>
      </c>
      <c r="E165" s="4">
        <v>3.0</v>
      </c>
      <c r="F165" s="4">
        <v>15.0</v>
      </c>
      <c r="G165" s="4">
        <v>20.0</v>
      </c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4">
        <v>2025.0</v>
      </c>
      <c r="B166" s="5" t="s">
        <v>27</v>
      </c>
      <c r="C166" s="5" t="s">
        <v>23</v>
      </c>
      <c r="D166" s="4">
        <v>0.0</v>
      </c>
      <c r="E166" s="4">
        <v>0.0</v>
      </c>
      <c r="F166" s="4">
        <v>1.0</v>
      </c>
      <c r="G166" s="4">
        <v>1.0</v>
      </c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4">
        <v>2025.0</v>
      </c>
      <c r="B167" s="5" t="s">
        <v>29</v>
      </c>
      <c r="C167" s="5" t="s">
        <v>7</v>
      </c>
      <c r="D167" s="4">
        <v>1.0</v>
      </c>
      <c r="E167" s="4">
        <v>0.0</v>
      </c>
      <c r="F167" s="4">
        <v>2.0</v>
      </c>
      <c r="G167" s="4">
        <v>3.0</v>
      </c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4">
        <v>2025.0</v>
      </c>
      <c r="B168" s="5" t="s">
        <v>29</v>
      </c>
      <c r="C168" s="5" t="s">
        <v>33</v>
      </c>
      <c r="D168" s="4">
        <v>4.0</v>
      </c>
      <c r="E168" s="4">
        <v>4.0</v>
      </c>
      <c r="F168" s="4">
        <v>8.0</v>
      </c>
      <c r="G168" s="4">
        <v>16.0</v>
      </c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4">
        <v>2025.0</v>
      </c>
      <c r="B169" s="5" t="s">
        <v>29</v>
      </c>
      <c r="C169" s="5" t="s">
        <v>8</v>
      </c>
      <c r="D169" s="4">
        <v>0.0</v>
      </c>
      <c r="E169" s="4">
        <v>0.0</v>
      </c>
      <c r="F169" s="4">
        <v>0.0</v>
      </c>
      <c r="G169" s="4">
        <v>0.0</v>
      </c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4">
        <v>2025.0</v>
      </c>
      <c r="B170" s="5" t="s">
        <v>29</v>
      </c>
      <c r="C170" s="5" t="s">
        <v>9</v>
      </c>
      <c r="D170" s="4">
        <v>1.0</v>
      </c>
      <c r="E170" s="4">
        <v>1.0</v>
      </c>
      <c r="F170" s="4">
        <v>11.0</v>
      </c>
      <c r="G170" s="4">
        <v>13.0</v>
      </c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4">
        <v>2025.0</v>
      </c>
      <c r="B171" s="5" t="s">
        <v>29</v>
      </c>
      <c r="C171" s="5" t="s">
        <v>10</v>
      </c>
      <c r="D171" s="4">
        <v>912.0</v>
      </c>
      <c r="E171" s="4">
        <v>784.0</v>
      </c>
      <c r="F171" s="4">
        <v>2814.0</v>
      </c>
      <c r="G171" s="4">
        <v>4510.0</v>
      </c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4">
        <v>2025.0</v>
      </c>
      <c r="B172" s="5" t="s">
        <v>29</v>
      </c>
      <c r="C172" s="5" t="s">
        <v>12</v>
      </c>
      <c r="D172" s="4">
        <v>2.0</v>
      </c>
      <c r="E172" s="4">
        <v>2.0</v>
      </c>
      <c r="F172" s="4">
        <v>14.0</v>
      </c>
      <c r="G172" s="4">
        <v>18.0</v>
      </c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4">
        <v>2025.0</v>
      </c>
      <c r="B173" s="5" t="s">
        <v>29</v>
      </c>
      <c r="C173" s="5" t="s">
        <v>15</v>
      </c>
      <c r="D173" s="4">
        <v>178.0</v>
      </c>
      <c r="E173" s="4">
        <v>151.0</v>
      </c>
      <c r="F173" s="4">
        <v>654.0</v>
      </c>
      <c r="G173" s="4">
        <v>983.0</v>
      </c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4">
        <v>2025.0</v>
      </c>
      <c r="B174" s="5" t="s">
        <v>29</v>
      </c>
      <c r="C174" s="5" t="s">
        <v>16</v>
      </c>
      <c r="D174" s="4">
        <v>1.0</v>
      </c>
      <c r="E174" s="4">
        <v>0.0</v>
      </c>
      <c r="F174" s="4">
        <v>5.0</v>
      </c>
      <c r="G174" s="4">
        <v>6.0</v>
      </c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4">
        <v>2025.0</v>
      </c>
      <c r="B175" s="5" t="s">
        <v>29</v>
      </c>
      <c r="C175" s="5" t="s">
        <v>14</v>
      </c>
      <c r="D175" s="4">
        <v>842.0</v>
      </c>
      <c r="E175" s="4">
        <v>771.0</v>
      </c>
      <c r="F175" s="4">
        <v>2884.0</v>
      </c>
      <c r="G175" s="4">
        <v>4497.0</v>
      </c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4">
        <v>2025.0</v>
      </c>
      <c r="B176" s="5" t="s">
        <v>29</v>
      </c>
      <c r="C176" s="5" t="s">
        <v>17</v>
      </c>
      <c r="D176" s="4">
        <v>1.0</v>
      </c>
      <c r="E176" s="4">
        <v>1.0</v>
      </c>
      <c r="F176" s="4">
        <v>11.0</v>
      </c>
      <c r="G176" s="4">
        <v>13.0</v>
      </c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4">
        <v>2025.0</v>
      </c>
      <c r="B177" s="5" t="s">
        <v>29</v>
      </c>
      <c r="C177" s="5" t="s">
        <v>19</v>
      </c>
      <c r="D177" s="4">
        <v>9.0</v>
      </c>
      <c r="E177" s="4">
        <v>9.0</v>
      </c>
      <c r="F177" s="4">
        <v>51.0</v>
      </c>
      <c r="G177" s="4">
        <v>69.0</v>
      </c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4">
        <v>2025.0</v>
      </c>
      <c r="B178" s="5" t="s">
        <v>29</v>
      </c>
      <c r="C178" s="5" t="s">
        <v>20</v>
      </c>
      <c r="D178" s="4">
        <v>9.0</v>
      </c>
      <c r="E178" s="4">
        <v>6.0</v>
      </c>
      <c r="F178" s="4">
        <v>16.0</v>
      </c>
      <c r="G178" s="4">
        <v>31.0</v>
      </c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4">
        <v>2025.0</v>
      </c>
      <c r="B179" s="5" t="s">
        <v>29</v>
      </c>
      <c r="C179" s="5" t="s">
        <v>21</v>
      </c>
      <c r="D179" s="4">
        <v>0.0</v>
      </c>
      <c r="E179" s="4">
        <v>0.0</v>
      </c>
      <c r="F179" s="4">
        <v>1.0</v>
      </c>
      <c r="G179" s="4">
        <v>1.0</v>
      </c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4">
        <v>2025.0</v>
      </c>
      <c r="B180" s="5" t="s">
        <v>29</v>
      </c>
      <c r="C180" s="5" t="s">
        <v>22</v>
      </c>
      <c r="D180" s="4">
        <v>2.0</v>
      </c>
      <c r="E180" s="4">
        <v>3.0</v>
      </c>
      <c r="F180" s="4">
        <v>15.0</v>
      </c>
      <c r="G180" s="4">
        <v>20.0</v>
      </c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4">
        <v>2025.0</v>
      </c>
      <c r="B181" s="5" t="s">
        <v>29</v>
      </c>
      <c r="C181" s="5" t="s">
        <v>23</v>
      </c>
      <c r="D181" s="4">
        <v>0.0</v>
      </c>
      <c r="E181" s="4">
        <v>0.0</v>
      </c>
      <c r="F181" s="4">
        <v>1.0</v>
      </c>
      <c r="G181" s="4">
        <v>1.0</v>
      </c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  <row r="100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5"/>
    </row>
    <row r="1002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5"/>
    </row>
    <row r="1003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5"/>
    </row>
    <row r="1004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5"/>
    </row>
    <row r="1005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5"/>
    </row>
    <row r="1006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5"/>
      <c r="V1006" s="5"/>
      <c r="W1006" s="5"/>
      <c r="X1006" s="5"/>
      <c r="Y1006" s="5"/>
      <c r="Z1006" s="5"/>
    </row>
    <row r="1007">
      <c r="A1007" s="5"/>
      <c r="B1007" s="5"/>
      <c r="C1007" s="5"/>
      <c r="D1007" s="5"/>
      <c r="E1007" s="5"/>
      <c r="F1007" s="5"/>
      <c r="G1007" s="5"/>
      <c r="H1007" s="5"/>
      <c r="I1007" s="5"/>
      <c r="J1007" s="5"/>
      <c r="K1007" s="5"/>
      <c r="L1007" s="5"/>
      <c r="M1007" s="5"/>
      <c r="N1007" s="5"/>
      <c r="O1007" s="5"/>
      <c r="P1007" s="5"/>
      <c r="Q1007" s="5"/>
      <c r="R1007" s="5"/>
      <c r="S1007" s="5"/>
      <c r="T1007" s="5"/>
      <c r="U1007" s="5"/>
      <c r="V1007" s="5"/>
      <c r="W1007" s="5"/>
      <c r="X1007" s="5"/>
      <c r="Y1007" s="5"/>
      <c r="Z1007" s="5"/>
    </row>
    <row r="1008">
      <c r="A1008" s="5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5"/>
      <c r="P1008" s="5"/>
      <c r="Q1008" s="5"/>
      <c r="R1008" s="5"/>
      <c r="S1008" s="5"/>
      <c r="T1008" s="5"/>
      <c r="U1008" s="5"/>
      <c r="V1008" s="5"/>
      <c r="W1008" s="5"/>
      <c r="X1008" s="5"/>
      <c r="Y1008" s="5"/>
      <c r="Z1008" s="5"/>
    </row>
    <row r="1009">
      <c r="A1009" s="5"/>
      <c r="B1009" s="5"/>
      <c r="C1009" s="5"/>
      <c r="D1009" s="5"/>
      <c r="E1009" s="5"/>
      <c r="F1009" s="5"/>
      <c r="G1009" s="5"/>
      <c r="H1009" s="5"/>
      <c r="I1009" s="5"/>
      <c r="J1009" s="5"/>
      <c r="K1009" s="5"/>
      <c r="L1009" s="5"/>
      <c r="M1009" s="5"/>
      <c r="N1009" s="5"/>
      <c r="O1009" s="5"/>
      <c r="P1009" s="5"/>
      <c r="Q1009" s="5"/>
      <c r="R1009" s="5"/>
      <c r="S1009" s="5"/>
      <c r="T1009" s="5"/>
      <c r="U1009" s="5"/>
      <c r="V1009" s="5"/>
      <c r="W1009" s="5"/>
      <c r="X1009" s="5"/>
      <c r="Y1009" s="5"/>
      <c r="Z1009" s="5"/>
    </row>
    <row r="1010">
      <c r="A1010" s="5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5"/>
      <c r="P1010" s="5"/>
      <c r="Q1010" s="5"/>
      <c r="R1010" s="5"/>
      <c r="S1010" s="5"/>
      <c r="T1010" s="5"/>
      <c r="U1010" s="5"/>
      <c r="V1010" s="5"/>
      <c r="W1010" s="5"/>
      <c r="X1010" s="5"/>
      <c r="Y1010" s="5"/>
      <c r="Z1010" s="5"/>
    </row>
    <row r="1011">
      <c r="A1011" s="5"/>
      <c r="B1011" s="5"/>
      <c r="C1011" s="5"/>
      <c r="D1011" s="5"/>
      <c r="E1011" s="5"/>
      <c r="F1011" s="5"/>
      <c r="G1011" s="5"/>
      <c r="H1011" s="5"/>
      <c r="I1011" s="5"/>
      <c r="J1011" s="5"/>
      <c r="K1011" s="5"/>
      <c r="L1011" s="5"/>
      <c r="M1011" s="5"/>
      <c r="N1011" s="5"/>
      <c r="O1011" s="5"/>
      <c r="P1011" s="5"/>
      <c r="Q1011" s="5"/>
      <c r="R1011" s="5"/>
      <c r="S1011" s="5"/>
      <c r="T1011" s="5"/>
      <c r="U1011" s="5"/>
      <c r="V1011" s="5"/>
      <c r="W1011" s="5"/>
      <c r="X1011" s="5"/>
      <c r="Y1011" s="5"/>
      <c r="Z1011" s="5"/>
    </row>
    <row r="1012">
      <c r="A1012" s="5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5"/>
      <c r="P1012" s="5"/>
      <c r="Q1012" s="5"/>
      <c r="R1012" s="5"/>
      <c r="S1012" s="5"/>
      <c r="T1012" s="5"/>
      <c r="U1012" s="5"/>
      <c r="V1012" s="5"/>
      <c r="W1012" s="5"/>
      <c r="X1012" s="5"/>
      <c r="Y1012" s="5"/>
      <c r="Z1012" s="5"/>
    </row>
    <row r="1013">
      <c r="A1013" s="5"/>
      <c r="B1013" s="5"/>
      <c r="C1013" s="5"/>
      <c r="D1013" s="5"/>
      <c r="E1013" s="5"/>
      <c r="F1013" s="5"/>
      <c r="G1013" s="5"/>
      <c r="H1013" s="5"/>
      <c r="I1013" s="5"/>
      <c r="J1013" s="5"/>
      <c r="K1013" s="5"/>
      <c r="L1013" s="5"/>
      <c r="M1013" s="5"/>
      <c r="N1013" s="5"/>
      <c r="O1013" s="5"/>
      <c r="P1013" s="5"/>
      <c r="Q1013" s="5"/>
      <c r="R1013" s="5"/>
      <c r="S1013" s="5"/>
      <c r="T1013" s="5"/>
      <c r="U1013" s="5"/>
      <c r="V1013" s="5"/>
      <c r="W1013" s="5"/>
      <c r="X1013" s="5"/>
      <c r="Y1013" s="5"/>
      <c r="Z1013" s="5"/>
    </row>
    <row r="1014">
      <c r="A1014" s="5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5"/>
      <c r="P1014" s="5"/>
      <c r="Q1014" s="5"/>
      <c r="R1014" s="5"/>
      <c r="S1014" s="5"/>
      <c r="T1014" s="5"/>
      <c r="U1014" s="5"/>
      <c r="V1014" s="5"/>
      <c r="W1014" s="5"/>
      <c r="X1014" s="5"/>
      <c r="Y1014" s="5"/>
      <c r="Z1014" s="5"/>
    </row>
    <row r="1015">
      <c r="A1015" s="5"/>
      <c r="B1015" s="5"/>
      <c r="C1015" s="5"/>
      <c r="D1015" s="5"/>
      <c r="E1015" s="5"/>
      <c r="F1015" s="5"/>
      <c r="G1015" s="5"/>
      <c r="H1015" s="5"/>
      <c r="I1015" s="5"/>
      <c r="J1015" s="5"/>
      <c r="K1015" s="5"/>
      <c r="L1015" s="5"/>
      <c r="M1015" s="5"/>
      <c r="N1015" s="5"/>
      <c r="O1015" s="5"/>
      <c r="P1015" s="5"/>
      <c r="Q1015" s="5"/>
      <c r="R1015" s="5"/>
      <c r="S1015" s="5"/>
      <c r="T1015" s="5"/>
      <c r="U1015" s="5"/>
      <c r="V1015" s="5"/>
      <c r="W1015" s="5"/>
      <c r="X1015" s="5"/>
      <c r="Y1015" s="5"/>
      <c r="Z1015" s="5"/>
    </row>
    <row r="1016">
      <c r="A1016" s="5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5"/>
      <c r="P1016" s="5"/>
      <c r="Q1016" s="5"/>
      <c r="R1016" s="5"/>
      <c r="S1016" s="5"/>
      <c r="T1016" s="5"/>
      <c r="U1016" s="5"/>
      <c r="V1016" s="5"/>
      <c r="W1016" s="5"/>
      <c r="X1016" s="5"/>
      <c r="Y1016" s="5"/>
      <c r="Z1016" s="5"/>
    </row>
    <row r="1017">
      <c r="A1017" s="5"/>
      <c r="B1017" s="5"/>
      <c r="C1017" s="5"/>
      <c r="D1017" s="5"/>
      <c r="E1017" s="5"/>
      <c r="F1017" s="5"/>
      <c r="G1017" s="5"/>
      <c r="H1017" s="5"/>
      <c r="I1017" s="5"/>
      <c r="J1017" s="5"/>
      <c r="K1017" s="5"/>
      <c r="L1017" s="5"/>
      <c r="M1017" s="5"/>
      <c r="N1017" s="5"/>
      <c r="O1017" s="5"/>
      <c r="P1017" s="5"/>
      <c r="Q1017" s="5"/>
      <c r="R1017" s="5"/>
      <c r="S1017" s="5"/>
      <c r="T1017" s="5"/>
      <c r="U1017" s="5"/>
      <c r="V1017" s="5"/>
      <c r="W1017" s="5"/>
      <c r="X1017" s="5"/>
      <c r="Y1017" s="5"/>
      <c r="Z1017" s="5"/>
    </row>
    <row r="1018">
      <c r="A1018" s="5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5"/>
      <c r="P1018" s="5"/>
      <c r="Q1018" s="5"/>
      <c r="R1018" s="5"/>
      <c r="S1018" s="5"/>
      <c r="T1018" s="5"/>
      <c r="U1018" s="5"/>
      <c r="V1018" s="5"/>
      <c r="W1018" s="5"/>
      <c r="X1018" s="5"/>
      <c r="Y1018" s="5"/>
      <c r="Z1018" s="5"/>
    </row>
    <row r="1019">
      <c r="A1019" s="5"/>
      <c r="B1019" s="5"/>
      <c r="C1019" s="5"/>
      <c r="D1019" s="5"/>
      <c r="E1019" s="5"/>
      <c r="F1019" s="5"/>
      <c r="G1019" s="5"/>
      <c r="H1019" s="5"/>
      <c r="I1019" s="5"/>
      <c r="J1019" s="5"/>
      <c r="K1019" s="5"/>
      <c r="L1019" s="5"/>
      <c r="M1019" s="5"/>
      <c r="N1019" s="5"/>
      <c r="O1019" s="5"/>
      <c r="P1019" s="5"/>
      <c r="Q1019" s="5"/>
      <c r="R1019" s="5"/>
      <c r="S1019" s="5"/>
      <c r="T1019" s="5"/>
      <c r="U1019" s="5"/>
      <c r="V1019" s="5"/>
      <c r="W1019" s="5"/>
      <c r="X1019" s="5"/>
      <c r="Y1019" s="5"/>
      <c r="Z1019" s="5"/>
    </row>
    <row r="1020">
      <c r="A1020" s="5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5"/>
      <c r="P1020" s="5"/>
      <c r="Q1020" s="5"/>
      <c r="R1020" s="5"/>
      <c r="S1020" s="5"/>
      <c r="T1020" s="5"/>
      <c r="U1020" s="5"/>
      <c r="V1020" s="5"/>
      <c r="W1020" s="5"/>
      <c r="X1020" s="5"/>
      <c r="Y1020" s="5"/>
      <c r="Z1020" s="5"/>
    </row>
    <row r="1021">
      <c r="A1021" s="5"/>
      <c r="B1021" s="5"/>
      <c r="C1021" s="5"/>
      <c r="D1021" s="5"/>
      <c r="E1021" s="5"/>
      <c r="F1021" s="5"/>
      <c r="G1021" s="5"/>
      <c r="H1021" s="5"/>
      <c r="I1021" s="5"/>
      <c r="J1021" s="5"/>
      <c r="K1021" s="5"/>
      <c r="L1021" s="5"/>
      <c r="M1021" s="5"/>
      <c r="N1021" s="5"/>
      <c r="O1021" s="5"/>
      <c r="P1021" s="5"/>
      <c r="Q1021" s="5"/>
      <c r="R1021" s="5"/>
      <c r="S1021" s="5"/>
      <c r="T1021" s="5"/>
      <c r="U1021" s="5"/>
      <c r="V1021" s="5"/>
      <c r="W1021" s="5"/>
      <c r="X1021" s="5"/>
      <c r="Y1021" s="5"/>
      <c r="Z1021" s="5"/>
    </row>
    <row r="1022">
      <c r="A1022" s="5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5"/>
      <c r="P1022" s="5"/>
      <c r="Q1022" s="5"/>
      <c r="R1022" s="5"/>
      <c r="S1022" s="5"/>
      <c r="T1022" s="5"/>
      <c r="U1022" s="5"/>
      <c r="V1022" s="5"/>
      <c r="W1022" s="5"/>
      <c r="X1022" s="5"/>
      <c r="Y1022" s="5"/>
      <c r="Z1022" s="5"/>
    </row>
    <row r="1023">
      <c r="A1023" s="5"/>
      <c r="B1023" s="5"/>
      <c r="C1023" s="5"/>
      <c r="D1023" s="5"/>
      <c r="E1023" s="5"/>
      <c r="F1023" s="5"/>
      <c r="G1023" s="5"/>
      <c r="H1023" s="5"/>
      <c r="I1023" s="5"/>
      <c r="J1023" s="5"/>
      <c r="K1023" s="5"/>
      <c r="L1023" s="5"/>
      <c r="M1023" s="5"/>
      <c r="N1023" s="5"/>
      <c r="O1023" s="5"/>
      <c r="P1023" s="5"/>
      <c r="Q1023" s="5"/>
      <c r="R1023" s="5"/>
      <c r="S1023" s="5"/>
      <c r="T1023" s="5"/>
      <c r="U1023" s="5"/>
      <c r="V1023" s="5"/>
      <c r="W1023" s="5"/>
      <c r="X1023" s="5"/>
      <c r="Y1023" s="5"/>
      <c r="Z1023" s="5"/>
    </row>
    <row r="1024">
      <c r="A1024" s="5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5"/>
      <c r="P1024" s="5"/>
      <c r="Q1024" s="5"/>
      <c r="R1024" s="5"/>
      <c r="S1024" s="5"/>
      <c r="T1024" s="5"/>
      <c r="U1024" s="5"/>
      <c r="V1024" s="5"/>
      <c r="W1024" s="5"/>
      <c r="X1024" s="5"/>
      <c r="Y1024" s="5"/>
      <c r="Z1024" s="5"/>
    </row>
    <row r="1025">
      <c r="A1025" s="5"/>
      <c r="B1025" s="5"/>
      <c r="C1025" s="5"/>
      <c r="D1025" s="5"/>
      <c r="E1025" s="5"/>
      <c r="F1025" s="5"/>
      <c r="G1025" s="5"/>
      <c r="H1025" s="5"/>
      <c r="I1025" s="5"/>
      <c r="J1025" s="5"/>
      <c r="K1025" s="5"/>
      <c r="L1025" s="5"/>
      <c r="M1025" s="5"/>
      <c r="N1025" s="5"/>
      <c r="O1025" s="5"/>
      <c r="P1025" s="5"/>
      <c r="Q1025" s="5"/>
      <c r="R1025" s="5"/>
      <c r="S1025" s="5"/>
      <c r="T1025" s="5"/>
      <c r="U1025" s="5"/>
      <c r="V1025" s="5"/>
      <c r="W1025" s="5"/>
      <c r="X1025" s="5"/>
      <c r="Y1025" s="5"/>
      <c r="Z1025" s="5"/>
    </row>
    <row r="1026">
      <c r="A1026" s="5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5"/>
      <c r="P1026" s="5"/>
      <c r="Q1026" s="5"/>
      <c r="R1026" s="5"/>
      <c r="S1026" s="5"/>
      <c r="T1026" s="5"/>
      <c r="U1026" s="5"/>
      <c r="V1026" s="5"/>
      <c r="W1026" s="5"/>
      <c r="X1026" s="5"/>
      <c r="Y1026" s="5"/>
      <c r="Z1026" s="5"/>
    </row>
    <row r="1027">
      <c r="A1027" s="5"/>
      <c r="B1027" s="5"/>
      <c r="C1027" s="5"/>
      <c r="D1027" s="5"/>
      <c r="E1027" s="5"/>
      <c r="F1027" s="5"/>
      <c r="G1027" s="5"/>
      <c r="H1027" s="5"/>
      <c r="I1027" s="5"/>
      <c r="J1027" s="5"/>
      <c r="K1027" s="5"/>
      <c r="L1027" s="5"/>
      <c r="M1027" s="5"/>
      <c r="N1027" s="5"/>
      <c r="O1027" s="5"/>
      <c r="P1027" s="5"/>
      <c r="Q1027" s="5"/>
      <c r="R1027" s="5"/>
      <c r="S1027" s="5"/>
      <c r="T1027" s="5"/>
      <c r="U1027" s="5"/>
      <c r="V1027" s="5"/>
      <c r="W1027" s="5"/>
      <c r="X1027" s="5"/>
      <c r="Y1027" s="5"/>
      <c r="Z1027" s="5"/>
    </row>
    <row r="1028">
      <c r="A1028" s="5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5"/>
      <c r="P1028" s="5"/>
      <c r="Q1028" s="5"/>
      <c r="R1028" s="5"/>
      <c r="S1028" s="5"/>
      <c r="T1028" s="5"/>
      <c r="U1028" s="5"/>
      <c r="V1028" s="5"/>
      <c r="W1028" s="5"/>
      <c r="X1028" s="5"/>
      <c r="Y1028" s="5"/>
      <c r="Z1028" s="5"/>
    </row>
    <row r="1029">
      <c r="A1029" s="5"/>
      <c r="B1029" s="5"/>
      <c r="C1029" s="5"/>
      <c r="D1029" s="5"/>
      <c r="E1029" s="5"/>
      <c r="F1029" s="5"/>
      <c r="G1029" s="5"/>
      <c r="H1029" s="5"/>
      <c r="I1029" s="5"/>
      <c r="J1029" s="5"/>
      <c r="K1029" s="5"/>
      <c r="L1029" s="5"/>
      <c r="M1029" s="5"/>
      <c r="N1029" s="5"/>
      <c r="O1029" s="5"/>
      <c r="P1029" s="5"/>
      <c r="Q1029" s="5"/>
      <c r="R1029" s="5"/>
      <c r="S1029" s="5"/>
      <c r="T1029" s="5"/>
      <c r="U1029" s="5"/>
      <c r="V1029" s="5"/>
      <c r="W1029" s="5"/>
      <c r="X1029" s="5"/>
      <c r="Y1029" s="5"/>
      <c r="Z1029" s="5"/>
    </row>
    <row r="1030">
      <c r="A1030" s="5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5"/>
      <c r="P1030" s="5"/>
      <c r="Q1030" s="5"/>
      <c r="R1030" s="5"/>
      <c r="S1030" s="5"/>
      <c r="T1030" s="5"/>
      <c r="U1030" s="5"/>
      <c r="V1030" s="5"/>
      <c r="W1030" s="5"/>
      <c r="X1030" s="5"/>
      <c r="Y1030" s="5"/>
      <c r="Z1030" s="5"/>
    </row>
    <row r="1031">
      <c r="A1031" s="5"/>
      <c r="B1031" s="5"/>
      <c r="C1031" s="5"/>
      <c r="D1031" s="5"/>
      <c r="E1031" s="5"/>
      <c r="F1031" s="5"/>
      <c r="G1031" s="5"/>
      <c r="H1031" s="5"/>
      <c r="I1031" s="5"/>
      <c r="J1031" s="5"/>
      <c r="K1031" s="5"/>
      <c r="L1031" s="5"/>
      <c r="M1031" s="5"/>
      <c r="N1031" s="5"/>
      <c r="O1031" s="5"/>
      <c r="P1031" s="5"/>
      <c r="Q1031" s="5"/>
      <c r="R1031" s="5"/>
      <c r="S1031" s="5"/>
      <c r="T1031" s="5"/>
      <c r="U1031" s="5"/>
      <c r="V1031" s="5"/>
      <c r="W1031" s="5"/>
      <c r="X1031" s="5"/>
      <c r="Y1031" s="5"/>
      <c r="Z1031" s="5"/>
    </row>
    <row r="1032">
      <c r="A1032" s="5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5"/>
      <c r="P1032" s="5"/>
      <c r="Q1032" s="5"/>
      <c r="R1032" s="5"/>
      <c r="S1032" s="5"/>
      <c r="T1032" s="5"/>
      <c r="U1032" s="5"/>
      <c r="V1032" s="5"/>
      <c r="W1032" s="5"/>
      <c r="X1032" s="5"/>
      <c r="Y1032" s="5"/>
      <c r="Z1032" s="5"/>
    </row>
    <row r="1033">
      <c r="A1033" s="5"/>
      <c r="B1033" s="5"/>
      <c r="C1033" s="5"/>
      <c r="D1033" s="5"/>
      <c r="E1033" s="5"/>
      <c r="F1033" s="5"/>
      <c r="G1033" s="5"/>
      <c r="H1033" s="5"/>
      <c r="I1033" s="5"/>
      <c r="J1033" s="5"/>
      <c r="K1033" s="5"/>
      <c r="L1033" s="5"/>
      <c r="M1033" s="5"/>
      <c r="N1033" s="5"/>
      <c r="O1033" s="5"/>
      <c r="P1033" s="5"/>
      <c r="Q1033" s="5"/>
      <c r="R1033" s="5"/>
      <c r="S1033" s="5"/>
      <c r="T1033" s="5"/>
      <c r="U1033" s="5"/>
      <c r="V1033" s="5"/>
      <c r="W1033" s="5"/>
      <c r="X1033" s="5"/>
      <c r="Y1033" s="5"/>
      <c r="Z1033" s="5"/>
    </row>
    <row r="1034">
      <c r="A1034" s="5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5"/>
      <c r="P1034" s="5"/>
      <c r="Q1034" s="5"/>
      <c r="R1034" s="5"/>
      <c r="S1034" s="5"/>
      <c r="T1034" s="5"/>
      <c r="U1034" s="5"/>
      <c r="V1034" s="5"/>
      <c r="W1034" s="5"/>
      <c r="X1034" s="5"/>
      <c r="Y1034" s="5"/>
      <c r="Z1034" s="5"/>
    </row>
    <row r="1035">
      <c r="A1035" s="5"/>
      <c r="B1035" s="5"/>
      <c r="C1035" s="5"/>
      <c r="D1035" s="5"/>
      <c r="E1035" s="5"/>
      <c r="F1035" s="5"/>
      <c r="G1035" s="5"/>
      <c r="H1035" s="5"/>
      <c r="I1035" s="5"/>
      <c r="J1035" s="5"/>
      <c r="K1035" s="5"/>
      <c r="L1035" s="5"/>
      <c r="M1035" s="5"/>
      <c r="N1035" s="5"/>
      <c r="O1035" s="5"/>
      <c r="P1035" s="5"/>
      <c r="Q1035" s="5"/>
      <c r="R1035" s="5"/>
      <c r="S1035" s="5"/>
      <c r="T1035" s="5"/>
      <c r="U1035" s="5"/>
      <c r="V1035" s="5"/>
      <c r="W1035" s="5"/>
      <c r="X1035" s="5"/>
      <c r="Y1035" s="5"/>
      <c r="Z1035" s="5"/>
    </row>
    <row r="1036">
      <c r="A1036" s="5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5"/>
      <c r="P1036" s="5"/>
      <c r="Q1036" s="5"/>
      <c r="R1036" s="5"/>
      <c r="S1036" s="5"/>
      <c r="T1036" s="5"/>
      <c r="U1036" s="5"/>
      <c r="V1036" s="5"/>
      <c r="W1036" s="5"/>
      <c r="X1036" s="5"/>
      <c r="Y1036" s="5"/>
      <c r="Z1036" s="5"/>
    </row>
    <row r="1037">
      <c r="A1037" s="5"/>
      <c r="B1037" s="5"/>
      <c r="C1037" s="5"/>
      <c r="D1037" s="5"/>
      <c r="E1037" s="5"/>
      <c r="F1037" s="5"/>
      <c r="G1037" s="5"/>
      <c r="H1037" s="5"/>
      <c r="I1037" s="5"/>
      <c r="J1037" s="5"/>
      <c r="K1037" s="5"/>
      <c r="L1037" s="5"/>
      <c r="M1037" s="5"/>
      <c r="N1037" s="5"/>
      <c r="O1037" s="5"/>
      <c r="P1037" s="5"/>
      <c r="Q1037" s="5"/>
      <c r="R1037" s="5"/>
      <c r="S1037" s="5"/>
      <c r="T1037" s="5"/>
      <c r="U1037" s="5"/>
      <c r="V1037" s="5"/>
      <c r="W1037" s="5"/>
      <c r="X1037" s="5"/>
      <c r="Y1037" s="5"/>
      <c r="Z1037" s="5"/>
    </row>
    <row r="1038">
      <c r="A1038" s="5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5"/>
      <c r="P1038" s="5"/>
      <c r="Q1038" s="5"/>
      <c r="R1038" s="5"/>
      <c r="S1038" s="5"/>
      <c r="T1038" s="5"/>
      <c r="U1038" s="5"/>
      <c r="V1038" s="5"/>
      <c r="W1038" s="5"/>
      <c r="X1038" s="5"/>
      <c r="Y1038" s="5"/>
      <c r="Z1038" s="5"/>
    </row>
    <row r="1039">
      <c r="A1039" s="5"/>
      <c r="B1039" s="5"/>
      <c r="C1039" s="5"/>
      <c r="D1039" s="5"/>
      <c r="E1039" s="5"/>
      <c r="F1039" s="5"/>
      <c r="G1039" s="5"/>
      <c r="H1039" s="5"/>
      <c r="I1039" s="5"/>
      <c r="J1039" s="5"/>
      <c r="K1039" s="5"/>
      <c r="L1039" s="5"/>
      <c r="M1039" s="5"/>
      <c r="N1039" s="5"/>
      <c r="O1039" s="5"/>
      <c r="P1039" s="5"/>
      <c r="Q1039" s="5"/>
      <c r="R1039" s="5"/>
      <c r="S1039" s="5"/>
      <c r="T1039" s="5"/>
      <c r="U1039" s="5"/>
      <c r="V1039" s="5"/>
      <c r="W1039" s="5"/>
      <c r="X1039" s="5"/>
      <c r="Y1039" s="5"/>
      <c r="Z1039" s="5"/>
    </row>
    <row r="1040">
      <c r="A1040" s="5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5"/>
      <c r="P1040" s="5"/>
      <c r="Q1040" s="5"/>
      <c r="R1040" s="5"/>
      <c r="S1040" s="5"/>
      <c r="T1040" s="5"/>
      <c r="U1040" s="5"/>
      <c r="V1040" s="5"/>
      <c r="W1040" s="5"/>
      <c r="X1040" s="5"/>
      <c r="Y1040" s="5"/>
      <c r="Z1040" s="5"/>
    </row>
    <row r="1041">
      <c r="A1041" s="5"/>
      <c r="B1041" s="5"/>
      <c r="C1041" s="5"/>
      <c r="D1041" s="5"/>
      <c r="E1041" s="5"/>
      <c r="F1041" s="5"/>
      <c r="G1041" s="5"/>
      <c r="H1041" s="5"/>
      <c r="I1041" s="5"/>
      <c r="J1041" s="5"/>
      <c r="K1041" s="5"/>
      <c r="L1041" s="5"/>
      <c r="M1041" s="5"/>
      <c r="N1041" s="5"/>
      <c r="O1041" s="5"/>
      <c r="P1041" s="5"/>
      <c r="Q1041" s="5"/>
      <c r="R1041" s="5"/>
      <c r="S1041" s="5"/>
      <c r="T1041" s="5"/>
      <c r="U1041" s="5"/>
      <c r="V1041" s="5"/>
      <c r="W1041" s="5"/>
      <c r="X1041" s="5"/>
      <c r="Y1041" s="5"/>
      <c r="Z1041" s="5"/>
    </row>
    <row r="1042">
      <c r="A1042" s="5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5"/>
      <c r="P1042" s="5"/>
      <c r="Q1042" s="5"/>
      <c r="R1042" s="5"/>
      <c r="S1042" s="5"/>
      <c r="T1042" s="5"/>
      <c r="U1042" s="5"/>
      <c r="V1042" s="5"/>
      <c r="W1042" s="5"/>
      <c r="X1042" s="5"/>
      <c r="Y1042" s="5"/>
      <c r="Z1042" s="5"/>
    </row>
    <row r="1043">
      <c r="A1043" s="5"/>
      <c r="B1043" s="5"/>
      <c r="C1043" s="5"/>
      <c r="D1043" s="5"/>
      <c r="E1043" s="5"/>
      <c r="F1043" s="5"/>
      <c r="G1043" s="5"/>
      <c r="H1043" s="5"/>
      <c r="I1043" s="5"/>
      <c r="J1043" s="5"/>
      <c r="K1043" s="5"/>
      <c r="L1043" s="5"/>
      <c r="M1043" s="5"/>
      <c r="N1043" s="5"/>
      <c r="O1043" s="5"/>
      <c r="P1043" s="5"/>
      <c r="Q1043" s="5"/>
      <c r="R1043" s="5"/>
      <c r="S1043" s="5"/>
      <c r="T1043" s="5"/>
      <c r="U1043" s="5"/>
      <c r="V1043" s="5"/>
      <c r="W1043" s="5"/>
      <c r="X1043" s="5"/>
      <c r="Y1043" s="5"/>
      <c r="Z1043" s="5"/>
    </row>
    <row r="1044">
      <c r="A1044" s="5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5"/>
      <c r="P1044" s="5"/>
      <c r="Q1044" s="5"/>
      <c r="R1044" s="5"/>
      <c r="S1044" s="5"/>
      <c r="T1044" s="5"/>
      <c r="U1044" s="5"/>
      <c r="V1044" s="5"/>
      <c r="W1044" s="5"/>
      <c r="X1044" s="5"/>
      <c r="Y1044" s="5"/>
      <c r="Z1044" s="5"/>
    </row>
    <row r="1045">
      <c r="A1045" s="5"/>
      <c r="B1045" s="5"/>
      <c r="C1045" s="5"/>
      <c r="D1045" s="5"/>
      <c r="E1045" s="5"/>
      <c r="F1045" s="5"/>
      <c r="G1045" s="5"/>
      <c r="H1045" s="5"/>
      <c r="I1045" s="5"/>
      <c r="J1045" s="5"/>
      <c r="K1045" s="5"/>
      <c r="L1045" s="5"/>
      <c r="M1045" s="5"/>
      <c r="N1045" s="5"/>
      <c r="O1045" s="5"/>
      <c r="P1045" s="5"/>
      <c r="Q1045" s="5"/>
      <c r="R1045" s="5"/>
      <c r="S1045" s="5"/>
      <c r="T1045" s="5"/>
      <c r="U1045" s="5"/>
      <c r="V1045" s="5"/>
      <c r="W1045" s="5"/>
      <c r="X1045" s="5"/>
      <c r="Y1045" s="5"/>
      <c r="Z1045" s="5"/>
    </row>
    <row r="1046">
      <c r="A1046" s="5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5"/>
      <c r="P1046" s="5"/>
      <c r="Q1046" s="5"/>
      <c r="R1046" s="5"/>
      <c r="S1046" s="5"/>
      <c r="T1046" s="5"/>
      <c r="U1046" s="5"/>
      <c r="V1046" s="5"/>
      <c r="W1046" s="5"/>
      <c r="X1046" s="5"/>
      <c r="Y1046" s="5"/>
      <c r="Z1046" s="5"/>
    </row>
    <row r="1047">
      <c r="A1047" s="5"/>
      <c r="B1047" s="5"/>
      <c r="C1047" s="5"/>
      <c r="D1047" s="5"/>
      <c r="E1047" s="5"/>
      <c r="F1047" s="5"/>
      <c r="G1047" s="5"/>
      <c r="H1047" s="5"/>
      <c r="I1047" s="5"/>
      <c r="J1047" s="5"/>
      <c r="K1047" s="5"/>
      <c r="L1047" s="5"/>
      <c r="M1047" s="5"/>
      <c r="N1047" s="5"/>
      <c r="O1047" s="5"/>
      <c r="P1047" s="5"/>
      <c r="Q1047" s="5"/>
      <c r="R1047" s="5"/>
      <c r="S1047" s="5"/>
      <c r="T1047" s="5"/>
      <c r="U1047" s="5"/>
      <c r="V1047" s="5"/>
      <c r="W1047" s="5"/>
      <c r="X1047" s="5"/>
      <c r="Y1047" s="5"/>
      <c r="Z1047" s="5"/>
    </row>
    <row r="1048">
      <c r="A1048" s="5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5"/>
      <c r="P1048" s="5"/>
      <c r="Q1048" s="5"/>
      <c r="R1048" s="5"/>
      <c r="S1048" s="5"/>
      <c r="T1048" s="5"/>
      <c r="U1048" s="5"/>
      <c r="V1048" s="5"/>
      <c r="W1048" s="5"/>
      <c r="X1048" s="5"/>
      <c r="Y1048" s="5"/>
      <c r="Z1048" s="5"/>
    </row>
    <row r="1049">
      <c r="A1049" s="5"/>
      <c r="B1049" s="5"/>
      <c r="C1049" s="5"/>
      <c r="D1049" s="5"/>
      <c r="E1049" s="5"/>
      <c r="F1049" s="5"/>
      <c r="G1049" s="5"/>
      <c r="H1049" s="5"/>
      <c r="I1049" s="5"/>
      <c r="J1049" s="5"/>
      <c r="K1049" s="5"/>
      <c r="L1049" s="5"/>
      <c r="M1049" s="5"/>
      <c r="N1049" s="5"/>
      <c r="O1049" s="5"/>
      <c r="P1049" s="5"/>
      <c r="Q1049" s="5"/>
      <c r="R1049" s="5"/>
      <c r="S1049" s="5"/>
      <c r="T1049" s="5"/>
      <c r="U1049" s="5"/>
      <c r="V1049" s="5"/>
      <c r="W1049" s="5"/>
      <c r="X1049" s="5"/>
      <c r="Y1049" s="5"/>
      <c r="Z1049" s="5"/>
    </row>
    <row r="1050">
      <c r="A1050" s="5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5"/>
      <c r="P1050" s="5"/>
      <c r="Q1050" s="5"/>
      <c r="R1050" s="5"/>
      <c r="S1050" s="5"/>
      <c r="T1050" s="5"/>
      <c r="U1050" s="5"/>
      <c r="V1050" s="5"/>
      <c r="W1050" s="5"/>
      <c r="X1050" s="5"/>
      <c r="Y1050" s="5"/>
      <c r="Z1050" s="5"/>
    </row>
    <row r="1051">
      <c r="A1051" s="5"/>
      <c r="B1051" s="5"/>
      <c r="C1051" s="5"/>
      <c r="D1051" s="5"/>
      <c r="E1051" s="5"/>
      <c r="F1051" s="5"/>
      <c r="G1051" s="5"/>
      <c r="H1051" s="5"/>
      <c r="I1051" s="5"/>
      <c r="J1051" s="5"/>
      <c r="K1051" s="5"/>
      <c r="L1051" s="5"/>
      <c r="M1051" s="5"/>
      <c r="N1051" s="5"/>
      <c r="O1051" s="5"/>
      <c r="P1051" s="5"/>
      <c r="Q1051" s="5"/>
      <c r="R1051" s="5"/>
      <c r="S1051" s="5"/>
      <c r="T1051" s="5"/>
      <c r="U1051" s="5"/>
      <c r="V1051" s="5"/>
      <c r="W1051" s="5"/>
      <c r="X1051" s="5"/>
      <c r="Y1051" s="5"/>
      <c r="Z1051" s="5"/>
    </row>
    <row r="1052">
      <c r="A1052" s="5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5"/>
      <c r="P1052" s="5"/>
      <c r="Q1052" s="5"/>
      <c r="R1052" s="5"/>
      <c r="S1052" s="5"/>
      <c r="T1052" s="5"/>
      <c r="U1052" s="5"/>
      <c r="V1052" s="5"/>
      <c r="W1052" s="5"/>
      <c r="X1052" s="5"/>
      <c r="Y1052" s="5"/>
      <c r="Z1052" s="5"/>
    </row>
    <row r="1053">
      <c r="A1053" s="5"/>
      <c r="B1053" s="5"/>
      <c r="C1053" s="5"/>
      <c r="D1053" s="5"/>
      <c r="E1053" s="5"/>
      <c r="F1053" s="5"/>
      <c r="G1053" s="5"/>
      <c r="H1053" s="5"/>
      <c r="I1053" s="5"/>
      <c r="J1053" s="5"/>
      <c r="K1053" s="5"/>
      <c r="L1053" s="5"/>
      <c r="M1053" s="5"/>
      <c r="N1053" s="5"/>
      <c r="O1053" s="5"/>
      <c r="P1053" s="5"/>
      <c r="Q1053" s="5"/>
      <c r="R1053" s="5"/>
      <c r="S1053" s="5"/>
      <c r="T1053" s="5"/>
      <c r="U1053" s="5"/>
      <c r="V1053" s="5"/>
      <c r="W1053" s="5"/>
      <c r="X1053" s="5"/>
      <c r="Y1053" s="5"/>
      <c r="Z1053" s="5"/>
    </row>
    <row r="1054">
      <c r="A1054" s="5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5"/>
      <c r="P1054" s="5"/>
      <c r="Q1054" s="5"/>
      <c r="R1054" s="5"/>
      <c r="S1054" s="5"/>
      <c r="T1054" s="5"/>
      <c r="U1054" s="5"/>
      <c r="V1054" s="5"/>
      <c r="W1054" s="5"/>
      <c r="X1054" s="5"/>
      <c r="Y1054" s="5"/>
      <c r="Z1054" s="5"/>
    </row>
    <row r="1055">
      <c r="A1055" s="5"/>
      <c r="B1055" s="5"/>
      <c r="C1055" s="5"/>
      <c r="D1055" s="5"/>
      <c r="E1055" s="5"/>
      <c r="F1055" s="5"/>
      <c r="G1055" s="5"/>
      <c r="H1055" s="5"/>
      <c r="I1055" s="5"/>
      <c r="J1055" s="5"/>
      <c r="K1055" s="5"/>
      <c r="L1055" s="5"/>
      <c r="M1055" s="5"/>
      <c r="N1055" s="5"/>
      <c r="O1055" s="5"/>
      <c r="P1055" s="5"/>
      <c r="Q1055" s="5"/>
      <c r="R1055" s="5"/>
      <c r="S1055" s="5"/>
      <c r="T1055" s="5"/>
      <c r="U1055" s="5"/>
      <c r="V1055" s="5"/>
      <c r="W1055" s="5"/>
      <c r="X1055" s="5"/>
      <c r="Y1055" s="5"/>
      <c r="Z1055" s="5"/>
    </row>
    <row r="1056">
      <c r="A1056" s="5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5"/>
      <c r="P1056" s="5"/>
      <c r="Q1056" s="5"/>
      <c r="R1056" s="5"/>
      <c r="S1056" s="5"/>
      <c r="T1056" s="5"/>
      <c r="U1056" s="5"/>
      <c r="V1056" s="5"/>
      <c r="W1056" s="5"/>
      <c r="X1056" s="5"/>
      <c r="Y1056" s="5"/>
      <c r="Z1056" s="5"/>
    </row>
    <row r="1057">
      <c r="A1057" s="5"/>
      <c r="B1057" s="5"/>
      <c r="C1057" s="5"/>
      <c r="D1057" s="5"/>
      <c r="E1057" s="5"/>
      <c r="F1057" s="5"/>
      <c r="G1057" s="5"/>
      <c r="H1057" s="5"/>
      <c r="I1057" s="5"/>
      <c r="J1057" s="5"/>
      <c r="K1057" s="5"/>
      <c r="L1057" s="5"/>
      <c r="M1057" s="5"/>
      <c r="N1057" s="5"/>
      <c r="O1057" s="5"/>
      <c r="P1057" s="5"/>
      <c r="Q1057" s="5"/>
      <c r="R1057" s="5"/>
      <c r="S1057" s="5"/>
      <c r="T1057" s="5"/>
      <c r="U1057" s="5"/>
      <c r="V1057" s="5"/>
      <c r="W1057" s="5"/>
      <c r="X1057" s="5"/>
      <c r="Y1057" s="5"/>
      <c r="Z1057" s="5"/>
    </row>
    <row r="1058">
      <c r="A1058" s="5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5"/>
      <c r="P1058" s="5"/>
      <c r="Q1058" s="5"/>
      <c r="R1058" s="5"/>
      <c r="S1058" s="5"/>
      <c r="T1058" s="5"/>
      <c r="U1058" s="5"/>
      <c r="V1058" s="5"/>
      <c r="W1058" s="5"/>
      <c r="X1058" s="5"/>
      <c r="Y1058" s="5"/>
      <c r="Z1058" s="5"/>
    </row>
    <row r="1059">
      <c r="A1059" s="5"/>
      <c r="B1059" s="5"/>
      <c r="C1059" s="5"/>
      <c r="D1059" s="5"/>
      <c r="E1059" s="5"/>
      <c r="F1059" s="5"/>
      <c r="G1059" s="5"/>
      <c r="H1059" s="5"/>
      <c r="I1059" s="5"/>
      <c r="J1059" s="5"/>
      <c r="K1059" s="5"/>
      <c r="L1059" s="5"/>
      <c r="M1059" s="5"/>
      <c r="N1059" s="5"/>
      <c r="O1059" s="5"/>
      <c r="P1059" s="5"/>
      <c r="Q1059" s="5"/>
      <c r="R1059" s="5"/>
      <c r="S1059" s="5"/>
      <c r="T1059" s="5"/>
      <c r="U1059" s="5"/>
      <c r="V1059" s="5"/>
      <c r="W1059" s="5"/>
      <c r="X1059" s="5"/>
      <c r="Y1059" s="5"/>
      <c r="Z1059" s="5"/>
    </row>
    <row r="1060">
      <c r="A1060" s="5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5"/>
      <c r="P1060" s="5"/>
      <c r="Q1060" s="5"/>
      <c r="R1060" s="5"/>
      <c r="S1060" s="5"/>
      <c r="T1060" s="5"/>
      <c r="U1060" s="5"/>
      <c r="V1060" s="5"/>
      <c r="W1060" s="5"/>
      <c r="X1060" s="5"/>
      <c r="Y1060" s="5"/>
      <c r="Z1060" s="5"/>
    </row>
    <row r="1061">
      <c r="A1061" s="5"/>
      <c r="B1061" s="5"/>
      <c r="C1061" s="5"/>
      <c r="D1061" s="5"/>
      <c r="E1061" s="5"/>
      <c r="F1061" s="5"/>
      <c r="G1061" s="5"/>
      <c r="H1061" s="5"/>
      <c r="I1061" s="5"/>
      <c r="J1061" s="5"/>
      <c r="K1061" s="5"/>
      <c r="L1061" s="5"/>
      <c r="M1061" s="5"/>
      <c r="N1061" s="5"/>
      <c r="O1061" s="5"/>
      <c r="P1061" s="5"/>
      <c r="Q1061" s="5"/>
      <c r="R1061" s="5"/>
      <c r="S1061" s="5"/>
      <c r="T1061" s="5"/>
      <c r="U1061" s="5"/>
      <c r="V1061" s="5"/>
      <c r="W1061" s="5"/>
      <c r="X1061" s="5"/>
      <c r="Y1061" s="5"/>
      <c r="Z1061" s="5"/>
    </row>
    <row r="1062">
      <c r="A1062" s="5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5"/>
      <c r="P1062" s="5"/>
      <c r="Q1062" s="5"/>
      <c r="R1062" s="5"/>
      <c r="S1062" s="5"/>
      <c r="T1062" s="5"/>
      <c r="U1062" s="5"/>
      <c r="V1062" s="5"/>
      <c r="W1062" s="5"/>
      <c r="X1062" s="5"/>
      <c r="Y1062" s="5"/>
      <c r="Z1062" s="5"/>
    </row>
    <row r="1063">
      <c r="A1063" s="5"/>
      <c r="B1063" s="5"/>
      <c r="C1063" s="5"/>
      <c r="D1063" s="5"/>
      <c r="E1063" s="5"/>
      <c r="F1063" s="5"/>
      <c r="G1063" s="5"/>
      <c r="H1063" s="5"/>
      <c r="I1063" s="5"/>
      <c r="J1063" s="5"/>
      <c r="K1063" s="5"/>
      <c r="L1063" s="5"/>
      <c r="M1063" s="5"/>
      <c r="N1063" s="5"/>
      <c r="O1063" s="5"/>
      <c r="P1063" s="5"/>
      <c r="Q1063" s="5"/>
      <c r="R1063" s="5"/>
      <c r="S1063" s="5"/>
      <c r="T1063" s="5"/>
      <c r="U1063" s="5"/>
      <c r="V1063" s="5"/>
      <c r="W1063" s="5"/>
      <c r="X1063" s="5"/>
      <c r="Y1063" s="5"/>
      <c r="Z1063" s="5"/>
    </row>
    <row r="1064">
      <c r="A1064" s="5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5"/>
      <c r="P1064" s="5"/>
      <c r="Q1064" s="5"/>
      <c r="R1064" s="5"/>
      <c r="S1064" s="5"/>
      <c r="T1064" s="5"/>
      <c r="U1064" s="5"/>
      <c r="V1064" s="5"/>
      <c r="W1064" s="5"/>
      <c r="X1064" s="5"/>
      <c r="Y1064" s="5"/>
      <c r="Z1064" s="5"/>
    </row>
    <row r="1065">
      <c r="A1065" s="5"/>
      <c r="B1065" s="5"/>
      <c r="C1065" s="5"/>
      <c r="D1065" s="5"/>
      <c r="E1065" s="5"/>
      <c r="F1065" s="5"/>
      <c r="G1065" s="5"/>
      <c r="H1065" s="5"/>
      <c r="I1065" s="5"/>
      <c r="J1065" s="5"/>
      <c r="K1065" s="5"/>
      <c r="L1065" s="5"/>
      <c r="M1065" s="5"/>
      <c r="N1065" s="5"/>
      <c r="O1065" s="5"/>
      <c r="P1065" s="5"/>
      <c r="Q1065" s="5"/>
      <c r="R1065" s="5"/>
      <c r="S1065" s="5"/>
      <c r="T1065" s="5"/>
      <c r="U1065" s="5"/>
      <c r="V1065" s="5"/>
      <c r="W1065" s="5"/>
      <c r="X1065" s="5"/>
      <c r="Y1065" s="5"/>
      <c r="Z1065" s="5"/>
    </row>
    <row r="1066">
      <c r="A1066" s="5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5"/>
      <c r="P1066" s="5"/>
      <c r="Q1066" s="5"/>
      <c r="R1066" s="5"/>
      <c r="S1066" s="5"/>
      <c r="T1066" s="5"/>
      <c r="U1066" s="5"/>
      <c r="V1066" s="5"/>
      <c r="W1066" s="5"/>
      <c r="X1066" s="5"/>
      <c r="Y1066" s="5"/>
      <c r="Z1066" s="5"/>
    </row>
    <row r="1067">
      <c r="A1067" s="5"/>
      <c r="B1067" s="5"/>
      <c r="C1067" s="5"/>
      <c r="D1067" s="5"/>
      <c r="E1067" s="5"/>
      <c r="F1067" s="5"/>
      <c r="G1067" s="5"/>
      <c r="H1067" s="5"/>
      <c r="I1067" s="5"/>
      <c r="J1067" s="5"/>
      <c r="K1067" s="5"/>
      <c r="L1067" s="5"/>
      <c r="M1067" s="5"/>
      <c r="N1067" s="5"/>
      <c r="O1067" s="5"/>
      <c r="P1067" s="5"/>
      <c r="Q1067" s="5"/>
      <c r="R1067" s="5"/>
      <c r="S1067" s="5"/>
      <c r="T1067" s="5"/>
      <c r="U1067" s="5"/>
      <c r="V1067" s="5"/>
      <c r="W1067" s="5"/>
      <c r="X1067" s="5"/>
      <c r="Y1067" s="5"/>
      <c r="Z1067" s="5"/>
    </row>
    <row r="1068">
      <c r="A1068" s="5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5"/>
      <c r="P1068" s="5"/>
      <c r="Q1068" s="5"/>
      <c r="R1068" s="5"/>
      <c r="S1068" s="5"/>
      <c r="T1068" s="5"/>
      <c r="U1068" s="5"/>
      <c r="V1068" s="5"/>
      <c r="W1068" s="5"/>
      <c r="X1068" s="5"/>
      <c r="Y1068" s="5"/>
      <c r="Z1068" s="5"/>
    </row>
    <row r="1069">
      <c r="A1069" s="5"/>
      <c r="B1069" s="5"/>
      <c r="C1069" s="5"/>
      <c r="D1069" s="5"/>
      <c r="E1069" s="5"/>
      <c r="F1069" s="5"/>
      <c r="G1069" s="5"/>
      <c r="H1069" s="5"/>
      <c r="I1069" s="5"/>
      <c r="J1069" s="5"/>
      <c r="K1069" s="5"/>
      <c r="L1069" s="5"/>
      <c r="M1069" s="5"/>
      <c r="N1069" s="5"/>
      <c r="O1069" s="5"/>
      <c r="P1069" s="5"/>
      <c r="Q1069" s="5"/>
      <c r="R1069" s="5"/>
      <c r="S1069" s="5"/>
      <c r="T1069" s="5"/>
      <c r="U1069" s="5"/>
      <c r="V1069" s="5"/>
      <c r="W1069" s="5"/>
      <c r="X1069" s="5"/>
      <c r="Y1069" s="5"/>
      <c r="Z1069" s="5"/>
    </row>
    <row r="1070">
      <c r="A1070" s="5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5"/>
      <c r="P1070" s="5"/>
      <c r="Q1070" s="5"/>
      <c r="R1070" s="5"/>
      <c r="S1070" s="5"/>
      <c r="T1070" s="5"/>
      <c r="U1070" s="5"/>
      <c r="V1070" s="5"/>
      <c r="W1070" s="5"/>
      <c r="X1070" s="5"/>
      <c r="Y1070" s="5"/>
      <c r="Z1070" s="5"/>
    </row>
    <row r="1071">
      <c r="A1071" s="5"/>
      <c r="B1071" s="5"/>
      <c r="C1071" s="5"/>
      <c r="D1071" s="5"/>
      <c r="E1071" s="5"/>
      <c r="F1071" s="5"/>
      <c r="G1071" s="5"/>
      <c r="H1071" s="5"/>
      <c r="I1071" s="5"/>
      <c r="J1071" s="5"/>
      <c r="K1071" s="5"/>
      <c r="L1071" s="5"/>
      <c r="M1071" s="5"/>
      <c r="N1071" s="5"/>
      <c r="O1071" s="5"/>
      <c r="P1071" s="5"/>
      <c r="Q1071" s="5"/>
      <c r="R1071" s="5"/>
      <c r="S1071" s="5"/>
      <c r="T1071" s="5"/>
      <c r="U1071" s="5"/>
      <c r="V1071" s="5"/>
      <c r="W1071" s="5"/>
      <c r="X1071" s="5"/>
      <c r="Y1071" s="5"/>
      <c r="Z1071" s="5"/>
    </row>
    <row r="1072">
      <c r="A1072" s="5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5"/>
      <c r="P1072" s="5"/>
      <c r="Q1072" s="5"/>
      <c r="R1072" s="5"/>
      <c r="S1072" s="5"/>
      <c r="T1072" s="5"/>
      <c r="U1072" s="5"/>
      <c r="V1072" s="5"/>
      <c r="W1072" s="5"/>
      <c r="X1072" s="5"/>
      <c r="Y1072" s="5"/>
      <c r="Z1072" s="5"/>
    </row>
    <row r="1073">
      <c r="A1073" s="5"/>
      <c r="B1073" s="5"/>
      <c r="C1073" s="5"/>
      <c r="D1073" s="5"/>
      <c r="E1073" s="5"/>
      <c r="F1073" s="5"/>
      <c r="G1073" s="5"/>
      <c r="H1073" s="5"/>
      <c r="I1073" s="5"/>
      <c r="J1073" s="5"/>
      <c r="K1073" s="5"/>
      <c r="L1073" s="5"/>
      <c r="M1073" s="5"/>
      <c r="N1073" s="5"/>
      <c r="O1073" s="5"/>
      <c r="P1073" s="5"/>
      <c r="Q1073" s="5"/>
      <c r="R1073" s="5"/>
      <c r="S1073" s="5"/>
      <c r="T1073" s="5"/>
      <c r="U1073" s="5"/>
      <c r="V1073" s="5"/>
      <c r="W1073" s="5"/>
      <c r="X1073" s="5"/>
      <c r="Y1073" s="5"/>
      <c r="Z1073" s="5"/>
    </row>
    <row r="1074">
      <c r="A1074" s="5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5"/>
      <c r="P1074" s="5"/>
      <c r="Q1074" s="5"/>
      <c r="R1074" s="5"/>
      <c r="S1074" s="5"/>
      <c r="T1074" s="5"/>
      <c r="U1074" s="5"/>
      <c r="V1074" s="5"/>
      <c r="W1074" s="5"/>
      <c r="X1074" s="5"/>
      <c r="Y1074" s="5"/>
      <c r="Z1074" s="5"/>
    </row>
    <row r="1075">
      <c r="A1075" s="5"/>
      <c r="B1075" s="5"/>
      <c r="C1075" s="5"/>
      <c r="D1075" s="5"/>
      <c r="E1075" s="5"/>
      <c r="F1075" s="5"/>
      <c r="G1075" s="5"/>
      <c r="H1075" s="5"/>
      <c r="I1075" s="5"/>
      <c r="J1075" s="5"/>
      <c r="K1075" s="5"/>
      <c r="L1075" s="5"/>
      <c r="M1075" s="5"/>
      <c r="N1075" s="5"/>
      <c r="O1075" s="5"/>
      <c r="P1075" s="5"/>
      <c r="Q1075" s="5"/>
      <c r="R1075" s="5"/>
      <c r="S1075" s="5"/>
      <c r="T1075" s="5"/>
      <c r="U1075" s="5"/>
      <c r="V1075" s="5"/>
      <c r="W1075" s="5"/>
      <c r="X1075" s="5"/>
      <c r="Y1075" s="5"/>
      <c r="Z1075" s="5"/>
    </row>
    <row r="1076">
      <c r="A1076" s="5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5"/>
      <c r="P1076" s="5"/>
      <c r="Q1076" s="5"/>
      <c r="R1076" s="5"/>
      <c r="S1076" s="5"/>
      <c r="T1076" s="5"/>
      <c r="U1076" s="5"/>
      <c r="V1076" s="5"/>
      <c r="W1076" s="5"/>
      <c r="X1076" s="5"/>
      <c r="Y1076" s="5"/>
      <c r="Z1076" s="5"/>
    </row>
    <row r="1077">
      <c r="A1077" s="5"/>
      <c r="B1077" s="5"/>
      <c r="C1077" s="5"/>
      <c r="D1077" s="5"/>
      <c r="E1077" s="5"/>
      <c r="F1077" s="5"/>
      <c r="G1077" s="5"/>
      <c r="H1077" s="5"/>
      <c r="I1077" s="5"/>
      <c r="J1077" s="5"/>
      <c r="K1077" s="5"/>
      <c r="L1077" s="5"/>
      <c r="M1077" s="5"/>
      <c r="N1077" s="5"/>
      <c r="O1077" s="5"/>
      <c r="P1077" s="5"/>
      <c r="Q1077" s="5"/>
      <c r="R1077" s="5"/>
      <c r="S1077" s="5"/>
      <c r="T1077" s="5"/>
      <c r="U1077" s="5"/>
      <c r="V1077" s="5"/>
      <c r="W1077" s="5"/>
      <c r="X1077" s="5"/>
      <c r="Y1077" s="5"/>
      <c r="Z1077" s="5"/>
    </row>
    <row r="1078">
      <c r="A1078" s="5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5"/>
      <c r="P1078" s="5"/>
      <c r="Q1078" s="5"/>
      <c r="R1078" s="5"/>
      <c r="S1078" s="5"/>
      <c r="T1078" s="5"/>
      <c r="U1078" s="5"/>
      <c r="V1078" s="5"/>
      <c r="W1078" s="5"/>
      <c r="X1078" s="5"/>
      <c r="Y1078" s="5"/>
      <c r="Z1078" s="5"/>
    </row>
    <row r="1079">
      <c r="A1079" s="5"/>
      <c r="B1079" s="5"/>
      <c r="C1079" s="5"/>
      <c r="D1079" s="5"/>
      <c r="E1079" s="5"/>
      <c r="F1079" s="5"/>
      <c r="G1079" s="5"/>
      <c r="H1079" s="5"/>
      <c r="I1079" s="5"/>
      <c r="J1079" s="5"/>
      <c r="K1079" s="5"/>
      <c r="L1079" s="5"/>
      <c r="M1079" s="5"/>
      <c r="N1079" s="5"/>
      <c r="O1079" s="5"/>
      <c r="P1079" s="5"/>
      <c r="Q1079" s="5"/>
      <c r="R1079" s="5"/>
      <c r="S1079" s="5"/>
      <c r="T1079" s="5"/>
      <c r="U1079" s="5"/>
      <c r="V1079" s="5"/>
      <c r="W1079" s="5"/>
      <c r="X1079" s="5"/>
      <c r="Y1079" s="5"/>
      <c r="Z1079" s="5"/>
    </row>
    <row r="1080">
      <c r="A1080" s="5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5"/>
      <c r="P1080" s="5"/>
      <c r="Q1080" s="5"/>
      <c r="R1080" s="5"/>
      <c r="S1080" s="5"/>
      <c r="T1080" s="5"/>
      <c r="U1080" s="5"/>
      <c r="V1080" s="5"/>
      <c r="W1080" s="5"/>
      <c r="X1080" s="5"/>
      <c r="Y1080" s="5"/>
      <c r="Z1080" s="5"/>
    </row>
    <row r="1081">
      <c r="A1081" s="5"/>
      <c r="B1081" s="5"/>
      <c r="C1081" s="5"/>
      <c r="D1081" s="5"/>
      <c r="E1081" s="5"/>
      <c r="F1081" s="5"/>
      <c r="G1081" s="5"/>
      <c r="H1081" s="5"/>
      <c r="I1081" s="5"/>
      <c r="J1081" s="5"/>
      <c r="K1081" s="5"/>
      <c r="L1081" s="5"/>
      <c r="M1081" s="5"/>
      <c r="N1081" s="5"/>
      <c r="O1081" s="5"/>
      <c r="P1081" s="5"/>
      <c r="Q1081" s="5"/>
      <c r="R1081" s="5"/>
      <c r="S1081" s="5"/>
      <c r="T1081" s="5"/>
      <c r="U1081" s="5"/>
      <c r="V1081" s="5"/>
      <c r="W1081" s="5"/>
      <c r="X1081" s="5"/>
      <c r="Y1081" s="5"/>
      <c r="Z1081" s="5"/>
    </row>
    <row r="1082">
      <c r="A1082" s="5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5"/>
      <c r="P1082" s="5"/>
      <c r="Q1082" s="5"/>
      <c r="R1082" s="5"/>
      <c r="S1082" s="5"/>
      <c r="T1082" s="5"/>
      <c r="U1082" s="5"/>
      <c r="V1082" s="5"/>
      <c r="W1082" s="5"/>
      <c r="X1082" s="5"/>
      <c r="Y1082" s="5"/>
      <c r="Z1082" s="5"/>
    </row>
    <row r="1083">
      <c r="A1083" s="5"/>
      <c r="B1083" s="5"/>
      <c r="C1083" s="5"/>
      <c r="D1083" s="5"/>
      <c r="E1083" s="5"/>
      <c r="F1083" s="5"/>
      <c r="G1083" s="5"/>
      <c r="H1083" s="5"/>
      <c r="I1083" s="5"/>
      <c r="J1083" s="5"/>
      <c r="K1083" s="5"/>
      <c r="L1083" s="5"/>
      <c r="M1083" s="5"/>
      <c r="N1083" s="5"/>
      <c r="O1083" s="5"/>
      <c r="P1083" s="5"/>
      <c r="Q1083" s="5"/>
      <c r="R1083" s="5"/>
      <c r="S1083" s="5"/>
      <c r="T1083" s="5"/>
      <c r="U1083" s="5"/>
      <c r="V1083" s="5"/>
      <c r="W1083" s="5"/>
      <c r="X1083" s="5"/>
      <c r="Y1083" s="5"/>
      <c r="Z1083" s="5"/>
    </row>
    <row r="1084">
      <c r="A1084" s="5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5"/>
      <c r="P1084" s="5"/>
      <c r="Q1084" s="5"/>
      <c r="R1084" s="5"/>
      <c r="S1084" s="5"/>
      <c r="T1084" s="5"/>
      <c r="U1084" s="5"/>
      <c r="V1084" s="5"/>
      <c r="W1084" s="5"/>
      <c r="X1084" s="5"/>
      <c r="Y1084" s="5"/>
      <c r="Z1084" s="5"/>
    </row>
    <row r="1085">
      <c r="A1085" s="5"/>
      <c r="B1085" s="5"/>
      <c r="C1085" s="5"/>
      <c r="D1085" s="5"/>
      <c r="E1085" s="5"/>
      <c r="F1085" s="5"/>
      <c r="G1085" s="5"/>
      <c r="H1085" s="5"/>
      <c r="I1085" s="5"/>
      <c r="J1085" s="5"/>
      <c r="K1085" s="5"/>
      <c r="L1085" s="5"/>
      <c r="M1085" s="5"/>
      <c r="N1085" s="5"/>
      <c r="O1085" s="5"/>
      <c r="P1085" s="5"/>
      <c r="Q1085" s="5"/>
      <c r="R1085" s="5"/>
      <c r="S1085" s="5"/>
      <c r="T1085" s="5"/>
      <c r="U1085" s="5"/>
      <c r="V1085" s="5"/>
      <c r="W1085" s="5"/>
      <c r="X1085" s="5"/>
      <c r="Y1085" s="5"/>
      <c r="Z1085" s="5"/>
    </row>
    <row r="1086">
      <c r="A1086" s="5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5"/>
      <c r="P1086" s="5"/>
      <c r="Q1086" s="5"/>
      <c r="R1086" s="5"/>
      <c r="S1086" s="5"/>
      <c r="T1086" s="5"/>
      <c r="U1086" s="5"/>
      <c r="V1086" s="5"/>
      <c r="W1086" s="5"/>
      <c r="X1086" s="5"/>
      <c r="Y1086" s="5"/>
      <c r="Z1086" s="5"/>
    </row>
    <row r="1087">
      <c r="A1087" s="5"/>
      <c r="B1087" s="5"/>
      <c r="C1087" s="5"/>
      <c r="D1087" s="5"/>
      <c r="E1087" s="5"/>
      <c r="F1087" s="5"/>
      <c r="G1087" s="5"/>
      <c r="H1087" s="5"/>
      <c r="I1087" s="5"/>
      <c r="J1087" s="5"/>
      <c r="K1087" s="5"/>
      <c r="L1087" s="5"/>
      <c r="M1087" s="5"/>
      <c r="N1087" s="5"/>
      <c r="O1087" s="5"/>
      <c r="P1087" s="5"/>
      <c r="Q1087" s="5"/>
      <c r="R1087" s="5"/>
      <c r="S1087" s="5"/>
      <c r="T1087" s="5"/>
      <c r="U1087" s="5"/>
      <c r="V1087" s="5"/>
      <c r="W1087" s="5"/>
      <c r="X1087" s="5"/>
      <c r="Y1087" s="5"/>
      <c r="Z1087" s="5"/>
    </row>
    <row r="1088">
      <c r="A1088" s="5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5"/>
      <c r="P1088" s="5"/>
      <c r="Q1088" s="5"/>
      <c r="R1088" s="5"/>
      <c r="S1088" s="5"/>
      <c r="T1088" s="5"/>
      <c r="U1088" s="5"/>
      <c r="V1088" s="5"/>
      <c r="W1088" s="5"/>
      <c r="X1088" s="5"/>
      <c r="Y1088" s="5"/>
      <c r="Z1088" s="5"/>
    </row>
    <row r="1089">
      <c r="A1089" s="5"/>
      <c r="B1089" s="5"/>
      <c r="C1089" s="5"/>
      <c r="D1089" s="5"/>
      <c r="E1089" s="5"/>
      <c r="F1089" s="5"/>
      <c r="G1089" s="5"/>
      <c r="H1089" s="5"/>
      <c r="I1089" s="5"/>
      <c r="J1089" s="5"/>
      <c r="K1089" s="5"/>
      <c r="L1089" s="5"/>
      <c r="M1089" s="5"/>
      <c r="N1089" s="5"/>
      <c r="O1089" s="5"/>
      <c r="P1089" s="5"/>
      <c r="Q1089" s="5"/>
      <c r="R1089" s="5"/>
      <c r="S1089" s="5"/>
      <c r="T1089" s="5"/>
      <c r="U1089" s="5"/>
      <c r="V1089" s="5"/>
      <c r="W1089" s="5"/>
      <c r="X1089" s="5"/>
      <c r="Y1089" s="5"/>
      <c r="Z1089" s="5"/>
    </row>
    <row r="1090">
      <c r="A1090" s="5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5"/>
      <c r="P1090" s="5"/>
      <c r="Q1090" s="5"/>
      <c r="R1090" s="5"/>
      <c r="S1090" s="5"/>
      <c r="T1090" s="5"/>
      <c r="U1090" s="5"/>
      <c r="V1090" s="5"/>
      <c r="W1090" s="5"/>
      <c r="X1090" s="5"/>
      <c r="Y1090" s="5"/>
      <c r="Z1090" s="5"/>
    </row>
    <row r="1091">
      <c r="A1091" s="5"/>
      <c r="B1091" s="5"/>
      <c r="C1091" s="5"/>
      <c r="D1091" s="5"/>
      <c r="E1091" s="5"/>
      <c r="F1091" s="5"/>
      <c r="G1091" s="5"/>
      <c r="H1091" s="5"/>
      <c r="I1091" s="5"/>
      <c r="J1091" s="5"/>
      <c r="K1091" s="5"/>
      <c r="L1091" s="5"/>
      <c r="M1091" s="5"/>
      <c r="N1091" s="5"/>
      <c r="O1091" s="5"/>
      <c r="P1091" s="5"/>
      <c r="Q1091" s="5"/>
      <c r="R1091" s="5"/>
      <c r="S1091" s="5"/>
      <c r="T1091" s="5"/>
      <c r="U1091" s="5"/>
      <c r="V1091" s="5"/>
      <c r="W1091" s="5"/>
      <c r="X1091" s="5"/>
      <c r="Y1091" s="5"/>
      <c r="Z1091" s="5"/>
    </row>
    <row r="1092">
      <c r="A1092" s="5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5"/>
      <c r="P1092" s="5"/>
      <c r="Q1092" s="5"/>
      <c r="R1092" s="5"/>
      <c r="S1092" s="5"/>
      <c r="T1092" s="5"/>
      <c r="U1092" s="5"/>
      <c r="V1092" s="5"/>
      <c r="W1092" s="5"/>
      <c r="X1092" s="5"/>
      <c r="Y1092" s="5"/>
      <c r="Z1092" s="5"/>
    </row>
    <row r="1093">
      <c r="A1093" s="5"/>
      <c r="B1093" s="5"/>
      <c r="C1093" s="5"/>
      <c r="D1093" s="5"/>
      <c r="E1093" s="5"/>
      <c r="F1093" s="5"/>
      <c r="G1093" s="5"/>
      <c r="H1093" s="5"/>
      <c r="I1093" s="5"/>
      <c r="J1093" s="5"/>
      <c r="K1093" s="5"/>
      <c r="L1093" s="5"/>
      <c r="M1093" s="5"/>
      <c r="N1093" s="5"/>
      <c r="O1093" s="5"/>
      <c r="P1093" s="5"/>
      <c r="Q1093" s="5"/>
      <c r="R1093" s="5"/>
      <c r="S1093" s="5"/>
      <c r="T1093" s="5"/>
      <c r="U1093" s="5"/>
      <c r="V1093" s="5"/>
      <c r="W1093" s="5"/>
      <c r="X1093" s="5"/>
      <c r="Y1093" s="5"/>
      <c r="Z1093" s="5"/>
    </row>
    <row r="1094">
      <c r="A1094" s="5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5"/>
      <c r="P1094" s="5"/>
      <c r="Q1094" s="5"/>
      <c r="R1094" s="5"/>
      <c r="S1094" s="5"/>
      <c r="T1094" s="5"/>
      <c r="U1094" s="5"/>
      <c r="V1094" s="5"/>
      <c r="W1094" s="5"/>
      <c r="X1094" s="5"/>
      <c r="Y1094" s="5"/>
      <c r="Z1094" s="5"/>
    </row>
    <row r="1095">
      <c r="A1095" s="5"/>
      <c r="B1095" s="5"/>
      <c r="C1095" s="5"/>
      <c r="D1095" s="5"/>
      <c r="E1095" s="5"/>
      <c r="F1095" s="5"/>
      <c r="G1095" s="5"/>
      <c r="H1095" s="5"/>
      <c r="I1095" s="5"/>
      <c r="J1095" s="5"/>
      <c r="K1095" s="5"/>
      <c r="L1095" s="5"/>
      <c r="M1095" s="5"/>
      <c r="N1095" s="5"/>
      <c r="O1095" s="5"/>
      <c r="P1095" s="5"/>
      <c r="Q1095" s="5"/>
      <c r="R1095" s="5"/>
      <c r="S1095" s="5"/>
      <c r="T1095" s="5"/>
      <c r="U1095" s="5"/>
      <c r="V1095" s="5"/>
      <c r="W1095" s="5"/>
      <c r="X1095" s="5"/>
      <c r="Y1095" s="5"/>
      <c r="Z1095" s="5"/>
    </row>
    <row r="1096">
      <c r="A1096" s="5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5"/>
      <c r="P1096" s="5"/>
      <c r="Q1096" s="5"/>
      <c r="R1096" s="5"/>
      <c r="S1096" s="5"/>
      <c r="T1096" s="5"/>
      <c r="U1096" s="5"/>
      <c r="V1096" s="5"/>
      <c r="W1096" s="5"/>
      <c r="X1096" s="5"/>
      <c r="Y1096" s="5"/>
      <c r="Z1096" s="5"/>
    </row>
    <row r="1097">
      <c r="A1097" s="5"/>
      <c r="B1097" s="5"/>
      <c r="C1097" s="5"/>
      <c r="D1097" s="5"/>
      <c r="E1097" s="5"/>
      <c r="F1097" s="5"/>
      <c r="G1097" s="5"/>
      <c r="H1097" s="5"/>
      <c r="I1097" s="5"/>
      <c r="J1097" s="5"/>
      <c r="K1097" s="5"/>
      <c r="L1097" s="5"/>
      <c r="M1097" s="5"/>
      <c r="N1097" s="5"/>
      <c r="O1097" s="5"/>
      <c r="P1097" s="5"/>
      <c r="Q1097" s="5"/>
      <c r="R1097" s="5"/>
      <c r="S1097" s="5"/>
      <c r="T1097" s="5"/>
      <c r="U1097" s="5"/>
      <c r="V1097" s="5"/>
      <c r="W1097" s="5"/>
      <c r="X1097" s="5"/>
      <c r="Y1097" s="5"/>
      <c r="Z1097" s="5"/>
    </row>
    <row r="1098">
      <c r="A1098" s="5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5"/>
      <c r="P1098" s="5"/>
      <c r="Q1098" s="5"/>
      <c r="R1098" s="5"/>
      <c r="S1098" s="5"/>
      <c r="T1098" s="5"/>
      <c r="U1098" s="5"/>
      <c r="V1098" s="5"/>
      <c r="W1098" s="5"/>
      <c r="X1098" s="5"/>
      <c r="Y1098" s="5"/>
      <c r="Z1098" s="5"/>
    </row>
    <row r="1099">
      <c r="A1099" s="5"/>
      <c r="B1099" s="5"/>
      <c r="C1099" s="5"/>
      <c r="D1099" s="5"/>
      <c r="E1099" s="5"/>
      <c r="F1099" s="5"/>
      <c r="G1099" s="5"/>
      <c r="H1099" s="5"/>
      <c r="I1099" s="5"/>
      <c r="J1099" s="5"/>
      <c r="K1099" s="5"/>
      <c r="L1099" s="5"/>
      <c r="M1099" s="5"/>
      <c r="N1099" s="5"/>
      <c r="O1099" s="5"/>
      <c r="P1099" s="5"/>
      <c r="Q1099" s="5"/>
      <c r="R1099" s="5"/>
      <c r="S1099" s="5"/>
      <c r="T1099" s="5"/>
      <c r="U1099" s="5"/>
      <c r="V1099" s="5"/>
      <c r="W1099" s="5"/>
      <c r="X1099" s="5"/>
      <c r="Y1099" s="5"/>
      <c r="Z1099" s="5"/>
    </row>
    <row r="1100">
      <c r="A1100" s="5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5"/>
      <c r="P1100" s="5"/>
      <c r="Q1100" s="5"/>
      <c r="R1100" s="5"/>
      <c r="S1100" s="5"/>
      <c r="T1100" s="5"/>
      <c r="U1100" s="5"/>
      <c r="V1100" s="5"/>
      <c r="W1100" s="5"/>
      <c r="X1100" s="5"/>
      <c r="Y1100" s="5"/>
      <c r="Z1100" s="5"/>
    </row>
    <row r="1101">
      <c r="A1101" s="5"/>
      <c r="B1101" s="5"/>
      <c r="C1101" s="5"/>
      <c r="D1101" s="5"/>
      <c r="E1101" s="5"/>
      <c r="F1101" s="5"/>
      <c r="G1101" s="5"/>
      <c r="H1101" s="5"/>
      <c r="I1101" s="5"/>
      <c r="J1101" s="5"/>
      <c r="K1101" s="5"/>
      <c r="L1101" s="5"/>
      <c r="M1101" s="5"/>
      <c r="N1101" s="5"/>
      <c r="O1101" s="5"/>
      <c r="P1101" s="5"/>
      <c r="Q1101" s="5"/>
      <c r="R1101" s="5"/>
      <c r="S1101" s="5"/>
      <c r="T1101" s="5"/>
      <c r="U1101" s="5"/>
      <c r="V1101" s="5"/>
      <c r="W1101" s="5"/>
      <c r="X1101" s="5"/>
      <c r="Y1101" s="5"/>
      <c r="Z1101" s="5"/>
    </row>
    <row r="1102">
      <c r="A1102" s="5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5"/>
      <c r="P1102" s="5"/>
      <c r="Q1102" s="5"/>
      <c r="R1102" s="5"/>
      <c r="S1102" s="5"/>
      <c r="T1102" s="5"/>
      <c r="U1102" s="5"/>
      <c r="V1102" s="5"/>
      <c r="W1102" s="5"/>
      <c r="X1102" s="5"/>
      <c r="Y1102" s="5"/>
      <c r="Z1102" s="5"/>
    </row>
    <row r="1103">
      <c r="A1103" s="5"/>
      <c r="B1103" s="5"/>
      <c r="C1103" s="5"/>
      <c r="D1103" s="5"/>
      <c r="E1103" s="5"/>
      <c r="F1103" s="5"/>
      <c r="G1103" s="5"/>
      <c r="H1103" s="5"/>
      <c r="I1103" s="5"/>
      <c r="J1103" s="5"/>
      <c r="K1103" s="5"/>
      <c r="L1103" s="5"/>
      <c r="M1103" s="5"/>
      <c r="N1103" s="5"/>
      <c r="O1103" s="5"/>
      <c r="P1103" s="5"/>
      <c r="Q1103" s="5"/>
      <c r="R1103" s="5"/>
      <c r="S1103" s="5"/>
      <c r="T1103" s="5"/>
      <c r="U1103" s="5"/>
      <c r="V1103" s="5"/>
      <c r="W1103" s="5"/>
      <c r="X1103" s="5"/>
      <c r="Y1103" s="5"/>
      <c r="Z1103" s="5"/>
    </row>
    <row r="1104">
      <c r="A1104" s="5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5"/>
      <c r="P1104" s="5"/>
      <c r="Q1104" s="5"/>
      <c r="R1104" s="5"/>
      <c r="S1104" s="5"/>
      <c r="T1104" s="5"/>
      <c r="U1104" s="5"/>
      <c r="V1104" s="5"/>
      <c r="W1104" s="5"/>
      <c r="X1104" s="5"/>
      <c r="Y1104" s="5"/>
      <c r="Z1104" s="5"/>
    </row>
    <row r="1105">
      <c r="A1105" s="5"/>
      <c r="B1105" s="5"/>
      <c r="C1105" s="5"/>
      <c r="D1105" s="5"/>
      <c r="E1105" s="5"/>
      <c r="F1105" s="5"/>
      <c r="G1105" s="5"/>
      <c r="H1105" s="5"/>
      <c r="I1105" s="5"/>
      <c r="J1105" s="5"/>
      <c r="K1105" s="5"/>
      <c r="L1105" s="5"/>
      <c r="M1105" s="5"/>
      <c r="N1105" s="5"/>
      <c r="O1105" s="5"/>
      <c r="P1105" s="5"/>
      <c r="Q1105" s="5"/>
      <c r="R1105" s="5"/>
      <c r="S1105" s="5"/>
      <c r="T1105" s="5"/>
      <c r="U1105" s="5"/>
      <c r="V1105" s="5"/>
      <c r="W1105" s="5"/>
      <c r="X1105" s="5"/>
      <c r="Y1105" s="5"/>
      <c r="Z1105" s="5"/>
    </row>
    <row r="1106">
      <c r="A1106" s="5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5"/>
      <c r="P1106" s="5"/>
      <c r="Q1106" s="5"/>
      <c r="R1106" s="5"/>
      <c r="S1106" s="5"/>
      <c r="T1106" s="5"/>
      <c r="U1106" s="5"/>
      <c r="V1106" s="5"/>
      <c r="W1106" s="5"/>
      <c r="X1106" s="5"/>
      <c r="Y1106" s="5"/>
      <c r="Z1106" s="5"/>
    </row>
    <row r="1107">
      <c r="A1107" s="5"/>
      <c r="B1107" s="5"/>
      <c r="C1107" s="5"/>
      <c r="D1107" s="5"/>
      <c r="E1107" s="5"/>
      <c r="F1107" s="5"/>
      <c r="G1107" s="5"/>
      <c r="H1107" s="5"/>
      <c r="I1107" s="5"/>
      <c r="J1107" s="5"/>
      <c r="K1107" s="5"/>
      <c r="L1107" s="5"/>
      <c r="M1107" s="5"/>
      <c r="N1107" s="5"/>
      <c r="O1107" s="5"/>
      <c r="P1107" s="5"/>
      <c r="Q1107" s="5"/>
      <c r="R1107" s="5"/>
      <c r="S1107" s="5"/>
      <c r="T1107" s="5"/>
      <c r="U1107" s="5"/>
      <c r="V1107" s="5"/>
      <c r="W1107" s="5"/>
      <c r="X1107" s="5"/>
      <c r="Y1107" s="5"/>
      <c r="Z1107" s="5"/>
    </row>
    <row r="1108">
      <c r="A1108" s="5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5"/>
      <c r="P1108" s="5"/>
      <c r="Q1108" s="5"/>
      <c r="R1108" s="5"/>
      <c r="S1108" s="5"/>
      <c r="T1108" s="5"/>
      <c r="U1108" s="5"/>
      <c r="V1108" s="5"/>
      <c r="W1108" s="5"/>
      <c r="X1108" s="5"/>
      <c r="Y1108" s="5"/>
      <c r="Z1108" s="5"/>
    </row>
    <row r="1109">
      <c r="A1109" s="5"/>
      <c r="B1109" s="5"/>
      <c r="C1109" s="5"/>
      <c r="D1109" s="5"/>
      <c r="E1109" s="5"/>
      <c r="F1109" s="5"/>
      <c r="G1109" s="5"/>
      <c r="H1109" s="5"/>
      <c r="I1109" s="5"/>
      <c r="J1109" s="5"/>
      <c r="K1109" s="5"/>
      <c r="L1109" s="5"/>
      <c r="M1109" s="5"/>
      <c r="N1109" s="5"/>
      <c r="O1109" s="5"/>
      <c r="P1109" s="5"/>
      <c r="Q1109" s="5"/>
      <c r="R1109" s="5"/>
      <c r="S1109" s="5"/>
      <c r="T1109" s="5"/>
      <c r="U1109" s="5"/>
      <c r="V1109" s="5"/>
      <c r="W1109" s="5"/>
      <c r="X1109" s="5"/>
      <c r="Y1109" s="5"/>
      <c r="Z1109" s="5"/>
    </row>
    <row r="1110">
      <c r="A1110" s="5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5"/>
      <c r="P1110" s="5"/>
      <c r="Q1110" s="5"/>
      <c r="R1110" s="5"/>
      <c r="S1110" s="5"/>
      <c r="T1110" s="5"/>
      <c r="U1110" s="5"/>
      <c r="V1110" s="5"/>
      <c r="W1110" s="5"/>
      <c r="X1110" s="5"/>
      <c r="Y1110" s="5"/>
      <c r="Z1110" s="5"/>
    </row>
    <row r="1111">
      <c r="A1111" s="5"/>
      <c r="B1111" s="5"/>
      <c r="C1111" s="5"/>
      <c r="D1111" s="5"/>
      <c r="E1111" s="5"/>
      <c r="F1111" s="5"/>
      <c r="G1111" s="5"/>
      <c r="H1111" s="5"/>
      <c r="I1111" s="5"/>
      <c r="J1111" s="5"/>
      <c r="K1111" s="5"/>
      <c r="L1111" s="5"/>
      <c r="M1111" s="5"/>
      <c r="N1111" s="5"/>
      <c r="O1111" s="5"/>
      <c r="P1111" s="5"/>
      <c r="Q1111" s="5"/>
      <c r="R1111" s="5"/>
      <c r="S1111" s="5"/>
      <c r="T1111" s="5"/>
      <c r="U1111" s="5"/>
      <c r="V1111" s="5"/>
      <c r="W1111" s="5"/>
      <c r="X1111" s="5"/>
      <c r="Y1111" s="5"/>
      <c r="Z1111" s="5"/>
    </row>
    <row r="1112">
      <c r="A1112" s="5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5"/>
      <c r="P1112" s="5"/>
      <c r="Q1112" s="5"/>
      <c r="R1112" s="5"/>
      <c r="S1112" s="5"/>
      <c r="T1112" s="5"/>
      <c r="U1112" s="5"/>
      <c r="V1112" s="5"/>
      <c r="W1112" s="5"/>
      <c r="X1112" s="5"/>
      <c r="Y1112" s="5"/>
      <c r="Z1112" s="5"/>
    </row>
    <row r="1113">
      <c r="A1113" s="5"/>
      <c r="B1113" s="5"/>
      <c r="C1113" s="5"/>
      <c r="D1113" s="5"/>
      <c r="E1113" s="5"/>
      <c r="F1113" s="5"/>
      <c r="G1113" s="5"/>
      <c r="H1113" s="5"/>
      <c r="I1113" s="5"/>
      <c r="J1113" s="5"/>
      <c r="K1113" s="5"/>
      <c r="L1113" s="5"/>
      <c r="M1113" s="5"/>
      <c r="N1113" s="5"/>
      <c r="O1113" s="5"/>
      <c r="P1113" s="5"/>
      <c r="Q1113" s="5"/>
      <c r="R1113" s="5"/>
      <c r="S1113" s="5"/>
      <c r="T1113" s="5"/>
      <c r="U1113" s="5"/>
      <c r="V1113" s="5"/>
      <c r="W1113" s="5"/>
      <c r="X1113" s="5"/>
      <c r="Y1113" s="5"/>
      <c r="Z1113" s="5"/>
    </row>
    <row r="1114">
      <c r="A1114" s="5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5"/>
      <c r="P1114" s="5"/>
      <c r="Q1114" s="5"/>
      <c r="R1114" s="5"/>
      <c r="S1114" s="5"/>
      <c r="T1114" s="5"/>
      <c r="U1114" s="5"/>
      <c r="V1114" s="5"/>
      <c r="W1114" s="5"/>
      <c r="X1114" s="5"/>
      <c r="Y1114" s="5"/>
      <c r="Z1114" s="5"/>
    </row>
    <row r="1115">
      <c r="A1115" s="5"/>
      <c r="B1115" s="5"/>
      <c r="C1115" s="5"/>
      <c r="D1115" s="5"/>
      <c r="E1115" s="5"/>
      <c r="F1115" s="5"/>
      <c r="G1115" s="5"/>
      <c r="H1115" s="5"/>
      <c r="I1115" s="5"/>
      <c r="J1115" s="5"/>
      <c r="K1115" s="5"/>
      <c r="L1115" s="5"/>
      <c r="M1115" s="5"/>
      <c r="N1115" s="5"/>
      <c r="O1115" s="5"/>
      <c r="P1115" s="5"/>
      <c r="Q1115" s="5"/>
      <c r="R1115" s="5"/>
      <c r="S1115" s="5"/>
      <c r="T1115" s="5"/>
      <c r="U1115" s="5"/>
      <c r="V1115" s="5"/>
      <c r="W1115" s="5"/>
      <c r="X1115" s="5"/>
      <c r="Y1115" s="5"/>
      <c r="Z1115" s="5"/>
    </row>
    <row r="1116">
      <c r="A1116" s="5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5"/>
      <c r="P1116" s="5"/>
      <c r="Q1116" s="5"/>
      <c r="R1116" s="5"/>
      <c r="S1116" s="5"/>
      <c r="T1116" s="5"/>
      <c r="U1116" s="5"/>
      <c r="V1116" s="5"/>
      <c r="W1116" s="5"/>
      <c r="X1116" s="5"/>
      <c r="Y1116" s="5"/>
      <c r="Z1116" s="5"/>
    </row>
    <row r="1117">
      <c r="A1117" s="5"/>
      <c r="B1117" s="5"/>
      <c r="C1117" s="5"/>
      <c r="D1117" s="5"/>
      <c r="E1117" s="5"/>
      <c r="F1117" s="5"/>
      <c r="G1117" s="5"/>
      <c r="H1117" s="5"/>
      <c r="I1117" s="5"/>
      <c r="J1117" s="5"/>
      <c r="K1117" s="5"/>
      <c r="L1117" s="5"/>
      <c r="M1117" s="5"/>
      <c r="N1117" s="5"/>
      <c r="O1117" s="5"/>
      <c r="P1117" s="5"/>
      <c r="Q1117" s="5"/>
      <c r="R1117" s="5"/>
      <c r="S1117" s="5"/>
      <c r="T1117" s="5"/>
      <c r="U1117" s="5"/>
      <c r="V1117" s="5"/>
      <c r="W1117" s="5"/>
      <c r="X1117" s="5"/>
      <c r="Y1117" s="5"/>
      <c r="Z1117" s="5"/>
    </row>
    <row r="1118">
      <c r="A1118" s="5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5"/>
      <c r="P1118" s="5"/>
      <c r="Q1118" s="5"/>
      <c r="R1118" s="5"/>
      <c r="S1118" s="5"/>
      <c r="T1118" s="5"/>
      <c r="U1118" s="5"/>
      <c r="V1118" s="5"/>
      <c r="W1118" s="5"/>
      <c r="X1118" s="5"/>
      <c r="Y1118" s="5"/>
      <c r="Z1118" s="5"/>
    </row>
    <row r="1119">
      <c r="A1119" s="5"/>
      <c r="B1119" s="5"/>
      <c r="C1119" s="5"/>
      <c r="D1119" s="5"/>
      <c r="E1119" s="5"/>
      <c r="F1119" s="5"/>
      <c r="G1119" s="5"/>
      <c r="H1119" s="5"/>
      <c r="I1119" s="5"/>
      <c r="J1119" s="5"/>
      <c r="K1119" s="5"/>
      <c r="L1119" s="5"/>
      <c r="M1119" s="5"/>
      <c r="N1119" s="5"/>
      <c r="O1119" s="5"/>
      <c r="P1119" s="5"/>
      <c r="Q1119" s="5"/>
      <c r="R1119" s="5"/>
      <c r="S1119" s="5"/>
      <c r="T1119" s="5"/>
      <c r="U1119" s="5"/>
      <c r="V1119" s="5"/>
      <c r="W1119" s="5"/>
      <c r="X1119" s="5"/>
      <c r="Y1119" s="5"/>
      <c r="Z1119" s="5"/>
    </row>
    <row r="1120">
      <c r="A1120" s="5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5"/>
      <c r="P1120" s="5"/>
      <c r="Q1120" s="5"/>
      <c r="R1120" s="5"/>
      <c r="S1120" s="5"/>
      <c r="T1120" s="5"/>
      <c r="U1120" s="5"/>
      <c r="V1120" s="5"/>
      <c r="W1120" s="5"/>
      <c r="X1120" s="5"/>
      <c r="Y1120" s="5"/>
      <c r="Z1120" s="5"/>
    </row>
    <row r="1121">
      <c r="A1121" s="5"/>
      <c r="B1121" s="5"/>
      <c r="C1121" s="5"/>
      <c r="D1121" s="5"/>
      <c r="E1121" s="5"/>
      <c r="F1121" s="5"/>
      <c r="G1121" s="5"/>
      <c r="H1121" s="5"/>
      <c r="I1121" s="5"/>
      <c r="J1121" s="5"/>
      <c r="K1121" s="5"/>
      <c r="L1121" s="5"/>
      <c r="M1121" s="5"/>
      <c r="N1121" s="5"/>
      <c r="O1121" s="5"/>
      <c r="P1121" s="5"/>
      <c r="Q1121" s="5"/>
      <c r="R1121" s="5"/>
      <c r="S1121" s="5"/>
      <c r="T1121" s="5"/>
      <c r="U1121" s="5"/>
      <c r="V1121" s="5"/>
      <c r="W1121" s="5"/>
      <c r="X1121" s="5"/>
      <c r="Y1121" s="5"/>
      <c r="Z1121" s="5"/>
    </row>
    <row r="1122">
      <c r="A1122" s="5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5"/>
      <c r="P1122" s="5"/>
      <c r="Q1122" s="5"/>
      <c r="R1122" s="5"/>
      <c r="S1122" s="5"/>
      <c r="T1122" s="5"/>
      <c r="U1122" s="5"/>
      <c r="V1122" s="5"/>
      <c r="W1122" s="5"/>
      <c r="X1122" s="5"/>
      <c r="Y1122" s="5"/>
      <c r="Z1122" s="5"/>
    </row>
    <row r="1123">
      <c r="A1123" s="5"/>
      <c r="B1123" s="5"/>
      <c r="C1123" s="5"/>
      <c r="D1123" s="5"/>
      <c r="E1123" s="5"/>
      <c r="F1123" s="5"/>
      <c r="G1123" s="5"/>
      <c r="H1123" s="5"/>
      <c r="I1123" s="5"/>
      <c r="J1123" s="5"/>
      <c r="K1123" s="5"/>
      <c r="L1123" s="5"/>
      <c r="M1123" s="5"/>
      <c r="N1123" s="5"/>
      <c r="O1123" s="5"/>
      <c r="P1123" s="5"/>
      <c r="Q1123" s="5"/>
      <c r="R1123" s="5"/>
      <c r="S1123" s="5"/>
      <c r="T1123" s="5"/>
      <c r="U1123" s="5"/>
      <c r="V1123" s="5"/>
      <c r="W1123" s="5"/>
      <c r="X1123" s="5"/>
      <c r="Y1123" s="5"/>
      <c r="Z1123" s="5"/>
    </row>
    <row r="1124">
      <c r="A1124" s="5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5"/>
      <c r="P1124" s="5"/>
      <c r="Q1124" s="5"/>
      <c r="R1124" s="5"/>
      <c r="S1124" s="5"/>
      <c r="T1124" s="5"/>
      <c r="U1124" s="5"/>
      <c r="V1124" s="5"/>
      <c r="W1124" s="5"/>
      <c r="X1124" s="5"/>
      <c r="Y1124" s="5"/>
      <c r="Z1124" s="5"/>
    </row>
    <row r="1125">
      <c r="A1125" s="5"/>
      <c r="B1125" s="5"/>
      <c r="C1125" s="5"/>
      <c r="D1125" s="5"/>
      <c r="E1125" s="5"/>
      <c r="F1125" s="5"/>
      <c r="G1125" s="5"/>
      <c r="H1125" s="5"/>
      <c r="I1125" s="5"/>
      <c r="J1125" s="5"/>
      <c r="K1125" s="5"/>
      <c r="L1125" s="5"/>
      <c r="M1125" s="5"/>
      <c r="N1125" s="5"/>
      <c r="O1125" s="5"/>
      <c r="P1125" s="5"/>
      <c r="Q1125" s="5"/>
      <c r="R1125" s="5"/>
      <c r="S1125" s="5"/>
      <c r="T1125" s="5"/>
      <c r="U1125" s="5"/>
      <c r="V1125" s="5"/>
      <c r="W1125" s="5"/>
      <c r="X1125" s="5"/>
      <c r="Y1125" s="5"/>
      <c r="Z1125" s="5"/>
    </row>
    <row r="1126">
      <c r="A1126" s="5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5"/>
      <c r="P1126" s="5"/>
      <c r="Q1126" s="5"/>
      <c r="R1126" s="5"/>
      <c r="S1126" s="5"/>
      <c r="T1126" s="5"/>
      <c r="U1126" s="5"/>
      <c r="V1126" s="5"/>
      <c r="W1126" s="5"/>
      <c r="X1126" s="5"/>
      <c r="Y1126" s="5"/>
      <c r="Z1126" s="5"/>
    </row>
    <row r="1127">
      <c r="A1127" s="5"/>
      <c r="B1127" s="5"/>
      <c r="C1127" s="5"/>
      <c r="D1127" s="5"/>
      <c r="E1127" s="5"/>
      <c r="F1127" s="5"/>
      <c r="G1127" s="5"/>
      <c r="H1127" s="5"/>
      <c r="I1127" s="5"/>
      <c r="J1127" s="5"/>
      <c r="K1127" s="5"/>
      <c r="L1127" s="5"/>
      <c r="M1127" s="5"/>
      <c r="N1127" s="5"/>
      <c r="O1127" s="5"/>
      <c r="P1127" s="5"/>
      <c r="Q1127" s="5"/>
      <c r="R1127" s="5"/>
      <c r="S1127" s="5"/>
      <c r="T1127" s="5"/>
      <c r="U1127" s="5"/>
      <c r="V1127" s="5"/>
      <c r="W1127" s="5"/>
      <c r="X1127" s="5"/>
      <c r="Y1127" s="5"/>
      <c r="Z1127" s="5"/>
    </row>
    <row r="1128">
      <c r="A1128" s="5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5"/>
      <c r="P1128" s="5"/>
      <c r="Q1128" s="5"/>
      <c r="R1128" s="5"/>
      <c r="S1128" s="5"/>
      <c r="T1128" s="5"/>
      <c r="U1128" s="5"/>
      <c r="V1128" s="5"/>
      <c r="W1128" s="5"/>
      <c r="X1128" s="5"/>
      <c r="Y1128" s="5"/>
      <c r="Z1128" s="5"/>
    </row>
    <row r="1129">
      <c r="A1129" s="5"/>
      <c r="B1129" s="5"/>
      <c r="C1129" s="5"/>
      <c r="D1129" s="5"/>
      <c r="E1129" s="5"/>
      <c r="F1129" s="5"/>
      <c r="G1129" s="5"/>
      <c r="H1129" s="5"/>
      <c r="I1129" s="5"/>
      <c r="J1129" s="5"/>
      <c r="K1129" s="5"/>
      <c r="L1129" s="5"/>
      <c r="M1129" s="5"/>
      <c r="N1129" s="5"/>
      <c r="O1129" s="5"/>
      <c r="P1129" s="5"/>
      <c r="Q1129" s="5"/>
      <c r="R1129" s="5"/>
      <c r="S1129" s="5"/>
      <c r="T1129" s="5"/>
      <c r="U1129" s="5"/>
      <c r="V1129" s="5"/>
      <c r="W1129" s="5"/>
      <c r="X1129" s="5"/>
      <c r="Y1129" s="5"/>
      <c r="Z1129" s="5"/>
    </row>
    <row r="1130">
      <c r="A1130" s="5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5"/>
      <c r="P1130" s="5"/>
      <c r="Q1130" s="5"/>
      <c r="R1130" s="5"/>
      <c r="S1130" s="5"/>
      <c r="T1130" s="5"/>
      <c r="U1130" s="5"/>
      <c r="V1130" s="5"/>
      <c r="W1130" s="5"/>
      <c r="X1130" s="5"/>
      <c r="Y1130" s="5"/>
      <c r="Z1130" s="5"/>
    </row>
    <row r="1131">
      <c r="A1131" s="5"/>
      <c r="B1131" s="5"/>
      <c r="C1131" s="5"/>
      <c r="D1131" s="5"/>
      <c r="E1131" s="5"/>
      <c r="F1131" s="5"/>
      <c r="G1131" s="5"/>
      <c r="H1131" s="5"/>
      <c r="I1131" s="5"/>
      <c r="J1131" s="5"/>
      <c r="K1131" s="5"/>
      <c r="L1131" s="5"/>
      <c r="M1131" s="5"/>
      <c r="N1131" s="5"/>
      <c r="O1131" s="5"/>
      <c r="P1131" s="5"/>
      <c r="Q1131" s="5"/>
      <c r="R1131" s="5"/>
      <c r="S1131" s="5"/>
      <c r="T1131" s="5"/>
      <c r="U1131" s="5"/>
      <c r="V1131" s="5"/>
      <c r="W1131" s="5"/>
      <c r="X1131" s="5"/>
      <c r="Y1131" s="5"/>
      <c r="Z1131" s="5"/>
    </row>
    <row r="1132">
      <c r="A1132" s="5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5"/>
      <c r="P1132" s="5"/>
      <c r="Q1132" s="5"/>
      <c r="R1132" s="5"/>
      <c r="S1132" s="5"/>
      <c r="T1132" s="5"/>
      <c r="U1132" s="5"/>
      <c r="V1132" s="5"/>
      <c r="W1132" s="5"/>
      <c r="X1132" s="5"/>
      <c r="Y1132" s="5"/>
      <c r="Z1132" s="5"/>
    </row>
    <row r="1133">
      <c r="A1133" s="5"/>
      <c r="B1133" s="5"/>
      <c r="C1133" s="5"/>
      <c r="D1133" s="5"/>
      <c r="E1133" s="5"/>
      <c r="F1133" s="5"/>
      <c r="G1133" s="5"/>
      <c r="H1133" s="5"/>
      <c r="I1133" s="5"/>
      <c r="J1133" s="5"/>
      <c r="K1133" s="5"/>
      <c r="L1133" s="5"/>
      <c r="M1133" s="5"/>
      <c r="N1133" s="5"/>
      <c r="O1133" s="5"/>
      <c r="P1133" s="5"/>
      <c r="Q1133" s="5"/>
      <c r="R1133" s="5"/>
      <c r="S1133" s="5"/>
      <c r="T1133" s="5"/>
      <c r="U1133" s="5"/>
      <c r="V1133" s="5"/>
      <c r="W1133" s="5"/>
      <c r="X1133" s="5"/>
      <c r="Y1133" s="5"/>
      <c r="Z1133" s="5"/>
    </row>
    <row r="1134">
      <c r="A1134" s="5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5"/>
      <c r="P1134" s="5"/>
      <c r="Q1134" s="5"/>
      <c r="R1134" s="5"/>
      <c r="S1134" s="5"/>
      <c r="T1134" s="5"/>
      <c r="U1134" s="5"/>
      <c r="V1134" s="5"/>
      <c r="W1134" s="5"/>
      <c r="X1134" s="5"/>
      <c r="Y1134" s="5"/>
      <c r="Z1134" s="5"/>
    </row>
    <row r="1135">
      <c r="A1135" s="5"/>
      <c r="B1135" s="5"/>
      <c r="C1135" s="5"/>
      <c r="D1135" s="5"/>
      <c r="E1135" s="5"/>
      <c r="F1135" s="5"/>
      <c r="G1135" s="5"/>
      <c r="H1135" s="5"/>
      <c r="I1135" s="5"/>
      <c r="J1135" s="5"/>
      <c r="K1135" s="5"/>
      <c r="L1135" s="5"/>
      <c r="M1135" s="5"/>
      <c r="N1135" s="5"/>
      <c r="O1135" s="5"/>
      <c r="P1135" s="5"/>
      <c r="Q1135" s="5"/>
      <c r="R1135" s="5"/>
      <c r="S1135" s="5"/>
      <c r="T1135" s="5"/>
      <c r="U1135" s="5"/>
      <c r="V1135" s="5"/>
      <c r="W1135" s="5"/>
      <c r="X1135" s="5"/>
      <c r="Y1135" s="5"/>
      <c r="Z1135" s="5"/>
    </row>
    <row r="1136">
      <c r="A1136" s="5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5"/>
      <c r="P1136" s="5"/>
      <c r="Q1136" s="5"/>
      <c r="R1136" s="5"/>
      <c r="S1136" s="5"/>
      <c r="T1136" s="5"/>
      <c r="U1136" s="5"/>
      <c r="V1136" s="5"/>
      <c r="W1136" s="5"/>
      <c r="X1136" s="5"/>
      <c r="Y1136" s="5"/>
      <c r="Z1136" s="5"/>
    </row>
    <row r="1137">
      <c r="A1137" s="5"/>
      <c r="B1137" s="5"/>
      <c r="C1137" s="5"/>
      <c r="D1137" s="5"/>
      <c r="E1137" s="5"/>
      <c r="F1137" s="5"/>
      <c r="G1137" s="5"/>
      <c r="H1137" s="5"/>
      <c r="I1137" s="5"/>
      <c r="J1137" s="5"/>
      <c r="K1137" s="5"/>
      <c r="L1137" s="5"/>
      <c r="M1137" s="5"/>
      <c r="N1137" s="5"/>
      <c r="O1137" s="5"/>
      <c r="P1137" s="5"/>
      <c r="Q1137" s="5"/>
      <c r="R1137" s="5"/>
      <c r="S1137" s="5"/>
      <c r="T1137" s="5"/>
      <c r="U1137" s="5"/>
      <c r="V1137" s="5"/>
      <c r="W1137" s="5"/>
      <c r="X1137" s="5"/>
      <c r="Y1137" s="5"/>
      <c r="Z1137" s="5"/>
    </row>
    <row r="1138">
      <c r="A1138" s="5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5"/>
      <c r="P1138" s="5"/>
      <c r="Q1138" s="5"/>
      <c r="R1138" s="5"/>
      <c r="S1138" s="5"/>
      <c r="T1138" s="5"/>
      <c r="U1138" s="5"/>
      <c r="V1138" s="5"/>
      <c r="W1138" s="5"/>
      <c r="X1138" s="5"/>
      <c r="Y1138" s="5"/>
      <c r="Z1138" s="5"/>
    </row>
    <row r="1139">
      <c r="A1139" s="5"/>
      <c r="B1139" s="5"/>
      <c r="C1139" s="5"/>
      <c r="D1139" s="5"/>
      <c r="E1139" s="5"/>
      <c r="F1139" s="5"/>
      <c r="G1139" s="5"/>
      <c r="H1139" s="5"/>
      <c r="I1139" s="5"/>
      <c r="J1139" s="5"/>
      <c r="K1139" s="5"/>
      <c r="L1139" s="5"/>
      <c r="M1139" s="5"/>
      <c r="N1139" s="5"/>
      <c r="O1139" s="5"/>
      <c r="P1139" s="5"/>
      <c r="Q1139" s="5"/>
      <c r="R1139" s="5"/>
      <c r="S1139" s="5"/>
      <c r="T1139" s="5"/>
      <c r="U1139" s="5"/>
      <c r="V1139" s="5"/>
      <c r="W1139" s="5"/>
      <c r="X1139" s="5"/>
      <c r="Y1139" s="5"/>
      <c r="Z1139" s="5"/>
    </row>
    <row r="1140">
      <c r="A1140" s="5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5"/>
      <c r="P1140" s="5"/>
      <c r="Q1140" s="5"/>
      <c r="R1140" s="5"/>
      <c r="S1140" s="5"/>
      <c r="T1140" s="5"/>
      <c r="U1140" s="5"/>
      <c r="V1140" s="5"/>
      <c r="W1140" s="5"/>
      <c r="X1140" s="5"/>
      <c r="Y1140" s="5"/>
      <c r="Z1140" s="5"/>
    </row>
    <row r="1141">
      <c r="A1141" s="5"/>
      <c r="B1141" s="5"/>
      <c r="C1141" s="5"/>
      <c r="D1141" s="5"/>
      <c r="E1141" s="5"/>
      <c r="F1141" s="5"/>
      <c r="G1141" s="5"/>
      <c r="H1141" s="5"/>
      <c r="I1141" s="5"/>
      <c r="J1141" s="5"/>
      <c r="K1141" s="5"/>
      <c r="L1141" s="5"/>
      <c r="M1141" s="5"/>
      <c r="N1141" s="5"/>
      <c r="O1141" s="5"/>
      <c r="P1141" s="5"/>
      <c r="Q1141" s="5"/>
      <c r="R1141" s="5"/>
      <c r="S1141" s="5"/>
      <c r="T1141" s="5"/>
      <c r="U1141" s="5"/>
      <c r="V1141" s="5"/>
      <c r="W1141" s="5"/>
      <c r="X1141" s="5"/>
      <c r="Y1141" s="5"/>
      <c r="Z1141" s="5"/>
    </row>
    <row r="1142">
      <c r="A1142" s="5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5"/>
      <c r="P1142" s="5"/>
      <c r="Q1142" s="5"/>
      <c r="R1142" s="5"/>
      <c r="S1142" s="5"/>
      <c r="T1142" s="5"/>
      <c r="U1142" s="5"/>
      <c r="V1142" s="5"/>
      <c r="W1142" s="5"/>
      <c r="X1142" s="5"/>
      <c r="Y1142" s="5"/>
      <c r="Z1142" s="5"/>
    </row>
    <row r="1143">
      <c r="A1143" s="5"/>
      <c r="B1143" s="5"/>
      <c r="C1143" s="5"/>
      <c r="D1143" s="5"/>
      <c r="E1143" s="5"/>
      <c r="F1143" s="5"/>
      <c r="G1143" s="5"/>
      <c r="H1143" s="5"/>
      <c r="I1143" s="5"/>
      <c r="J1143" s="5"/>
      <c r="K1143" s="5"/>
      <c r="L1143" s="5"/>
      <c r="M1143" s="5"/>
      <c r="N1143" s="5"/>
      <c r="O1143" s="5"/>
      <c r="P1143" s="5"/>
      <c r="Q1143" s="5"/>
      <c r="R1143" s="5"/>
      <c r="S1143" s="5"/>
      <c r="T1143" s="5"/>
      <c r="U1143" s="5"/>
      <c r="V1143" s="5"/>
      <c r="W1143" s="5"/>
      <c r="X1143" s="5"/>
      <c r="Y1143" s="5"/>
      <c r="Z1143" s="5"/>
    </row>
    <row r="1144">
      <c r="A1144" s="5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5"/>
      <c r="P1144" s="5"/>
      <c r="Q1144" s="5"/>
      <c r="R1144" s="5"/>
      <c r="S1144" s="5"/>
      <c r="T1144" s="5"/>
      <c r="U1144" s="5"/>
      <c r="V1144" s="5"/>
      <c r="W1144" s="5"/>
      <c r="X1144" s="5"/>
      <c r="Y1144" s="5"/>
      <c r="Z1144" s="5"/>
    </row>
    <row r="1145">
      <c r="A1145" s="5"/>
      <c r="B1145" s="5"/>
      <c r="C1145" s="5"/>
      <c r="D1145" s="5"/>
      <c r="E1145" s="5"/>
      <c r="F1145" s="5"/>
      <c r="G1145" s="5"/>
      <c r="H1145" s="5"/>
      <c r="I1145" s="5"/>
      <c r="J1145" s="5"/>
      <c r="K1145" s="5"/>
      <c r="L1145" s="5"/>
      <c r="M1145" s="5"/>
      <c r="N1145" s="5"/>
      <c r="O1145" s="5"/>
      <c r="P1145" s="5"/>
      <c r="Q1145" s="5"/>
      <c r="R1145" s="5"/>
      <c r="S1145" s="5"/>
      <c r="T1145" s="5"/>
      <c r="U1145" s="5"/>
      <c r="V1145" s="5"/>
      <c r="W1145" s="5"/>
      <c r="X1145" s="5"/>
      <c r="Y1145" s="5"/>
      <c r="Z1145" s="5"/>
    </row>
    <row r="1146">
      <c r="A1146" s="5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5"/>
      <c r="P1146" s="5"/>
      <c r="Q1146" s="5"/>
      <c r="R1146" s="5"/>
      <c r="S1146" s="5"/>
      <c r="T1146" s="5"/>
      <c r="U1146" s="5"/>
      <c r="V1146" s="5"/>
      <c r="W1146" s="5"/>
      <c r="X1146" s="5"/>
      <c r="Y1146" s="5"/>
      <c r="Z1146" s="5"/>
    </row>
    <row r="1147">
      <c r="A1147" s="5"/>
      <c r="B1147" s="5"/>
      <c r="C1147" s="5"/>
      <c r="D1147" s="5"/>
      <c r="E1147" s="5"/>
      <c r="F1147" s="5"/>
      <c r="G1147" s="5"/>
      <c r="H1147" s="5"/>
      <c r="I1147" s="5"/>
      <c r="J1147" s="5"/>
      <c r="K1147" s="5"/>
      <c r="L1147" s="5"/>
      <c r="M1147" s="5"/>
      <c r="N1147" s="5"/>
      <c r="O1147" s="5"/>
      <c r="P1147" s="5"/>
      <c r="Q1147" s="5"/>
      <c r="R1147" s="5"/>
      <c r="S1147" s="5"/>
      <c r="T1147" s="5"/>
      <c r="U1147" s="5"/>
      <c r="V1147" s="5"/>
      <c r="W1147" s="5"/>
      <c r="X1147" s="5"/>
      <c r="Y1147" s="5"/>
      <c r="Z1147" s="5"/>
    </row>
    <row r="1148">
      <c r="A1148" s="5"/>
      <c r="B1148" s="5"/>
      <c r="C1148" s="5"/>
      <c r="D1148" s="5"/>
      <c r="E1148" s="5"/>
      <c r="F1148" s="5"/>
      <c r="G1148" s="5"/>
      <c r="H1148" s="5"/>
      <c r="I1148" s="5"/>
      <c r="J1148" s="5"/>
      <c r="K1148" s="5"/>
      <c r="L1148" s="5"/>
      <c r="M1148" s="5"/>
      <c r="N1148" s="5"/>
      <c r="O1148" s="5"/>
      <c r="P1148" s="5"/>
      <c r="Q1148" s="5"/>
      <c r="R1148" s="5"/>
      <c r="S1148" s="5"/>
      <c r="T1148" s="5"/>
      <c r="U1148" s="5"/>
      <c r="V1148" s="5"/>
      <c r="W1148" s="5"/>
      <c r="X1148" s="5"/>
      <c r="Y1148" s="5"/>
      <c r="Z1148" s="5"/>
    </row>
    <row r="1149">
      <c r="A1149" s="5"/>
      <c r="B1149" s="5"/>
      <c r="C1149" s="5"/>
      <c r="D1149" s="5"/>
      <c r="E1149" s="5"/>
      <c r="F1149" s="5"/>
      <c r="G1149" s="5"/>
      <c r="H1149" s="5"/>
      <c r="I1149" s="5"/>
      <c r="J1149" s="5"/>
      <c r="K1149" s="5"/>
      <c r="L1149" s="5"/>
      <c r="M1149" s="5"/>
      <c r="N1149" s="5"/>
      <c r="O1149" s="5"/>
      <c r="P1149" s="5"/>
      <c r="Q1149" s="5"/>
      <c r="R1149" s="5"/>
      <c r="S1149" s="5"/>
      <c r="T1149" s="5"/>
      <c r="U1149" s="5"/>
      <c r="V1149" s="5"/>
      <c r="W1149" s="5"/>
      <c r="X1149" s="5"/>
      <c r="Y1149" s="5"/>
      <c r="Z1149" s="5"/>
    </row>
    <row r="1150">
      <c r="A1150" s="5"/>
      <c r="B1150" s="5"/>
      <c r="C1150" s="5"/>
      <c r="D1150" s="5"/>
      <c r="E1150" s="5"/>
      <c r="F1150" s="5"/>
      <c r="G1150" s="5"/>
      <c r="H1150" s="5"/>
      <c r="I1150" s="5"/>
      <c r="J1150" s="5"/>
      <c r="K1150" s="5"/>
      <c r="L1150" s="5"/>
      <c r="M1150" s="5"/>
      <c r="N1150" s="5"/>
      <c r="O1150" s="5"/>
      <c r="P1150" s="5"/>
      <c r="Q1150" s="5"/>
      <c r="R1150" s="5"/>
      <c r="S1150" s="5"/>
      <c r="T1150" s="5"/>
      <c r="U1150" s="5"/>
      <c r="V1150" s="5"/>
      <c r="W1150" s="5"/>
      <c r="X1150" s="5"/>
      <c r="Y1150" s="5"/>
      <c r="Z1150" s="5"/>
    </row>
  </sheetData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/>
      <c r="I1" s="5"/>
      <c r="J1" s="5"/>
      <c r="K1" s="5"/>
      <c r="L1" s="5"/>
      <c r="M1" s="5"/>
      <c r="N1" s="5"/>
      <c r="O1" s="5"/>
      <c r="P1" s="5"/>
      <c r="Q1" s="5"/>
      <c r="R1" s="5"/>
      <c r="S1" s="5"/>
      <c r="T1" s="5"/>
      <c r="U1" s="5"/>
      <c r="V1" s="5"/>
      <c r="W1" s="5"/>
      <c r="X1" s="5"/>
      <c r="Y1" s="5"/>
      <c r="Z1" s="5"/>
    </row>
    <row r="2">
      <c r="A2" s="4">
        <v>2026.0</v>
      </c>
      <c r="B2" s="5" t="s">
        <v>11</v>
      </c>
      <c r="C2" s="5" t="s">
        <v>7</v>
      </c>
      <c r="D2" s="4">
        <v>1.0</v>
      </c>
      <c r="E2" s="4">
        <v>0.0</v>
      </c>
      <c r="F2" s="4">
        <v>2.0</v>
      </c>
      <c r="G2" s="4">
        <v>3.0</v>
      </c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  <c r="V2" s="5"/>
      <c r="W2" s="5"/>
      <c r="X2" s="5"/>
      <c r="Y2" s="5"/>
      <c r="Z2" s="5"/>
    </row>
    <row r="3">
      <c r="A3" s="4">
        <v>2026.0</v>
      </c>
      <c r="B3" s="5" t="s">
        <v>11</v>
      </c>
      <c r="C3" s="5" t="s">
        <v>33</v>
      </c>
      <c r="D3" s="4">
        <v>4.0</v>
      </c>
      <c r="E3" s="4">
        <v>4.0</v>
      </c>
      <c r="F3" s="4">
        <v>8.0</v>
      </c>
      <c r="G3" s="4">
        <v>16.0</v>
      </c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  <c r="V3" s="5"/>
      <c r="W3" s="5"/>
      <c r="X3" s="5"/>
      <c r="Y3" s="5"/>
      <c r="Z3" s="5"/>
    </row>
    <row r="4">
      <c r="A4" s="4">
        <v>2026.0</v>
      </c>
      <c r="B4" s="5" t="s">
        <v>11</v>
      </c>
      <c r="C4" s="5" t="s">
        <v>8</v>
      </c>
      <c r="D4" s="4">
        <v>0.0</v>
      </c>
      <c r="E4" s="4">
        <v>0.0</v>
      </c>
      <c r="F4" s="4">
        <v>0.0</v>
      </c>
      <c r="G4" s="4">
        <v>0.0</v>
      </c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  <c r="V4" s="5"/>
      <c r="W4" s="5"/>
      <c r="X4" s="5"/>
      <c r="Y4" s="5"/>
      <c r="Z4" s="5"/>
    </row>
    <row r="5">
      <c r="A5" s="4">
        <v>2026.0</v>
      </c>
      <c r="B5" s="5" t="s">
        <v>11</v>
      </c>
      <c r="C5" s="5" t="s">
        <v>9</v>
      </c>
      <c r="D5" s="4">
        <v>2.0</v>
      </c>
      <c r="E5" s="4">
        <v>2.0</v>
      </c>
      <c r="F5" s="4">
        <v>12.0</v>
      </c>
      <c r="G5" s="4">
        <v>16.0</v>
      </c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  <c r="V5" s="5"/>
      <c r="W5" s="5"/>
      <c r="X5" s="5"/>
      <c r="Y5" s="5"/>
      <c r="Z5" s="5"/>
    </row>
    <row r="6">
      <c r="A6" s="4">
        <v>2026.0</v>
      </c>
      <c r="B6" s="5" t="s">
        <v>11</v>
      </c>
      <c r="C6" s="5" t="s">
        <v>10</v>
      </c>
      <c r="D6" s="4">
        <v>948.0</v>
      </c>
      <c r="E6" s="4">
        <v>812.0</v>
      </c>
      <c r="F6" s="4">
        <v>2914.0</v>
      </c>
      <c r="G6" s="4">
        <v>4674.0</v>
      </c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  <c r="V6" s="5"/>
      <c r="W6" s="5"/>
      <c r="X6" s="5"/>
      <c r="Y6" s="5"/>
      <c r="Z6" s="5"/>
    </row>
    <row r="7">
      <c r="A7" s="4">
        <v>2026.0</v>
      </c>
      <c r="B7" s="5" t="s">
        <v>11</v>
      </c>
      <c r="C7" s="5" t="s">
        <v>12</v>
      </c>
      <c r="D7" s="4">
        <v>3.0</v>
      </c>
      <c r="E7" s="4">
        <v>2.0</v>
      </c>
      <c r="F7" s="4">
        <v>16.0</v>
      </c>
      <c r="G7" s="4">
        <v>21.0</v>
      </c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  <c r="V7" s="5"/>
      <c r="W7" s="5"/>
      <c r="X7" s="5"/>
      <c r="Y7" s="5"/>
      <c r="Z7" s="5"/>
    </row>
    <row r="8">
      <c r="A8" s="4">
        <v>2026.0</v>
      </c>
      <c r="B8" s="5" t="s">
        <v>11</v>
      </c>
      <c r="C8" s="5" t="s">
        <v>15</v>
      </c>
      <c r="D8" s="4">
        <v>187.0</v>
      </c>
      <c r="E8" s="4">
        <v>159.0</v>
      </c>
      <c r="F8" s="4">
        <v>694.0</v>
      </c>
      <c r="G8" s="4">
        <v>1040.0</v>
      </c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  <c r="V8" s="5"/>
      <c r="W8" s="5"/>
      <c r="X8" s="5"/>
      <c r="Y8" s="5"/>
      <c r="Z8" s="5"/>
    </row>
    <row r="9">
      <c r="A9" s="4">
        <v>2026.0</v>
      </c>
      <c r="B9" s="5" t="s">
        <v>11</v>
      </c>
      <c r="C9" s="5" t="s">
        <v>16</v>
      </c>
      <c r="D9" s="4">
        <v>1.0</v>
      </c>
      <c r="E9" s="4">
        <v>0.0</v>
      </c>
      <c r="F9" s="4">
        <v>6.0</v>
      </c>
      <c r="G9" s="4">
        <v>7.0</v>
      </c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  <c r="V9" s="5"/>
      <c r="W9" s="5"/>
      <c r="X9" s="5"/>
      <c r="Y9" s="5"/>
      <c r="Z9" s="5"/>
    </row>
    <row r="10">
      <c r="A10" s="4">
        <v>2026.0</v>
      </c>
      <c r="B10" s="5" t="s">
        <v>11</v>
      </c>
      <c r="C10" s="5" t="s">
        <v>14</v>
      </c>
      <c r="D10" s="4">
        <v>872.0</v>
      </c>
      <c r="E10" s="4">
        <v>804.0</v>
      </c>
      <c r="F10" s="4">
        <v>2984.0</v>
      </c>
      <c r="G10" s="4">
        <v>4660.0</v>
      </c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  <c r="V10" s="5"/>
      <c r="W10" s="5"/>
      <c r="X10" s="5"/>
      <c r="Y10" s="5"/>
      <c r="Z10" s="5"/>
    </row>
    <row r="11">
      <c r="A11" s="4">
        <v>2026.0</v>
      </c>
      <c r="B11" s="5" t="s">
        <v>11</v>
      </c>
      <c r="C11" s="5" t="s">
        <v>17</v>
      </c>
      <c r="D11" s="4">
        <v>1.0</v>
      </c>
      <c r="E11" s="4">
        <v>2.0</v>
      </c>
      <c r="F11" s="4">
        <v>13.0</v>
      </c>
      <c r="G11" s="4">
        <v>16.0</v>
      </c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  <c r="V11" s="5"/>
      <c r="W11" s="5"/>
      <c r="X11" s="5"/>
      <c r="Y11" s="5"/>
      <c r="Z11" s="5"/>
    </row>
    <row r="12">
      <c r="A12" s="4">
        <v>2026.0</v>
      </c>
      <c r="B12" s="5" t="s">
        <v>11</v>
      </c>
      <c r="C12" s="5" t="s">
        <v>19</v>
      </c>
      <c r="D12" s="4">
        <v>11.0</v>
      </c>
      <c r="E12" s="4">
        <v>10.0</v>
      </c>
      <c r="F12" s="4">
        <v>54.0</v>
      </c>
      <c r="G12" s="4">
        <v>75.0</v>
      </c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  <c r="V12" s="5"/>
      <c r="W12" s="5"/>
      <c r="X12" s="5"/>
      <c r="Y12" s="5"/>
      <c r="Z12" s="5"/>
    </row>
    <row r="13">
      <c r="A13" s="4">
        <v>2026.0</v>
      </c>
      <c r="B13" s="5" t="s">
        <v>11</v>
      </c>
      <c r="C13" s="5" t="s">
        <v>20</v>
      </c>
      <c r="D13" s="4">
        <v>10.0</v>
      </c>
      <c r="E13" s="4">
        <v>7.0</v>
      </c>
      <c r="F13" s="4">
        <v>17.0</v>
      </c>
      <c r="G13" s="4">
        <v>34.0</v>
      </c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  <c r="V13" s="5"/>
      <c r="W13" s="5"/>
      <c r="X13" s="5"/>
      <c r="Y13" s="5"/>
      <c r="Z13" s="5"/>
    </row>
    <row r="14">
      <c r="A14" s="4">
        <v>2026.0</v>
      </c>
      <c r="B14" s="5" t="s">
        <v>11</v>
      </c>
      <c r="C14" s="5" t="s">
        <v>21</v>
      </c>
      <c r="D14" s="4">
        <v>0.0</v>
      </c>
      <c r="E14" s="4">
        <v>0.0</v>
      </c>
      <c r="F14" s="4">
        <v>1.0</v>
      </c>
      <c r="G14" s="4">
        <v>1.0</v>
      </c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</row>
    <row r="15">
      <c r="A15" s="4">
        <v>2026.0</v>
      </c>
      <c r="B15" s="5" t="s">
        <v>11</v>
      </c>
      <c r="C15" s="5" t="s">
        <v>22</v>
      </c>
      <c r="D15" s="4">
        <v>3.0</v>
      </c>
      <c r="E15" s="4">
        <v>4.0</v>
      </c>
      <c r="F15" s="4">
        <v>17.0</v>
      </c>
      <c r="G15" s="4">
        <v>24.0</v>
      </c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  <c r="V15" s="5"/>
      <c r="W15" s="5"/>
      <c r="X15" s="5"/>
      <c r="Y15" s="5"/>
      <c r="Z15" s="5"/>
    </row>
    <row r="16">
      <c r="A16" s="4">
        <v>2026.0</v>
      </c>
      <c r="B16" s="5" t="s">
        <v>11</v>
      </c>
      <c r="C16" s="5" t="s">
        <v>23</v>
      </c>
      <c r="D16" s="4">
        <v>0.0</v>
      </c>
      <c r="E16" s="4">
        <v>0.0</v>
      </c>
      <c r="F16" s="4">
        <v>2.0</v>
      </c>
      <c r="G16" s="4">
        <v>2.0</v>
      </c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  <c r="V16" s="5"/>
      <c r="W16" s="5"/>
      <c r="X16" s="5"/>
      <c r="Y16" s="5"/>
      <c r="Z16" s="5"/>
    </row>
    <row r="17">
      <c r="A17" s="4">
        <v>2026.0</v>
      </c>
      <c r="B17" s="5" t="s">
        <v>24</v>
      </c>
      <c r="C17" s="5" t="s">
        <v>7</v>
      </c>
      <c r="D17" s="4">
        <v>1.0</v>
      </c>
      <c r="E17" s="4">
        <v>0.0</v>
      </c>
      <c r="F17" s="4">
        <v>2.0</v>
      </c>
      <c r="G17" s="4">
        <v>3.0</v>
      </c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5"/>
    </row>
    <row r="18">
      <c r="A18" s="4">
        <v>2026.0</v>
      </c>
      <c r="B18" s="5" t="s">
        <v>24</v>
      </c>
      <c r="C18" s="5" t="s">
        <v>33</v>
      </c>
      <c r="D18" s="4">
        <v>3.0</v>
      </c>
      <c r="E18" s="4">
        <v>4.0</v>
      </c>
      <c r="F18" s="4">
        <v>7.0</v>
      </c>
      <c r="G18" s="4">
        <v>14.0</v>
      </c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5"/>
    </row>
    <row r="19">
      <c r="A19" s="4">
        <v>2026.0</v>
      </c>
      <c r="B19" s="5" t="s">
        <v>24</v>
      </c>
      <c r="C19" s="5" t="s">
        <v>8</v>
      </c>
      <c r="D19" s="4">
        <v>0.0</v>
      </c>
      <c r="E19" s="4">
        <v>0.0</v>
      </c>
      <c r="F19" s="4">
        <v>0.0</v>
      </c>
      <c r="G19" s="4">
        <v>0.0</v>
      </c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5"/>
    </row>
    <row r="20">
      <c r="A20" s="4">
        <v>2026.0</v>
      </c>
      <c r="B20" s="5" t="s">
        <v>24</v>
      </c>
      <c r="C20" s="5" t="s">
        <v>9</v>
      </c>
      <c r="D20" s="4">
        <v>2.0</v>
      </c>
      <c r="E20" s="4">
        <v>2.0</v>
      </c>
      <c r="F20" s="4">
        <v>12.0</v>
      </c>
      <c r="G20" s="4">
        <v>16.0</v>
      </c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5"/>
    </row>
    <row r="21">
      <c r="A21" s="4">
        <v>2026.0</v>
      </c>
      <c r="B21" s="5" t="s">
        <v>24</v>
      </c>
      <c r="C21" s="5" t="s">
        <v>10</v>
      </c>
      <c r="D21" s="4">
        <v>948.0</v>
      </c>
      <c r="E21" s="4">
        <v>812.0</v>
      </c>
      <c r="F21" s="4">
        <v>2914.0</v>
      </c>
      <c r="G21" s="4">
        <v>4674.0</v>
      </c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5"/>
    </row>
    <row r="22">
      <c r="A22" s="4">
        <v>2026.0</v>
      </c>
      <c r="B22" s="5" t="s">
        <v>24</v>
      </c>
      <c r="C22" s="5" t="s">
        <v>12</v>
      </c>
      <c r="D22" s="4">
        <v>3.0</v>
      </c>
      <c r="E22" s="4">
        <v>2.0</v>
      </c>
      <c r="F22" s="4">
        <v>16.0</v>
      </c>
      <c r="G22" s="4">
        <v>21.0</v>
      </c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5"/>
    </row>
    <row r="23">
      <c r="A23" s="4">
        <v>2026.0</v>
      </c>
      <c r="B23" s="5" t="s">
        <v>24</v>
      </c>
      <c r="C23" s="5" t="s">
        <v>15</v>
      </c>
      <c r="D23" s="4">
        <v>187.0</v>
      </c>
      <c r="E23" s="4">
        <v>159.0</v>
      </c>
      <c r="F23" s="4">
        <v>694.0</v>
      </c>
      <c r="G23" s="4">
        <v>1040.0</v>
      </c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5"/>
    </row>
    <row r="24">
      <c r="A24" s="4">
        <v>2026.0</v>
      </c>
      <c r="B24" s="5" t="s">
        <v>24</v>
      </c>
      <c r="C24" s="5" t="s">
        <v>16</v>
      </c>
      <c r="D24" s="4">
        <v>1.0</v>
      </c>
      <c r="E24" s="4">
        <v>0.0</v>
      </c>
      <c r="F24" s="4">
        <v>6.0</v>
      </c>
      <c r="G24" s="4">
        <v>7.0</v>
      </c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5"/>
    </row>
    <row r="25">
      <c r="A25" s="4">
        <v>2026.0</v>
      </c>
      <c r="B25" s="5" t="s">
        <v>24</v>
      </c>
      <c r="C25" s="5" t="s">
        <v>14</v>
      </c>
      <c r="D25" s="4">
        <v>872.0</v>
      </c>
      <c r="E25" s="4">
        <v>804.0</v>
      </c>
      <c r="F25" s="4">
        <v>2984.0</v>
      </c>
      <c r="G25" s="4">
        <v>4660.0</v>
      </c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5"/>
    </row>
    <row r="26">
      <c r="A26" s="4">
        <v>2026.0</v>
      </c>
      <c r="B26" s="5" t="s">
        <v>24</v>
      </c>
      <c r="C26" s="5" t="s">
        <v>17</v>
      </c>
      <c r="D26" s="4">
        <v>1.0</v>
      </c>
      <c r="E26" s="4">
        <v>2.0</v>
      </c>
      <c r="F26" s="4">
        <v>13.0</v>
      </c>
      <c r="G26" s="4">
        <v>16.0</v>
      </c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5"/>
    </row>
    <row r="27">
      <c r="A27" s="4">
        <v>2026.0</v>
      </c>
      <c r="B27" s="5" t="s">
        <v>24</v>
      </c>
      <c r="C27" s="5" t="s">
        <v>19</v>
      </c>
      <c r="D27" s="4">
        <v>11.0</v>
      </c>
      <c r="E27" s="4">
        <v>10.0</v>
      </c>
      <c r="F27" s="4">
        <v>54.0</v>
      </c>
      <c r="G27" s="4">
        <v>75.0</v>
      </c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5"/>
    </row>
    <row r="28">
      <c r="A28" s="4">
        <v>2026.0</v>
      </c>
      <c r="B28" s="5" t="s">
        <v>24</v>
      </c>
      <c r="C28" s="5" t="s">
        <v>20</v>
      </c>
      <c r="D28" s="4">
        <v>10.0</v>
      </c>
      <c r="E28" s="4">
        <v>7.0</v>
      </c>
      <c r="F28" s="4">
        <v>17.0</v>
      </c>
      <c r="G28" s="4">
        <v>34.0</v>
      </c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5"/>
    </row>
    <row r="29">
      <c r="A29" s="4">
        <v>2026.0</v>
      </c>
      <c r="B29" s="5" t="s">
        <v>24</v>
      </c>
      <c r="C29" s="5" t="s">
        <v>21</v>
      </c>
      <c r="D29" s="4">
        <v>0.0</v>
      </c>
      <c r="E29" s="4">
        <v>0.0</v>
      </c>
      <c r="F29" s="4">
        <v>1.0</v>
      </c>
      <c r="G29" s="4">
        <v>1.0</v>
      </c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</row>
    <row r="30">
      <c r="A30" s="4">
        <v>2026.0</v>
      </c>
      <c r="B30" s="5" t="s">
        <v>24</v>
      </c>
      <c r="C30" s="5" t="s">
        <v>22</v>
      </c>
      <c r="D30" s="4">
        <v>3.0</v>
      </c>
      <c r="E30" s="4">
        <v>4.0</v>
      </c>
      <c r="F30" s="4">
        <v>17.0</v>
      </c>
      <c r="G30" s="4">
        <v>24.0</v>
      </c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</row>
    <row r="31">
      <c r="A31" s="4">
        <v>2026.0</v>
      </c>
      <c r="B31" s="5" t="s">
        <v>24</v>
      </c>
      <c r="C31" s="5" t="s">
        <v>23</v>
      </c>
      <c r="D31" s="4">
        <v>0.0</v>
      </c>
      <c r="E31" s="4">
        <v>0.0</v>
      </c>
      <c r="F31" s="4">
        <v>2.0</v>
      </c>
      <c r="G31" s="4">
        <v>2.0</v>
      </c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5"/>
    </row>
    <row r="32">
      <c r="A32" s="4">
        <v>2026.0</v>
      </c>
      <c r="B32" s="5" t="s">
        <v>26</v>
      </c>
      <c r="C32" s="5" t="s">
        <v>7</v>
      </c>
      <c r="D32" s="4">
        <v>1.0</v>
      </c>
      <c r="E32" s="4">
        <v>0.0</v>
      </c>
      <c r="F32" s="4">
        <v>2.0</v>
      </c>
      <c r="G32" s="4">
        <v>3.0</v>
      </c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5"/>
    </row>
    <row r="33">
      <c r="A33" s="4">
        <v>2026.0</v>
      </c>
      <c r="B33" s="5" t="s">
        <v>26</v>
      </c>
      <c r="C33" s="5" t="s">
        <v>33</v>
      </c>
      <c r="D33" s="4">
        <v>4.0</v>
      </c>
      <c r="E33" s="4">
        <v>4.0</v>
      </c>
      <c r="F33" s="4">
        <v>9.0</v>
      </c>
      <c r="G33" s="4">
        <v>17.0</v>
      </c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5"/>
    </row>
    <row r="34">
      <c r="A34" s="4">
        <v>2026.0</v>
      </c>
      <c r="B34" s="5" t="s">
        <v>26</v>
      </c>
      <c r="C34" s="5" t="s">
        <v>8</v>
      </c>
      <c r="D34" s="4">
        <v>0.0</v>
      </c>
      <c r="E34" s="4">
        <v>0.0</v>
      </c>
      <c r="F34" s="4">
        <v>0.0</v>
      </c>
      <c r="G34" s="4">
        <v>0.0</v>
      </c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5"/>
    </row>
    <row r="35">
      <c r="A35" s="4">
        <v>2026.0</v>
      </c>
      <c r="B35" s="5" t="s">
        <v>26</v>
      </c>
      <c r="C35" s="5" t="s">
        <v>9</v>
      </c>
      <c r="D35" s="4">
        <v>2.0</v>
      </c>
      <c r="E35" s="4">
        <v>2.0</v>
      </c>
      <c r="F35" s="4">
        <v>12.0</v>
      </c>
      <c r="G35" s="4">
        <v>16.0</v>
      </c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5"/>
    </row>
    <row r="36">
      <c r="A36" s="4">
        <v>2026.0</v>
      </c>
      <c r="B36" s="5" t="s">
        <v>26</v>
      </c>
      <c r="C36" s="5" t="s">
        <v>10</v>
      </c>
      <c r="D36" s="4">
        <v>948.0</v>
      </c>
      <c r="E36" s="4">
        <v>812.0</v>
      </c>
      <c r="F36" s="4">
        <v>2914.0</v>
      </c>
      <c r="G36" s="4">
        <v>4674.0</v>
      </c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5"/>
    </row>
    <row r="37">
      <c r="A37" s="4">
        <v>2026.0</v>
      </c>
      <c r="B37" s="5" t="s">
        <v>26</v>
      </c>
      <c r="C37" s="5" t="s">
        <v>12</v>
      </c>
      <c r="D37" s="4">
        <v>3.0</v>
      </c>
      <c r="E37" s="4">
        <v>2.0</v>
      </c>
      <c r="F37" s="4">
        <v>16.0</v>
      </c>
      <c r="G37" s="4">
        <v>21.0</v>
      </c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5"/>
    </row>
    <row r="38">
      <c r="A38" s="4">
        <v>2026.0</v>
      </c>
      <c r="B38" s="5" t="s">
        <v>26</v>
      </c>
      <c r="C38" s="5" t="s">
        <v>15</v>
      </c>
      <c r="D38" s="4">
        <v>187.0</v>
      </c>
      <c r="E38" s="4">
        <v>159.0</v>
      </c>
      <c r="F38" s="4">
        <v>694.0</v>
      </c>
      <c r="G38" s="4">
        <v>1040.0</v>
      </c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5"/>
    </row>
    <row r="39">
      <c r="A39" s="4">
        <v>2026.0</v>
      </c>
      <c r="B39" s="5" t="s">
        <v>26</v>
      </c>
      <c r="C39" s="5" t="s">
        <v>16</v>
      </c>
      <c r="D39" s="4">
        <v>1.0</v>
      </c>
      <c r="E39" s="4">
        <v>0.0</v>
      </c>
      <c r="F39" s="4">
        <v>6.0</v>
      </c>
      <c r="G39" s="4">
        <v>7.0</v>
      </c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</row>
    <row r="40">
      <c r="A40" s="4">
        <v>2026.0</v>
      </c>
      <c r="B40" s="5" t="s">
        <v>26</v>
      </c>
      <c r="C40" s="5" t="s">
        <v>14</v>
      </c>
      <c r="D40" s="4">
        <v>872.0</v>
      </c>
      <c r="E40" s="4">
        <v>804.0</v>
      </c>
      <c r="F40" s="4">
        <v>2984.0</v>
      </c>
      <c r="G40" s="4">
        <v>4660.0</v>
      </c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5"/>
    </row>
    <row r="41">
      <c r="A41" s="4">
        <v>2026.0</v>
      </c>
      <c r="B41" s="5" t="s">
        <v>26</v>
      </c>
      <c r="C41" s="5" t="s">
        <v>17</v>
      </c>
      <c r="D41" s="4">
        <v>1.0</v>
      </c>
      <c r="E41" s="4">
        <v>2.0</v>
      </c>
      <c r="F41" s="4">
        <v>13.0</v>
      </c>
      <c r="G41" s="4">
        <v>16.0</v>
      </c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5"/>
    </row>
    <row r="42">
      <c r="A42" s="4">
        <v>2026.0</v>
      </c>
      <c r="B42" s="5" t="s">
        <v>26</v>
      </c>
      <c r="C42" s="5" t="s">
        <v>19</v>
      </c>
      <c r="D42" s="4">
        <v>11.0</v>
      </c>
      <c r="E42" s="4">
        <v>10.0</v>
      </c>
      <c r="F42" s="4">
        <v>54.0</v>
      </c>
      <c r="G42" s="4">
        <v>75.0</v>
      </c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5"/>
    </row>
    <row r="43">
      <c r="A43" s="4">
        <v>2026.0</v>
      </c>
      <c r="B43" s="5" t="s">
        <v>26</v>
      </c>
      <c r="C43" s="5" t="s">
        <v>20</v>
      </c>
      <c r="D43" s="4">
        <v>10.0</v>
      </c>
      <c r="E43" s="4">
        <v>7.0</v>
      </c>
      <c r="F43" s="4">
        <v>17.0</v>
      </c>
      <c r="G43" s="4">
        <v>34.0</v>
      </c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5"/>
    </row>
    <row r="44">
      <c r="A44" s="4">
        <v>2026.0</v>
      </c>
      <c r="B44" s="5" t="s">
        <v>26</v>
      </c>
      <c r="C44" s="5" t="s">
        <v>21</v>
      </c>
      <c r="D44" s="4">
        <v>0.0</v>
      </c>
      <c r="E44" s="4">
        <v>0.0</v>
      </c>
      <c r="F44" s="4">
        <v>1.0</v>
      </c>
      <c r="G44" s="4">
        <v>1.0</v>
      </c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5"/>
    </row>
    <row r="45">
      <c r="A45" s="4">
        <v>2026.0</v>
      </c>
      <c r="B45" s="5" t="s">
        <v>26</v>
      </c>
      <c r="C45" s="5" t="s">
        <v>22</v>
      </c>
      <c r="D45" s="4">
        <v>3.0</v>
      </c>
      <c r="E45" s="4">
        <v>4.0</v>
      </c>
      <c r="F45" s="4">
        <v>17.0</v>
      </c>
      <c r="G45" s="4">
        <v>24.0</v>
      </c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5"/>
    </row>
    <row r="46">
      <c r="A46" s="4">
        <v>2026.0</v>
      </c>
      <c r="B46" s="5" t="s">
        <v>26</v>
      </c>
      <c r="C46" s="5" t="s">
        <v>23</v>
      </c>
      <c r="D46" s="4">
        <v>0.0</v>
      </c>
      <c r="E46" s="4">
        <v>0.0</v>
      </c>
      <c r="F46" s="4">
        <v>2.0</v>
      </c>
      <c r="G46" s="4">
        <v>2.0</v>
      </c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5"/>
    </row>
    <row r="47">
      <c r="A47" s="4">
        <v>2026.0</v>
      </c>
      <c r="B47" s="5" t="s">
        <v>13</v>
      </c>
      <c r="C47" s="5" t="s">
        <v>7</v>
      </c>
      <c r="D47" s="4">
        <v>1.0</v>
      </c>
      <c r="E47" s="4">
        <v>0.0</v>
      </c>
      <c r="F47" s="4">
        <v>2.0</v>
      </c>
      <c r="G47" s="4">
        <v>3.0</v>
      </c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5"/>
    </row>
    <row r="48">
      <c r="A48" s="4">
        <v>2026.0</v>
      </c>
      <c r="B48" s="5" t="s">
        <v>13</v>
      </c>
      <c r="C48" s="5" t="s">
        <v>33</v>
      </c>
      <c r="D48" s="4">
        <v>3.0</v>
      </c>
      <c r="E48" s="4">
        <v>3.0</v>
      </c>
      <c r="F48" s="4">
        <v>6.0</v>
      </c>
      <c r="G48" s="4">
        <v>12.0</v>
      </c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5"/>
    </row>
    <row r="49">
      <c r="A49" s="4">
        <v>2026.0</v>
      </c>
      <c r="B49" s="5" t="s">
        <v>13</v>
      </c>
      <c r="C49" s="5" t="s">
        <v>8</v>
      </c>
      <c r="D49" s="4">
        <v>0.0</v>
      </c>
      <c r="E49" s="4">
        <v>0.0</v>
      </c>
      <c r="F49" s="4">
        <v>0.0</v>
      </c>
      <c r="G49" s="4">
        <v>0.0</v>
      </c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5"/>
    </row>
    <row r="50">
      <c r="A50" s="4">
        <v>2026.0</v>
      </c>
      <c r="B50" s="5" t="s">
        <v>13</v>
      </c>
      <c r="C50" s="5" t="s">
        <v>9</v>
      </c>
      <c r="D50" s="4">
        <v>1.0</v>
      </c>
      <c r="E50" s="4">
        <v>1.0</v>
      </c>
      <c r="F50" s="4">
        <v>11.0</v>
      </c>
      <c r="G50" s="4">
        <v>13.0</v>
      </c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5"/>
    </row>
    <row r="51">
      <c r="A51" s="4">
        <v>2026.0</v>
      </c>
      <c r="B51" s="5" t="s">
        <v>13</v>
      </c>
      <c r="C51" s="5" t="s">
        <v>10</v>
      </c>
      <c r="D51" s="4">
        <v>912.0</v>
      </c>
      <c r="E51" s="4">
        <v>784.0</v>
      </c>
      <c r="F51" s="4">
        <v>2814.0</v>
      </c>
      <c r="G51" s="4">
        <v>4510.0</v>
      </c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5"/>
    </row>
    <row r="52">
      <c r="A52" s="4">
        <v>2026.0</v>
      </c>
      <c r="B52" s="5" t="s">
        <v>13</v>
      </c>
      <c r="C52" s="5" t="s">
        <v>12</v>
      </c>
      <c r="D52" s="4">
        <v>2.0</v>
      </c>
      <c r="E52" s="4">
        <v>2.0</v>
      </c>
      <c r="F52" s="4">
        <v>14.0</v>
      </c>
      <c r="G52" s="4">
        <v>18.0</v>
      </c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5"/>
    </row>
    <row r="53">
      <c r="A53" s="4">
        <v>2026.0</v>
      </c>
      <c r="B53" s="5" t="s">
        <v>13</v>
      </c>
      <c r="C53" s="5" t="s">
        <v>15</v>
      </c>
      <c r="D53" s="4">
        <v>178.0</v>
      </c>
      <c r="E53" s="4">
        <v>151.0</v>
      </c>
      <c r="F53" s="4">
        <v>654.0</v>
      </c>
      <c r="G53" s="4">
        <v>983.0</v>
      </c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5"/>
    </row>
    <row r="54">
      <c r="A54" s="4">
        <v>2026.0</v>
      </c>
      <c r="B54" s="5" t="s">
        <v>13</v>
      </c>
      <c r="C54" s="5" t="s">
        <v>16</v>
      </c>
      <c r="D54" s="4">
        <v>1.0</v>
      </c>
      <c r="E54" s="4">
        <v>0.0</v>
      </c>
      <c r="F54" s="4">
        <v>5.0</v>
      </c>
      <c r="G54" s="4">
        <v>6.0</v>
      </c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5"/>
    </row>
    <row r="55">
      <c r="A55" s="4">
        <v>2026.0</v>
      </c>
      <c r="B55" s="5" t="s">
        <v>13</v>
      </c>
      <c r="C55" s="5" t="s">
        <v>14</v>
      </c>
      <c r="D55" s="4">
        <v>842.0</v>
      </c>
      <c r="E55" s="4">
        <v>771.0</v>
      </c>
      <c r="F55" s="4">
        <v>2884.0</v>
      </c>
      <c r="G55" s="4">
        <v>4497.0</v>
      </c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5"/>
    </row>
    <row r="56">
      <c r="A56" s="4">
        <v>2026.0</v>
      </c>
      <c r="B56" s="5" t="s">
        <v>13</v>
      </c>
      <c r="C56" s="5" t="s">
        <v>17</v>
      </c>
      <c r="D56" s="4">
        <v>1.0</v>
      </c>
      <c r="E56" s="4">
        <v>1.0</v>
      </c>
      <c r="F56" s="4">
        <v>11.0</v>
      </c>
      <c r="G56" s="4">
        <v>13.0</v>
      </c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</row>
    <row r="57">
      <c r="A57" s="4">
        <v>2026.0</v>
      </c>
      <c r="B57" s="5" t="s">
        <v>13</v>
      </c>
      <c r="C57" s="5" t="s">
        <v>19</v>
      </c>
      <c r="D57" s="4">
        <v>9.0</v>
      </c>
      <c r="E57" s="4">
        <v>9.0</v>
      </c>
      <c r="F57" s="4">
        <v>51.0</v>
      </c>
      <c r="G57" s="4">
        <v>69.0</v>
      </c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5"/>
    </row>
    <row r="58">
      <c r="A58" s="4">
        <v>2026.0</v>
      </c>
      <c r="B58" s="5" t="s">
        <v>13</v>
      </c>
      <c r="C58" s="5" t="s">
        <v>20</v>
      </c>
      <c r="D58" s="4">
        <v>9.0</v>
      </c>
      <c r="E58" s="4">
        <v>6.0</v>
      </c>
      <c r="F58" s="4">
        <v>16.0</v>
      </c>
      <c r="G58" s="4">
        <v>31.0</v>
      </c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5"/>
    </row>
    <row r="59">
      <c r="A59" s="4">
        <v>2026.0</v>
      </c>
      <c r="B59" s="5" t="s">
        <v>13</v>
      </c>
      <c r="C59" s="5" t="s">
        <v>21</v>
      </c>
      <c r="D59" s="4">
        <v>0.0</v>
      </c>
      <c r="E59" s="4">
        <v>0.0</v>
      </c>
      <c r="F59" s="4">
        <v>1.0</v>
      </c>
      <c r="G59" s="4">
        <v>1.0</v>
      </c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5"/>
    </row>
    <row r="60">
      <c r="A60" s="4">
        <v>2026.0</v>
      </c>
      <c r="B60" s="5" t="s">
        <v>13</v>
      </c>
      <c r="C60" s="5" t="s">
        <v>22</v>
      </c>
      <c r="D60" s="4">
        <v>2.0</v>
      </c>
      <c r="E60" s="4">
        <v>3.0</v>
      </c>
      <c r="F60" s="4">
        <v>15.0</v>
      </c>
      <c r="G60" s="4">
        <v>20.0</v>
      </c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5"/>
    </row>
    <row r="61">
      <c r="A61" s="4">
        <v>2026.0</v>
      </c>
      <c r="B61" s="5" t="s">
        <v>13</v>
      </c>
      <c r="C61" s="5" t="s">
        <v>23</v>
      </c>
      <c r="D61" s="4">
        <v>0.0</v>
      </c>
      <c r="E61" s="4">
        <v>0.0</v>
      </c>
      <c r="F61" s="4">
        <v>1.0</v>
      </c>
      <c r="G61" s="4">
        <v>1.0</v>
      </c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5"/>
    </row>
    <row r="62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5"/>
    </row>
    <row r="63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5"/>
    </row>
    <row r="64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5"/>
    </row>
    <row r="65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</row>
    <row r="66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</row>
    <row r="67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5"/>
    </row>
    <row r="68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5"/>
    </row>
    <row r="69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5"/>
    </row>
    <row r="70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5"/>
    </row>
    <row r="7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5"/>
    </row>
    <row r="72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5"/>
    </row>
    <row r="73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5"/>
    </row>
    <row r="74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5"/>
    </row>
    <row r="75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5"/>
    </row>
    <row r="76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5"/>
    </row>
    <row r="77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5"/>
    </row>
    <row r="78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5"/>
    </row>
    <row r="79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5"/>
    </row>
    <row r="80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5"/>
    </row>
    <row r="8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5"/>
    </row>
    <row r="82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5"/>
    </row>
    <row r="83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5"/>
    </row>
    <row r="84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5"/>
    </row>
    <row r="85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5"/>
    </row>
    <row r="86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5"/>
    </row>
    <row r="87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5"/>
    </row>
    <row r="88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</row>
    <row r="89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</row>
    <row r="90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5"/>
    </row>
    <row r="9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5"/>
    </row>
    <row r="92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5"/>
    </row>
    <row r="93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5"/>
    </row>
    <row r="94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5"/>
    </row>
    <row r="95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5"/>
    </row>
    <row r="96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5"/>
    </row>
    <row r="97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5"/>
    </row>
    <row r="98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5"/>
    </row>
    <row r="99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5"/>
    </row>
    <row r="100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5"/>
    </row>
    <row r="10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5"/>
    </row>
    <row r="102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5"/>
    </row>
    <row r="103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5"/>
    </row>
    <row r="104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5"/>
    </row>
    <row r="105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5"/>
    </row>
    <row r="106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5"/>
    </row>
    <row r="107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5"/>
    </row>
    <row r="108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5"/>
    </row>
    <row r="109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5"/>
    </row>
    <row r="110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5"/>
    </row>
    <row r="11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5"/>
    </row>
    <row r="112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5"/>
    </row>
    <row r="113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5"/>
    </row>
    <row r="114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5"/>
    </row>
    <row r="115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5"/>
    </row>
    <row r="116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5"/>
    </row>
    <row r="117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5"/>
    </row>
    <row r="118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5"/>
    </row>
    <row r="119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5"/>
    </row>
    <row r="120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5"/>
    </row>
    <row r="12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5"/>
    </row>
    <row r="122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5"/>
    </row>
    <row r="123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5"/>
    </row>
    <row r="124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5"/>
    </row>
    <row r="125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5"/>
    </row>
    <row r="126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5"/>
    </row>
    <row r="127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5"/>
    </row>
    <row r="128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5"/>
    </row>
    <row r="129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5"/>
    </row>
    <row r="130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5"/>
    </row>
    <row r="13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5"/>
    </row>
    <row r="132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5"/>
    </row>
    <row r="133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5"/>
    </row>
    <row r="134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5"/>
    </row>
    <row r="135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5"/>
    </row>
    <row r="136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5"/>
    </row>
    <row r="137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5"/>
    </row>
    <row r="138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5"/>
    </row>
    <row r="139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5"/>
    </row>
    <row r="140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5"/>
    </row>
    <row r="14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5"/>
    </row>
    <row r="142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5"/>
    </row>
    <row r="143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</row>
    <row r="144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</row>
    <row r="145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</row>
    <row r="146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</row>
    <row r="147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</row>
    <row r="148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</row>
    <row r="149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</row>
    <row r="150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</row>
    <row r="15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</row>
    <row r="152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</row>
    <row r="153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</row>
    <row r="154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</row>
    <row r="155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</row>
    <row r="156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</row>
    <row r="157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</row>
    <row r="158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</row>
    <row r="159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</row>
    <row r="160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</row>
    <row r="16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5"/>
    </row>
    <row r="162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5"/>
    </row>
    <row r="163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5"/>
    </row>
    <row r="164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5"/>
    </row>
    <row r="165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5"/>
    </row>
    <row r="166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</row>
    <row r="167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5"/>
    </row>
    <row r="168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5"/>
    </row>
    <row r="169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5"/>
    </row>
    <row r="170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5"/>
    </row>
    <row r="17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5"/>
    </row>
    <row r="172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5"/>
    </row>
    <row r="173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5"/>
    </row>
    <row r="174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5"/>
    </row>
    <row r="175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5"/>
    </row>
    <row r="176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5"/>
    </row>
    <row r="177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5"/>
    </row>
    <row r="178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5"/>
    </row>
    <row r="179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</row>
    <row r="180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</row>
    <row r="18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5"/>
    </row>
    <row r="182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5"/>
    </row>
    <row r="183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5"/>
    </row>
    <row r="184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5"/>
    </row>
    <row r="185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5"/>
    </row>
    <row r="186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</row>
    <row r="187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</row>
    <row r="188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</row>
    <row r="189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</row>
    <row r="190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5"/>
    </row>
    <row r="19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5"/>
    </row>
    <row r="192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5"/>
    </row>
    <row r="193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</row>
    <row r="194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</row>
    <row r="195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</row>
    <row r="196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</row>
    <row r="197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</row>
    <row r="198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</row>
    <row r="199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</row>
    <row r="200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</row>
    <row r="20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</row>
    <row r="202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</row>
    <row r="203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5"/>
    </row>
    <row r="204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5"/>
    </row>
    <row r="205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5"/>
    </row>
    <row r="206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5"/>
    </row>
    <row r="207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5"/>
    </row>
    <row r="208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5"/>
    </row>
    <row r="209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5"/>
    </row>
    <row r="210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5"/>
    </row>
    <row r="21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5"/>
    </row>
    <row r="212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5"/>
    </row>
    <row r="213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5"/>
    </row>
    <row r="214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5"/>
    </row>
    <row r="215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5"/>
    </row>
    <row r="216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5"/>
    </row>
    <row r="217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5"/>
    </row>
    <row r="218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5"/>
    </row>
    <row r="219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5"/>
    </row>
    <row r="220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5"/>
    </row>
    <row r="22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5"/>
    </row>
    <row r="222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5"/>
    </row>
    <row r="223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5"/>
    </row>
    <row r="224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5"/>
    </row>
    <row r="225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5"/>
    </row>
    <row r="226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5"/>
    </row>
    <row r="227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5"/>
    </row>
    <row r="228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5"/>
    </row>
    <row r="229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5"/>
    </row>
    <row r="230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5"/>
    </row>
    <row r="23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5"/>
    </row>
    <row r="232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5"/>
    </row>
    <row r="233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5"/>
    </row>
    <row r="234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5"/>
    </row>
    <row r="235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5"/>
    </row>
    <row r="236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5"/>
    </row>
    <row r="237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5"/>
    </row>
    <row r="238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5"/>
    </row>
    <row r="239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5"/>
    </row>
    <row r="240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5"/>
    </row>
    <row r="24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5"/>
    </row>
    <row r="242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5"/>
    </row>
    <row r="243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5"/>
    </row>
    <row r="244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5"/>
    </row>
    <row r="245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5"/>
    </row>
    <row r="246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5"/>
    </row>
    <row r="247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5"/>
    </row>
    <row r="248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5"/>
    </row>
    <row r="249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5"/>
    </row>
    <row r="250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5"/>
    </row>
    <row r="25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5"/>
    </row>
    <row r="252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5"/>
    </row>
    <row r="253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5"/>
    </row>
    <row r="254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5"/>
    </row>
    <row r="255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5"/>
    </row>
    <row r="256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5"/>
    </row>
    <row r="257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5"/>
    </row>
    <row r="258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5"/>
    </row>
    <row r="259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5"/>
    </row>
    <row r="260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5"/>
    </row>
    <row r="26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5"/>
    </row>
    <row r="262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5"/>
    </row>
    <row r="263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5"/>
    </row>
    <row r="264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5"/>
    </row>
    <row r="265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5"/>
    </row>
    <row r="266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5"/>
    </row>
    <row r="267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5"/>
    </row>
    <row r="268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5"/>
    </row>
    <row r="269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5"/>
    </row>
    <row r="270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5"/>
    </row>
    <row r="27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5"/>
    </row>
    <row r="272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5"/>
    </row>
    <row r="273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5"/>
    </row>
    <row r="274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5"/>
    </row>
    <row r="275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5"/>
    </row>
    <row r="276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5"/>
    </row>
    <row r="277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5"/>
    </row>
    <row r="278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5"/>
    </row>
    <row r="279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5"/>
    </row>
    <row r="280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5"/>
    </row>
    <row r="28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5"/>
    </row>
    <row r="282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5"/>
    </row>
    <row r="283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5"/>
    </row>
    <row r="284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5"/>
    </row>
    <row r="285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5"/>
    </row>
    <row r="286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5"/>
    </row>
    <row r="287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5"/>
    </row>
    <row r="288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5"/>
    </row>
    <row r="289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5"/>
    </row>
    <row r="290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5"/>
    </row>
    <row r="29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5"/>
    </row>
    <row r="292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5"/>
    </row>
    <row r="293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5"/>
    </row>
    <row r="294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5"/>
    </row>
    <row r="295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5"/>
    </row>
    <row r="296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5"/>
    </row>
    <row r="297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5"/>
    </row>
    <row r="298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5"/>
    </row>
    <row r="299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5"/>
    </row>
    <row r="300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5"/>
    </row>
    <row r="30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5"/>
    </row>
    <row r="302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5"/>
    </row>
    <row r="303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5"/>
    </row>
    <row r="304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5"/>
    </row>
    <row r="305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5"/>
    </row>
    <row r="306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5"/>
    </row>
    <row r="307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5"/>
    </row>
    <row r="308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5"/>
    </row>
    <row r="309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5"/>
    </row>
    <row r="310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5"/>
    </row>
    <row r="31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5"/>
    </row>
    <row r="312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5"/>
    </row>
    <row r="313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5"/>
    </row>
    <row r="314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5"/>
    </row>
    <row r="315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5"/>
    </row>
    <row r="316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5"/>
    </row>
    <row r="317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5"/>
    </row>
    <row r="318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5"/>
    </row>
    <row r="319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5"/>
    </row>
    <row r="320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5"/>
    </row>
    <row r="32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5"/>
    </row>
    <row r="322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5"/>
    </row>
    <row r="323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5"/>
    </row>
    <row r="324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5"/>
    </row>
    <row r="325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5"/>
    </row>
    <row r="326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5"/>
    </row>
    <row r="327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5"/>
    </row>
    <row r="328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5"/>
    </row>
    <row r="329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5"/>
    </row>
    <row r="330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5"/>
    </row>
    <row r="33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5"/>
    </row>
    <row r="332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5"/>
    </row>
    <row r="333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5"/>
    </row>
    <row r="334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5"/>
    </row>
    <row r="335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5"/>
    </row>
    <row r="336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5"/>
    </row>
    <row r="337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5"/>
    </row>
    <row r="338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5"/>
    </row>
    <row r="339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5"/>
    </row>
    <row r="340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5"/>
    </row>
    <row r="34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5"/>
    </row>
    <row r="342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5"/>
    </row>
    <row r="343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5"/>
    </row>
    <row r="344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5"/>
    </row>
    <row r="345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5"/>
    </row>
    <row r="346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5"/>
    </row>
    <row r="347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5"/>
    </row>
    <row r="348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5"/>
    </row>
    <row r="349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5"/>
    </row>
    <row r="350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5"/>
    </row>
    <row r="35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5"/>
    </row>
    <row r="352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5"/>
    </row>
    <row r="353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5"/>
    </row>
    <row r="354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5"/>
    </row>
    <row r="355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5"/>
    </row>
    <row r="356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5"/>
    </row>
    <row r="357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5"/>
    </row>
    <row r="358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5"/>
    </row>
    <row r="359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5"/>
    </row>
    <row r="360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5"/>
    </row>
    <row r="36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5"/>
    </row>
    <row r="362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5"/>
    </row>
    <row r="363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5"/>
    </row>
    <row r="364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5"/>
    </row>
    <row r="365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5"/>
    </row>
    <row r="366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5"/>
    </row>
    <row r="367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5"/>
    </row>
    <row r="368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5"/>
    </row>
    <row r="369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5"/>
    </row>
    <row r="370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5"/>
    </row>
    <row r="37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5"/>
    </row>
    <row r="372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5"/>
    </row>
    <row r="373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5"/>
    </row>
    <row r="374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5"/>
    </row>
    <row r="375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5"/>
    </row>
    <row r="376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5"/>
    </row>
    <row r="377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5"/>
    </row>
    <row r="378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5"/>
    </row>
    <row r="379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5"/>
    </row>
    <row r="380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5"/>
    </row>
    <row r="38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5"/>
    </row>
    <row r="382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5"/>
    </row>
    <row r="383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5"/>
    </row>
    <row r="384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5"/>
    </row>
    <row r="385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5"/>
    </row>
    <row r="386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5"/>
    </row>
    <row r="387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5"/>
    </row>
    <row r="388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5"/>
    </row>
    <row r="389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5"/>
    </row>
    <row r="390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5"/>
    </row>
    <row r="39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5"/>
    </row>
    <row r="392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5"/>
    </row>
    <row r="393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5"/>
    </row>
    <row r="394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5"/>
    </row>
    <row r="395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5"/>
    </row>
    <row r="396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5"/>
    </row>
    <row r="397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5"/>
    </row>
    <row r="398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5"/>
    </row>
    <row r="399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5"/>
    </row>
    <row r="400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5"/>
    </row>
    <row r="40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5"/>
    </row>
    <row r="402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5"/>
    </row>
    <row r="403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5"/>
    </row>
    <row r="404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5"/>
    </row>
    <row r="405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5"/>
    </row>
    <row r="406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5"/>
    </row>
    <row r="407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5"/>
    </row>
    <row r="408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5"/>
    </row>
    <row r="409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5"/>
    </row>
    <row r="410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5"/>
    </row>
    <row r="41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5"/>
    </row>
    <row r="412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5"/>
    </row>
    <row r="413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5"/>
    </row>
    <row r="414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5"/>
    </row>
    <row r="415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5"/>
    </row>
    <row r="416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5"/>
    </row>
    <row r="417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5"/>
    </row>
    <row r="418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5"/>
    </row>
    <row r="419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5"/>
    </row>
    <row r="420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5"/>
    </row>
    <row r="42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5"/>
    </row>
    <row r="422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5"/>
    </row>
    <row r="423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5"/>
    </row>
    <row r="424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5"/>
    </row>
    <row r="425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5"/>
    </row>
    <row r="426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5"/>
    </row>
    <row r="427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5"/>
    </row>
    <row r="428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5"/>
    </row>
    <row r="429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5"/>
    </row>
    <row r="430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5"/>
    </row>
    <row r="43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5"/>
    </row>
    <row r="432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5"/>
    </row>
    <row r="433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5"/>
    </row>
    <row r="434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5"/>
    </row>
    <row r="435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5"/>
    </row>
    <row r="436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5"/>
    </row>
    <row r="437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5"/>
    </row>
    <row r="438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5"/>
    </row>
    <row r="439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5"/>
    </row>
    <row r="440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5"/>
    </row>
    <row r="44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5"/>
    </row>
    <row r="442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5"/>
    </row>
    <row r="443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5"/>
    </row>
    <row r="444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5"/>
    </row>
    <row r="445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5"/>
    </row>
    <row r="446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5"/>
    </row>
    <row r="447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5"/>
    </row>
    <row r="448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5"/>
    </row>
    <row r="449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5"/>
    </row>
    <row r="450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5"/>
    </row>
    <row r="45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5"/>
    </row>
    <row r="452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5"/>
    </row>
    <row r="453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5"/>
    </row>
    <row r="454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5"/>
    </row>
    <row r="455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5"/>
    </row>
    <row r="456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5"/>
    </row>
    <row r="457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5"/>
    </row>
    <row r="458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5"/>
    </row>
    <row r="459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5"/>
    </row>
    <row r="460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5"/>
    </row>
    <row r="46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5"/>
    </row>
    <row r="462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5"/>
    </row>
    <row r="463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5"/>
    </row>
    <row r="464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5"/>
    </row>
    <row r="465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5"/>
    </row>
    <row r="466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5"/>
    </row>
    <row r="467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5"/>
    </row>
    <row r="468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5"/>
    </row>
    <row r="469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5"/>
    </row>
    <row r="470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5"/>
    </row>
    <row r="47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5"/>
    </row>
    <row r="472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5"/>
    </row>
    <row r="473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5"/>
    </row>
    <row r="474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5"/>
    </row>
    <row r="475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5"/>
    </row>
    <row r="476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5"/>
    </row>
    <row r="477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5"/>
    </row>
    <row r="478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5"/>
    </row>
    <row r="479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5"/>
    </row>
    <row r="480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5"/>
    </row>
    <row r="48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5"/>
    </row>
    <row r="482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5"/>
    </row>
    <row r="483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5"/>
    </row>
    <row r="484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5"/>
    </row>
    <row r="485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5"/>
    </row>
    <row r="486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5"/>
    </row>
    <row r="487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5"/>
    </row>
    <row r="488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5"/>
    </row>
    <row r="489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5"/>
    </row>
    <row r="490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5"/>
    </row>
    <row r="49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5"/>
    </row>
    <row r="492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5"/>
    </row>
    <row r="493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5"/>
    </row>
    <row r="494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5"/>
    </row>
    <row r="495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5"/>
    </row>
    <row r="496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5"/>
    </row>
    <row r="497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5"/>
    </row>
    <row r="498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5"/>
    </row>
    <row r="499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5"/>
    </row>
    <row r="500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5"/>
    </row>
    <row r="50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5"/>
    </row>
    <row r="502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5"/>
    </row>
    <row r="503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5"/>
    </row>
    <row r="504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5"/>
    </row>
    <row r="505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5"/>
    </row>
    <row r="506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5"/>
    </row>
    <row r="507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5"/>
    </row>
    <row r="508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5"/>
    </row>
    <row r="509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5"/>
    </row>
    <row r="510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5"/>
    </row>
    <row r="51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5"/>
    </row>
    <row r="512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5"/>
    </row>
    <row r="513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5"/>
    </row>
    <row r="514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5"/>
    </row>
    <row r="515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5"/>
    </row>
    <row r="516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5"/>
    </row>
    <row r="517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5"/>
    </row>
    <row r="518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5"/>
    </row>
    <row r="519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5"/>
    </row>
    <row r="520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5"/>
    </row>
    <row r="52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5"/>
    </row>
    <row r="522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5"/>
    </row>
    <row r="523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5"/>
    </row>
    <row r="524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5"/>
    </row>
    <row r="525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5"/>
    </row>
    <row r="526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5"/>
    </row>
    <row r="527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5"/>
    </row>
    <row r="528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5"/>
    </row>
    <row r="529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5"/>
    </row>
    <row r="530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5"/>
    </row>
    <row r="53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5"/>
    </row>
    <row r="532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5"/>
    </row>
    <row r="533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5"/>
    </row>
    <row r="534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5"/>
    </row>
    <row r="535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5"/>
    </row>
    <row r="536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5"/>
    </row>
    <row r="537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5"/>
    </row>
    <row r="538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5"/>
    </row>
    <row r="539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5"/>
    </row>
    <row r="540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5"/>
    </row>
    <row r="54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5"/>
    </row>
    <row r="542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5"/>
    </row>
    <row r="543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5"/>
    </row>
    <row r="544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5"/>
    </row>
    <row r="545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5"/>
    </row>
    <row r="546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5"/>
    </row>
    <row r="547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5"/>
    </row>
    <row r="548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5"/>
    </row>
    <row r="549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5"/>
    </row>
    <row r="550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5"/>
    </row>
    <row r="55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5"/>
    </row>
    <row r="552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5"/>
    </row>
    <row r="553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5"/>
    </row>
    <row r="554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5"/>
    </row>
    <row r="555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5"/>
    </row>
    <row r="556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5"/>
    </row>
    <row r="557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5"/>
    </row>
    <row r="558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5"/>
    </row>
    <row r="559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5"/>
    </row>
    <row r="560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5"/>
    </row>
    <row r="56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5"/>
    </row>
    <row r="562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5"/>
    </row>
    <row r="563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5"/>
    </row>
    <row r="564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5"/>
    </row>
    <row r="565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5"/>
    </row>
    <row r="566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5"/>
    </row>
    <row r="567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5"/>
    </row>
    <row r="568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5"/>
    </row>
    <row r="569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5"/>
    </row>
    <row r="570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5"/>
    </row>
    <row r="57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5"/>
    </row>
    <row r="572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5"/>
    </row>
    <row r="573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5"/>
    </row>
    <row r="574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5"/>
    </row>
    <row r="575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5"/>
    </row>
    <row r="576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5"/>
    </row>
    <row r="577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5"/>
    </row>
    <row r="578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5"/>
    </row>
    <row r="579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5"/>
    </row>
    <row r="580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5"/>
    </row>
    <row r="58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5"/>
    </row>
    <row r="582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5"/>
    </row>
    <row r="583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5"/>
    </row>
    <row r="584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5"/>
    </row>
    <row r="585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5"/>
    </row>
    <row r="586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5"/>
    </row>
    <row r="587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5"/>
    </row>
    <row r="588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5"/>
    </row>
    <row r="589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5"/>
    </row>
    <row r="590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5"/>
    </row>
    <row r="59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5"/>
    </row>
    <row r="592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5"/>
    </row>
    <row r="593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5"/>
    </row>
    <row r="594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5"/>
    </row>
    <row r="595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5"/>
    </row>
    <row r="596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5"/>
    </row>
    <row r="597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5"/>
    </row>
    <row r="598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5"/>
    </row>
    <row r="599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5"/>
    </row>
    <row r="600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5"/>
    </row>
    <row r="60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5"/>
    </row>
    <row r="602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5"/>
    </row>
    <row r="603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5"/>
    </row>
    <row r="604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5"/>
    </row>
    <row r="605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5"/>
    </row>
    <row r="606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5"/>
    </row>
    <row r="607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5"/>
    </row>
    <row r="608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5"/>
    </row>
    <row r="609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5"/>
    </row>
    <row r="610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5"/>
    </row>
    <row r="61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5"/>
    </row>
    <row r="612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5"/>
    </row>
    <row r="613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5"/>
    </row>
    <row r="614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5"/>
    </row>
    <row r="615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5"/>
    </row>
    <row r="616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5"/>
    </row>
    <row r="617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5"/>
    </row>
    <row r="618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5"/>
    </row>
    <row r="619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5"/>
    </row>
    <row r="620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5"/>
    </row>
    <row r="62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5"/>
    </row>
    <row r="622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5"/>
    </row>
    <row r="623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5"/>
    </row>
    <row r="624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5"/>
    </row>
    <row r="625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5"/>
    </row>
    <row r="626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5"/>
    </row>
    <row r="627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5"/>
    </row>
    <row r="628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5"/>
    </row>
    <row r="629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5"/>
    </row>
    <row r="630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5"/>
    </row>
    <row r="63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5"/>
    </row>
    <row r="632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5"/>
    </row>
    <row r="633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5"/>
    </row>
    <row r="634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5"/>
    </row>
    <row r="635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5"/>
    </row>
    <row r="636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5"/>
    </row>
    <row r="637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5"/>
    </row>
    <row r="638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5"/>
    </row>
    <row r="639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5"/>
    </row>
    <row r="640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5"/>
    </row>
    <row r="64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5"/>
    </row>
    <row r="642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5"/>
    </row>
    <row r="643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5"/>
    </row>
    <row r="644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5"/>
    </row>
    <row r="645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5"/>
    </row>
    <row r="646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5"/>
    </row>
    <row r="647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5"/>
    </row>
    <row r="648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5"/>
    </row>
    <row r="649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5"/>
    </row>
    <row r="650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5"/>
    </row>
    <row r="65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5"/>
    </row>
    <row r="652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5"/>
    </row>
    <row r="653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5"/>
    </row>
    <row r="654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5"/>
    </row>
    <row r="655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5"/>
    </row>
    <row r="656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5"/>
    </row>
    <row r="657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5"/>
    </row>
    <row r="658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5"/>
    </row>
    <row r="659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5"/>
    </row>
    <row r="660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5"/>
    </row>
    <row r="66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5"/>
    </row>
    <row r="662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5"/>
    </row>
    <row r="663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5"/>
    </row>
    <row r="664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5"/>
    </row>
    <row r="665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5"/>
    </row>
    <row r="666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5"/>
    </row>
    <row r="667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5"/>
    </row>
    <row r="668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5"/>
    </row>
    <row r="669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5"/>
    </row>
    <row r="670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5"/>
    </row>
    <row r="67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5"/>
    </row>
    <row r="672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5"/>
    </row>
    <row r="673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5"/>
    </row>
    <row r="674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5"/>
    </row>
    <row r="675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5"/>
    </row>
    <row r="676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5"/>
    </row>
    <row r="677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5"/>
    </row>
    <row r="678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5"/>
    </row>
    <row r="679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5"/>
    </row>
    <row r="680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5"/>
    </row>
    <row r="68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5"/>
    </row>
    <row r="682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5"/>
    </row>
    <row r="683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5"/>
    </row>
    <row r="684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5"/>
    </row>
    <row r="685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5"/>
    </row>
    <row r="686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5"/>
    </row>
    <row r="687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5"/>
    </row>
    <row r="688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5"/>
    </row>
    <row r="689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5"/>
    </row>
    <row r="690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5"/>
    </row>
    <row r="69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5"/>
    </row>
    <row r="692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5"/>
    </row>
    <row r="693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5"/>
    </row>
    <row r="694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5"/>
    </row>
    <row r="695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5"/>
    </row>
    <row r="696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5"/>
    </row>
    <row r="697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5"/>
    </row>
    <row r="698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5"/>
    </row>
    <row r="699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5"/>
    </row>
    <row r="700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5"/>
    </row>
    <row r="70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5"/>
    </row>
    <row r="702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5"/>
    </row>
    <row r="703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5"/>
    </row>
    <row r="704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5"/>
    </row>
    <row r="705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5"/>
    </row>
    <row r="706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5"/>
    </row>
    <row r="707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5"/>
    </row>
    <row r="708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5"/>
    </row>
    <row r="709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5"/>
    </row>
    <row r="710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5"/>
    </row>
    <row r="71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5"/>
    </row>
    <row r="712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5"/>
    </row>
    <row r="713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5"/>
    </row>
    <row r="714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5"/>
    </row>
    <row r="715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5"/>
    </row>
    <row r="716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5"/>
    </row>
    <row r="717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5"/>
    </row>
    <row r="718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5"/>
    </row>
    <row r="719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5"/>
    </row>
    <row r="720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5"/>
    </row>
    <row r="72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5"/>
    </row>
    <row r="722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5"/>
    </row>
    <row r="723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5"/>
    </row>
    <row r="724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5"/>
    </row>
    <row r="725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5"/>
    </row>
    <row r="726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5"/>
    </row>
    <row r="727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5"/>
    </row>
    <row r="728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5"/>
    </row>
    <row r="729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5"/>
    </row>
    <row r="730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5"/>
    </row>
    <row r="73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5"/>
    </row>
    <row r="732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5"/>
    </row>
    <row r="733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5"/>
    </row>
    <row r="734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5"/>
    </row>
    <row r="735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5"/>
    </row>
    <row r="736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5"/>
    </row>
    <row r="737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5"/>
    </row>
    <row r="738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5"/>
    </row>
    <row r="739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5"/>
    </row>
    <row r="740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5"/>
    </row>
    <row r="74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5"/>
    </row>
    <row r="742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5"/>
    </row>
    <row r="743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5"/>
    </row>
    <row r="744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5"/>
    </row>
    <row r="745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5"/>
    </row>
    <row r="746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5"/>
    </row>
    <row r="747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5"/>
    </row>
    <row r="748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5"/>
    </row>
    <row r="749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5"/>
    </row>
    <row r="750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5"/>
    </row>
    <row r="75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5"/>
    </row>
    <row r="752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5"/>
    </row>
    <row r="753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5"/>
    </row>
    <row r="754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5"/>
    </row>
    <row r="755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5"/>
    </row>
    <row r="756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5"/>
    </row>
    <row r="757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5"/>
    </row>
    <row r="758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5"/>
    </row>
    <row r="759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5"/>
    </row>
    <row r="760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5"/>
    </row>
    <row r="76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5"/>
    </row>
    <row r="762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5"/>
    </row>
    <row r="763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5"/>
    </row>
    <row r="764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5"/>
    </row>
    <row r="765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5"/>
    </row>
    <row r="766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5"/>
    </row>
    <row r="767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5"/>
    </row>
    <row r="768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5"/>
    </row>
    <row r="769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5"/>
    </row>
    <row r="770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5"/>
    </row>
    <row r="77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5"/>
    </row>
    <row r="772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5"/>
    </row>
    <row r="773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5"/>
    </row>
    <row r="774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5"/>
    </row>
    <row r="775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5"/>
    </row>
    <row r="776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5"/>
    </row>
    <row r="777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5"/>
    </row>
    <row r="778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5"/>
    </row>
    <row r="779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5"/>
    </row>
    <row r="780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5"/>
    </row>
    <row r="78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5"/>
    </row>
    <row r="782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5"/>
    </row>
    <row r="783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5"/>
    </row>
    <row r="784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5"/>
    </row>
    <row r="785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5"/>
    </row>
    <row r="786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5"/>
    </row>
    <row r="787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5"/>
    </row>
    <row r="788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5"/>
    </row>
    <row r="789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5"/>
    </row>
    <row r="790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5"/>
    </row>
    <row r="79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5"/>
    </row>
    <row r="792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5"/>
    </row>
    <row r="793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5"/>
    </row>
    <row r="794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5"/>
    </row>
    <row r="795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5"/>
    </row>
    <row r="796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5"/>
    </row>
    <row r="797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5"/>
    </row>
    <row r="798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5"/>
    </row>
    <row r="799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5"/>
    </row>
    <row r="800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5"/>
    </row>
    <row r="80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5"/>
    </row>
    <row r="802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5"/>
    </row>
    <row r="803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5"/>
    </row>
    <row r="804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5"/>
    </row>
    <row r="805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5"/>
    </row>
    <row r="806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5"/>
    </row>
    <row r="807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5"/>
    </row>
    <row r="808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5"/>
    </row>
    <row r="809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5"/>
    </row>
    <row r="810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5"/>
    </row>
    <row r="81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5"/>
    </row>
    <row r="812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5"/>
    </row>
    <row r="813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5"/>
    </row>
    <row r="814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5"/>
    </row>
    <row r="815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5"/>
    </row>
    <row r="816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5"/>
    </row>
    <row r="817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5"/>
    </row>
    <row r="818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5"/>
    </row>
    <row r="819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5"/>
    </row>
    <row r="820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5"/>
    </row>
    <row r="82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5"/>
    </row>
    <row r="822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5"/>
    </row>
    <row r="823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5"/>
    </row>
    <row r="824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5"/>
    </row>
    <row r="825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5"/>
    </row>
    <row r="826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5"/>
    </row>
    <row r="827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5"/>
    </row>
    <row r="828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5"/>
    </row>
    <row r="829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5"/>
    </row>
    <row r="830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5"/>
    </row>
    <row r="83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5"/>
    </row>
    <row r="832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5"/>
    </row>
    <row r="833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5"/>
    </row>
    <row r="834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5"/>
    </row>
    <row r="835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5"/>
    </row>
    <row r="836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5"/>
    </row>
    <row r="837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5"/>
    </row>
    <row r="838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5"/>
    </row>
    <row r="839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5"/>
    </row>
    <row r="840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5"/>
    </row>
    <row r="84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5"/>
    </row>
    <row r="842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5"/>
    </row>
    <row r="843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5"/>
    </row>
    <row r="844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5"/>
    </row>
    <row r="845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5"/>
    </row>
    <row r="846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5"/>
    </row>
    <row r="847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5"/>
    </row>
    <row r="848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5"/>
    </row>
    <row r="849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5"/>
    </row>
    <row r="850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5"/>
    </row>
    <row r="85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5"/>
    </row>
    <row r="852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5"/>
    </row>
    <row r="853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5"/>
    </row>
    <row r="854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5"/>
    </row>
    <row r="855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5"/>
    </row>
    <row r="856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5"/>
    </row>
    <row r="857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5"/>
    </row>
    <row r="858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5"/>
    </row>
    <row r="859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5"/>
    </row>
    <row r="860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5"/>
    </row>
    <row r="86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5"/>
    </row>
    <row r="862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5"/>
    </row>
    <row r="863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5"/>
    </row>
    <row r="864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5"/>
    </row>
    <row r="865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5"/>
    </row>
    <row r="866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5"/>
    </row>
    <row r="867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5"/>
    </row>
    <row r="868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5"/>
    </row>
    <row r="869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5"/>
    </row>
    <row r="870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5"/>
    </row>
    <row r="87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5"/>
    </row>
    <row r="872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5"/>
    </row>
    <row r="873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5"/>
    </row>
    <row r="874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5"/>
    </row>
    <row r="875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5"/>
    </row>
    <row r="876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5"/>
    </row>
    <row r="877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5"/>
    </row>
    <row r="878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5"/>
    </row>
    <row r="879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5"/>
    </row>
    <row r="880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5"/>
    </row>
    <row r="88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5"/>
    </row>
    <row r="882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5"/>
    </row>
    <row r="883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5"/>
    </row>
    <row r="884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5"/>
    </row>
    <row r="885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5"/>
    </row>
    <row r="886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5"/>
    </row>
    <row r="887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5"/>
    </row>
    <row r="888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5"/>
    </row>
    <row r="889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5"/>
    </row>
    <row r="890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5"/>
    </row>
    <row r="89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5"/>
    </row>
    <row r="892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5"/>
    </row>
    <row r="893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5"/>
    </row>
    <row r="894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5"/>
    </row>
    <row r="895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5"/>
    </row>
    <row r="896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5"/>
    </row>
    <row r="897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5"/>
    </row>
    <row r="898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5"/>
    </row>
    <row r="899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5"/>
    </row>
    <row r="900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5"/>
    </row>
    <row r="90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5"/>
    </row>
    <row r="902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5"/>
    </row>
    <row r="903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5"/>
    </row>
    <row r="904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5"/>
    </row>
    <row r="905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5"/>
    </row>
    <row r="906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5"/>
    </row>
    <row r="907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5"/>
    </row>
    <row r="908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5"/>
    </row>
    <row r="909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5"/>
    </row>
    <row r="910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5"/>
    </row>
    <row r="91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5"/>
    </row>
    <row r="912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5"/>
    </row>
    <row r="913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5"/>
    </row>
    <row r="914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5"/>
    </row>
    <row r="915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5"/>
    </row>
    <row r="916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5"/>
    </row>
    <row r="917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5"/>
    </row>
    <row r="918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5"/>
    </row>
    <row r="919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5"/>
    </row>
    <row r="920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5"/>
    </row>
    <row r="92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5"/>
    </row>
    <row r="922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5"/>
    </row>
    <row r="923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5"/>
    </row>
    <row r="924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5"/>
    </row>
    <row r="925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5"/>
    </row>
    <row r="926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5"/>
    </row>
    <row r="927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5"/>
    </row>
    <row r="928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5"/>
    </row>
    <row r="929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5"/>
    </row>
    <row r="930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5"/>
    </row>
    <row r="93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5"/>
    </row>
    <row r="932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5"/>
    </row>
    <row r="933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5"/>
    </row>
    <row r="934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5"/>
    </row>
    <row r="935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5"/>
    </row>
    <row r="936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5"/>
    </row>
    <row r="937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5"/>
    </row>
    <row r="938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5"/>
    </row>
    <row r="939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5"/>
    </row>
    <row r="940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5"/>
    </row>
    <row r="94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5"/>
    </row>
    <row r="942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5"/>
    </row>
    <row r="943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5"/>
    </row>
    <row r="944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5"/>
    </row>
    <row r="945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5"/>
    </row>
    <row r="946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5"/>
    </row>
    <row r="947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5"/>
    </row>
    <row r="948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5"/>
    </row>
    <row r="949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5"/>
    </row>
    <row r="950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5"/>
    </row>
    <row r="95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5"/>
    </row>
    <row r="952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5"/>
    </row>
    <row r="953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5"/>
    </row>
    <row r="954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5"/>
    </row>
    <row r="955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5"/>
    </row>
    <row r="956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5"/>
    </row>
    <row r="957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5"/>
    </row>
    <row r="958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5"/>
    </row>
    <row r="959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5"/>
    </row>
    <row r="960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5"/>
    </row>
    <row r="96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5"/>
    </row>
    <row r="962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5"/>
    </row>
    <row r="963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5"/>
    </row>
    <row r="964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5"/>
    </row>
    <row r="965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5"/>
    </row>
    <row r="966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5"/>
    </row>
    <row r="967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5"/>
    </row>
    <row r="968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5"/>
    </row>
    <row r="969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5"/>
    </row>
    <row r="970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5"/>
    </row>
    <row r="97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5"/>
    </row>
    <row r="972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5"/>
    </row>
    <row r="973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5"/>
    </row>
    <row r="974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5"/>
    </row>
    <row r="975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5"/>
    </row>
    <row r="976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5"/>
    </row>
    <row r="977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5"/>
    </row>
    <row r="978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5"/>
    </row>
    <row r="979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5"/>
    </row>
    <row r="980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5"/>
    </row>
    <row r="98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5"/>
    </row>
    <row r="982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5"/>
    </row>
    <row r="983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5"/>
    </row>
    <row r="984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5"/>
    </row>
    <row r="985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5"/>
    </row>
    <row r="986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5"/>
    </row>
    <row r="987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5"/>
    </row>
    <row r="988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5"/>
    </row>
    <row r="989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5"/>
    </row>
    <row r="990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5"/>
    </row>
    <row r="99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5"/>
    </row>
    <row r="992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5"/>
    </row>
    <row r="993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5"/>
    </row>
    <row r="994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5"/>
    </row>
    <row r="995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5"/>
    </row>
    <row r="996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5"/>
    </row>
    <row r="997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5"/>
    </row>
    <row r="998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5"/>
    </row>
    <row r="999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5"/>
    </row>
    <row r="1000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5"/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6" t="str">
        <f>IFERROR(__xludf.DUMMYFUNCTION("QUERY({'2011'!A1:G5174; '2012'!A2:G5174; '2013'!A2:G5174; '2014'!A2:G5174; '2015'!A2:G5174; '2016'!A2:G5174; '2017'!A2:G5174; '2018'!A2:G5174; '2019'!A2:G5174; '2020'!A2:G5174; '2021'!A2:G5174; '2022'!A2:G5174; '2023'!A2:G5174; '2024'!A2:G5174; '2025'!A2:"&amp;"G5174; '2026'!A2:G5174}, ""SELECT * WHERE Col1 IS NOT NULL"")"),"Ano")</f>
        <v>Ano</v>
      </c>
      <c r="B1" s="6" t="str">
        <f>IFERROR(__xludf.DUMMYFUNCTION("""COMPUTED_VALUE"""),"Mês")</f>
        <v>Mês</v>
      </c>
      <c r="C1" s="6" t="str">
        <f>IFERROR(__xludf.DUMMYFUNCTION("""COMPUTED_VALUE"""),"Tipo de Ocorrência")</f>
        <v>Tipo de Ocorrência</v>
      </c>
      <c r="D1" s="6" t="str">
        <f>IFERROR(__xludf.DUMMYFUNCTION("""COMPUTED_VALUE"""),"Capital")</f>
        <v>Capital</v>
      </c>
      <c r="E1" s="6" t="str">
        <f>IFERROR(__xludf.DUMMYFUNCTION("""COMPUTED_VALUE"""),"Demacro")</f>
        <v>Demacro</v>
      </c>
      <c r="F1" s="6" t="str">
        <f>IFERROR(__xludf.DUMMYFUNCTION("""COMPUTED_VALUE"""),"Interior")</f>
        <v>Interior</v>
      </c>
      <c r="G1" s="6" t="str">
        <f>IFERROR(__xludf.DUMMYFUNCTION("""COMPUTED_VALUE"""),"Total")</f>
        <v>Total</v>
      </c>
    </row>
    <row r="2">
      <c r="A2" s="6">
        <f>IFERROR(__xludf.DUMMYFUNCTION("""COMPUTED_VALUE"""),2011.0)</f>
        <v>2011</v>
      </c>
      <c r="B2" s="6" t="str">
        <f>IFERROR(__xludf.DUMMYFUNCTION("""COMPUTED_VALUE"""),"Setembro")</f>
        <v>Setembro</v>
      </c>
      <c r="C2" s="6" t="str">
        <f>IFERROR(__xludf.DUMMYFUNCTION("""COMPUTED_VALUE"""),"HOMICÍDIO DOLOSO (exclui FEMINICÍDIO)")</f>
        <v>HOMICÍDIO DOLOSO (exclui FEMINICÍDIO)</v>
      </c>
      <c r="D2" s="6">
        <f>IFERROR(__xludf.DUMMYFUNCTION("""COMPUTED_VALUE"""),0.0)</f>
        <v>0</v>
      </c>
      <c r="E2" s="6">
        <f>IFERROR(__xludf.DUMMYFUNCTION("""COMPUTED_VALUE"""),2.0)</f>
        <v>2</v>
      </c>
      <c r="F2" s="6">
        <f>IFERROR(__xludf.DUMMYFUNCTION("""COMPUTED_VALUE"""),4.0)</f>
        <v>4</v>
      </c>
      <c r="G2" s="6">
        <f>IFERROR(__xludf.DUMMYFUNCTION("""COMPUTED_VALUE"""),6.0)</f>
        <v>6</v>
      </c>
    </row>
    <row r="3">
      <c r="A3" s="6">
        <f>IFERROR(__xludf.DUMMYFUNCTION("""COMPUTED_VALUE"""),2011.0)</f>
        <v>2011</v>
      </c>
      <c r="B3" s="6" t="str">
        <f>IFERROR(__xludf.DUMMYFUNCTION("""COMPUTED_VALUE"""),"Setembro")</f>
        <v>Setembro</v>
      </c>
      <c r="C3" s="6" t="str">
        <f>IFERROR(__xludf.DUMMYFUNCTION("""COMPUTED_VALUE"""),"HOMICÍDIO CULPOSO")</f>
        <v>HOMICÍDIO CULPOSO</v>
      </c>
      <c r="D3" s="6">
        <f>IFERROR(__xludf.DUMMYFUNCTION("""COMPUTED_VALUE"""),0.0)</f>
        <v>0</v>
      </c>
      <c r="E3" s="6">
        <f>IFERROR(__xludf.DUMMYFUNCTION("""COMPUTED_VALUE"""),0.0)</f>
        <v>0</v>
      </c>
      <c r="F3" s="6">
        <f>IFERROR(__xludf.DUMMYFUNCTION("""COMPUTED_VALUE"""),0.0)</f>
        <v>0</v>
      </c>
      <c r="G3" s="6">
        <f>IFERROR(__xludf.DUMMYFUNCTION("""COMPUTED_VALUE"""),0.0)</f>
        <v>0</v>
      </c>
    </row>
    <row r="4">
      <c r="A4" s="6">
        <f>IFERROR(__xludf.DUMMYFUNCTION("""COMPUTED_VALUE"""),2011.0)</f>
        <v>2011</v>
      </c>
      <c r="B4" s="6" t="str">
        <f>IFERROR(__xludf.DUMMYFUNCTION("""COMPUTED_VALUE"""),"Setembro")</f>
        <v>Setembro</v>
      </c>
      <c r="C4" s="6" t="str">
        <f>IFERROR(__xludf.DUMMYFUNCTION("""COMPUTED_VALUE"""),"TENTATIVA DE HOMICÍDIO")</f>
        <v>TENTATIVA DE HOMICÍDIO</v>
      </c>
      <c r="D4" s="6">
        <f>IFERROR(__xludf.DUMMYFUNCTION("""COMPUTED_VALUE"""),5.0)</f>
        <v>5</v>
      </c>
      <c r="E4" s="6">
        <f>IFERROR(__xludf.DUMMYFUNCTION("""COMPUTED_VALUE"""),0.0)</f>
        <v>0</v>
      </c>
      <c r="F4" s="6">
        <f>IFERROR(__xludf.DUMMYFUNCTION("""COMPUTED_VALUE"""),11.0)</f>
        <v>11</v>
      </c>
      <c r="G4" s="6">
        <f>IFERROR(__xludf.DUMMYFUNCTION("""COMPUTED_VALUE"""),16.0)</f>
        <v>16</v>
      </c>
    </row>
    <row r="5">
      <c r="A5" s="6">
        <f>IFERROR(__xludf.DUMMYFUNCTION("""COMPUTED_VALUE"""),2011.0)</f>
        <v>2011</v>
      </c>
      <c r="B5" s="6" t="str">
        <f>IFERROR(__xludf.DUMMYFUNCTION("""COMPUTED_VALUE"""),"Setembro")</f>
        <v>Setembro</v>
      </c>
      <c r="C5" s="6" t="str">
        <f>IFERROR(__xludf.DUMMYFUNCTION("""COMPUTED_VALUE"""),"LESÃO CORPORAL DOLOSA")</f>
        <v>LESÃO CORPORAL DOLOSA</v>
      </c>
      <c r="D5" s="6">
        <f>IFERROR(__xludf.DUMMYFUNCTION("""COMPUTED_VALUE"""),1198.0)</f>
        <v>1198</v>
      </c>
      <c r="E5" s="6">
        <f>IFERROR(__xludf.DUMMYFUNCTION("""COMPUTED_VALUE"""),1040.0)</f>
        <v>1040</v>
      </c>
      <c r="F5" s="6">
        <f>IFERROR(__xludf.DUMMYFUNCTION("""COMPUTED_VALUE"""),3606.0)</f>
        <v>3606</v>
      </c>
      <c r="G5" s="6">
        <f>IFERROR(__xludf.DUMMYFUNCTION("""COMPUTED_VALUE"""),5844.0)</f>
        <v>5844</v>
      </c>
    </row>
    <row r="6">
      <c r="A6" s="6">
        <f>IFERROR(__xludf.DUMMYFUNCTION("""COMPUTED_VALUE"""),2011.0)</f>
        <v>2011</v>
      </c>
      <c r="B6" s="6" t="str">
        <f>IFERROR(__xludf.DUMMYFUNCTION("""COMPUTED_VALUE"""),"Setembro")</f>
        <v>Setembro</v>
      </c>
      <c r="C6" s="6" t="str">
        <f>IFERROR(__xludf.DUMMYFUNCTION("""COMPUTED_VALUE"""),"MAUS TRATOS")</f>
        <v>MAUS TRATOS</v>
      </c>
      <c r="D6" s="6">
        <f>IFERROR(__xludf.DUMMYFUNCTION("""COMPUTED_VALUE"""),8.0)</f>
        <v>8</v>
      </c>
      <c r="E6" s="6">
        <f>IFERROR(__xludf.DUMMYFUNCTION("""COMPUTED_VALUE"""),5.0)</f>
        <v>5</v>
      </c>
      <c r="F6" s="6">
        <f>IFERROR(__xludf.DUMMYFUNCTION("""COMPUTED_VALUE"""),43.0)</f>
        <v>43</v>
      </c>
      <c r="G6" s="6">
        <f>IFERROR(__xludf.DUMMYFUNCTION("""COMPUTED_VALUE"""),56.0)</f>
        <v>56</v>
      </c>
    </row>
    <row r="7">
      <c r="A7" s="6">
        <f>IFERROR(__xludf.DUMMYFUNCTION("""COMPUTED_VALUE"""),2011.0)</f>
        <v>2011</v>
      </c>
      <c r="B7" s="6" t="str">
        <f>IFERROR(__xludf.DUMMYFUNCTION("""COMPUTED_VALUE"""),"Setembro")</f>
        <v>Setembro</v>
      </c>
      <c r="C7" s="6" t="str">
        <f>IFERROR(__xludf.DUMMYFUNCTION("""COMPUTED_VALUE"""),"CALÚNIA - DIFAMAÇÃO - INJÚRIA")</f>
        <v>CALÚNIA - DIFAMAÇÃO - INJÚRIA</v>
      </c>
      <c r="D7" s="6">
        <f>IFERROR(__xludf.DUMMYFUNCTION("""COMPUTED_VALUE"""),210.0)</f>
        <v>210</v>
      </c>
      <c r="E7" s="6">
        <f>IFERROR(__xludf.DUMMYFUNCTION("""COMPUTED_VALUE"""),202.0)</f>
        <v>202</v>
      </c>
      <c r="F7" s="6">
        <f>IFERROR(__xludf.DUMMYFUNCTION("""COMPUTED_VALUE"""),846.0)</f>
        <v>846</v>
      </c>
      <c r="G7" s="6">
        <f>IFERROR(__xludf.DUMMYFUNCTION("""COMPUTED_VALUE"""),1258.0)</f>
        <v>1258</v>
      </c>
    </row>
    <row r="8">
      <c r="A8" s="6">
        <f>IFERROR(__xludf.DUMMYFUNCTION("""COMPUTED_VALUE"""),2011.0)</f>
        <v>2011</v>
      </c>
      <c r="B8" s="6" t="str">
        <f>IFERROR(__xludf.DUMMYFUNCTION("""COMPUTED_VALUE"""),"Setembro")</f>
        <v>Setembro</v>
      </c>
      <c r="C8" s="6" t="str">
        <f>IFERROR(__xludf.DUMMYFUNCTION("""COMPUTED_VALUE"""),"CONSTRANGIMENTO ILEGAL")</f>
        <v>CONSTRANGIMENTO ILEGAL</v>
      </c>
      <c r="D8" s="6">
        <f>IFERROR(__xludf.DUMMYFUNCTION("""COMPUTED_VALUE"""),0.0)</f>
        <v>0</v>
      </c>
      <c r="E8" s="6">
        <f>IFERROR(__xludf.DUMMYFUNCTION("""COMPUTED_VALUE"""),4.0)</f>
        <v>4</v>
      </c>
      <c r="F8" s="6">
        <f>IFERROR(__xludf.DUMMYFUNCTION("""COMPUTED_VALUE"""),6.0)</f>
        <v>6</v>
      </c>
      <c r="G8" s="6">
        <f>IFERROR(__xludf.DUMMYFUNCTION("""COMPUTED_VALUE"""),10.0)</f>
        <v>10</v>
      </c>
    </row>
    <row r="9">
      <c r="A9" s="6">
        <f>IFERROR(__xludf.DUMMYFUNCTION("""COMPUTED_VALUE"""),2011.0)</f>
        <v>2011</v>
      </c>
      <c r="B9" s="6" t="str">
        <f>IFERROR(__xludf.DUMMYFUNCTION("""COMPUTED_VALUE"""),"Setembro")</f>
        <v>Setembro</v>
      </c>
      <c r="C9" s="6" t="str">
        <f>IFERROR(__xludf.DUMMYFUNCTION("""COMPUTED_VALUE"""),"AMEAÇA")</f>
        <v>AMEAÇA</v>
      </c>
      <c r="D9" s="6">
        <f>IFERROR(__xludf.DUMMYFUNCTION("""COMPUTED_VALUE"""),1087.0)</f>
        <v>1087</v>
      </c>
      <c r="E9" s="6">
        <f>IFERROR(__xludf.DUMMYFUNCTION("""COMPUTED_VALUE"""),977.0)</f>
        <v>977</v>
      </c>
      <c r="F9" s="6">
        <f>IFERROR(__xludf.DUMMYFUNCTION("""COMPUTED_VALUE"""),3705.0)</f>
        <v>3705</v>
      </c>
      <c r="G9" s="6">
        <f>IFERROR(__xludf.DUMMYFUNCTION("""COMPUTED_VALUE"""),5769.0)</f>
        <v>5769</v>
      </c>
    </row>
    <row r="10">
      <c r="A10" s="6">
        <f>IFERROR(__xludf.DUMMYFUNCTION("""COMPUTED_VALUE"""),2011.0)</f>
        <v>2011</v>
      </c>
      <c r="B10" s="6" t="str">
        <f>IFERROR(__xludf.DUMMYFUNCTION("""COMPUTED_VALUE"""),"Setembro")</f>
        <v>Setembro</v>
      </c>
      <c r="C10" s="6" t="str">
        <f>IFERROR(__xludf.DUMMYFUNCTION("""COMPUTED_VALUE"""),"INVASÃO DE DOMICÍLIO")</f>
        <v>INVASÃO DE DOMICÍLIO</v>
      </c>
      <c r="D10" s="6">
        <f>IFERROR(__xludf.DUMMYFUNCTION("""COMPUTED_VALUE"""),1.0)</f>
        <v>1</v>
      </c>
      <c r="E10" s="6">
        <f>IFERROR(__xludf.DUMMYFUNCTION("""COMPUTED_VALUE"""),1.0)</f>
        <v>1</v>
      </c>
      <c r="F10" s="6">
        <f>IFERROR(__xludf.DUMMYFUNCTION("""COMPUTED_VALUE"""),19.0)</f>
        <v>19</v>
      </c>
      <c r="G10" s="6">
        <f>IFERROR(__xludf.DUMMYFUNCTION("""COMPUTED_VALUE"""),21.0)</f>
        <v>21</v>
      </c>
    </row>
    <row r="11">
      <c r="A11" s="6">
        <f>IFERROR(__xludf.DUMMYFUNCTION("""COMPUTED_VALUE"""),2011.0)</f>
        <v>2011</v>
      </c>
      <c r="B11" s="6" t="str">
        <f>IFERROR(__xludf.DUMMYFUNCTION("""COMPUTED_VALUE"""),"Setembro")</f>
        <v>Setembro</v>
      </c>
      <c r="C11" s="6" t="str">
        <f>IFERROR(__xludf.DUMMYFUNCTION("""COMPUTED_VALUE"""),"DANO")</f>
        <v>DANO</v>
      </c>
      <c r="D11" s="6">
        <f>IFERROR(__xludf.DUMMYFUNCTION("""COMPUTED_VALUE"""),10.0)</f>
        <v>10</v>
      </c>
      <c r="E11" s="6">
        <f>IFERROR(__xludf.DUMMYFUNCTION("""COMPUTED_VALUE"""),10.0)</f>
        <v>10</v>
      </c>
      <c r="F11" s="6">
        <f>IFERROR(__xludf.DUMMYFUNCTION("""COMPUTED_VALUE"""),85.0)</f>
        <v>85</v>
      </c>
      <c r="G11" s="6">
        <f>IFERROR(__xludf.DUMMYFUNCTION("""COMPUTED_VALUE"""),105.0)</f>
        <v>105</v>
      </c>
    </row>
    <row r="12">
      <c r="A12" s="6">
        <f>IFERROR(__xludf.DUMMYFUNCTION("""COMPUTED_VALUE"""),2011.0)</f>
        <v>2011</v>
      </c>
      <c r="B12" s="6" t="str">
        <f>IFERROR(__xludf.DUMMYFUNCTION("""COMPUTED_VALUE"""),"Setembro")</f>
        <v>Setembro</v>
      </c>
      <c r="C12" s="6" t="str">
        <f>IFERROR(__xludf.DUMMYFUNCTION("""COMPUTED_VALUE"""),"ESTUPRO CONSUMADO")</f>
        <v>ESTUPRO CONSUMADO</v>
      </c>
      <c r="D12" s="6">
        <f>IFERROR(__xludf.DUMMYFUNCTION("""COMPUTED_VALUE"""),19.0)</f>
        <v>19</v>
      </c>
      <c r="E12" s="6">
        <f>IFERROR(__xludf.DUMMYFUNCTION("""COMPUTED_VALUE"""),13.0)</f>
        <v>13</v>
      </c>
      <c r="F12" s="6">
        <f>IFERROR(__xludf.DUMMYFUNCTION("""COMPUTED_VALUE"""),16.0)</f>
        <v>16</v>
      </c>
      <c r="G12" s="6">
        <f>IFERROR(__xludf.DUMMYFUNCTION("""COMPUTED_VALUE"""),48.0)</f>
        <v>48</v>
      </c>
    </row>
    <row r="13">
      <c r="A13" s="6">
        <f>IFERROR(__xludf.DUMMYFUNCTION("""COMPUTED_VALUE"""),2011.0)</f>
        <v>2011</v>
      </c>
      <c r="B13" s="6" t="str">
        <f>IFERROR(__xludf.DUMMYFUNCTION("""COMPUTED_VALUE"""),"Setembro")</f>
        <v>Setembro</v>
      </c>
      <c r="C13" s="6" t="str">
        <f>IFERROR(__xludf.DUMMYFUNCTION("""COMPUTED_VALUE"""),"ESTUPRO TENTADO")</f>
        <v>ESTUPRO TENTADO</v>
      </c>
      <c r="D13" s="6">
        <f>IFERROR(__xludf.DUMMYFUNCTION("""COMPUTED_VALUE"""),1.0)</f>
        <v>1</v>
      </c>
      <c r="E13" s="6">
        <f>IFERROR(__xludf.DUMMYFUNCTION("""COMPUTED_VALUE"""),1.0)</f>
        <v>1</v>
      </c>
      <c r="F13" s="6">
        <f>IFERROR(__xludf.DUMMYFUNCTION("""COMPUTED_VALUE"""),2.0)</f>
        <v>2</v>
      </c>
      <c r="G13" s="6">
        <f>IFERROR(__xludf.DUMMYFUNCTION("""COMPUTED_VALUE"""),4.0)</f>
        <v>4</v>
      </c>
    </row>
    <row r="14">
      <c r="A14" s="6">
        <f>IFERROR(__xludf.DUMMYFUNCTION("""COMPUTED_VALUE"""),2011.0)</f>
        <v>2011</v>
      </c>
      <c r="B14" s="6" t="str">
        <f>IFERROR(__xludf.DUMMYFUNCTION("""COMPUTED_VALUE"""),"Setembro")</f>
        <v>Setembro</v>
      </c>
      <c r="C14" s="6" t="str">
        <f>IFERROR(__xludf.DUMMYFUNCTION("""COMPUTED_VALUE"""),"ESTUPRO DE VULNERÁVEL CONSUMADO")</f>
        <v>ESTUPRO DE VULNERÁVEL CONSUMADO</v>
      </c>
      <c r="D14" s="6">
        <f>IFERROR(__xludf.DUMMYFUNCTION("""COMPUTED_VALUE"""),2.0)</f>
        <v>2</v>
      </c>
      <c r="E14" s="6">
        <f>IFERROR(__xludf.DUMMYFUNCTION("""COMPUTED_VALUE"""),8.0)</f>
        <v>8</v>
      </c>
      <c r="F14" s="6">
        <f>IFERROR(__xludf.DUMMYFUNCTION("""COMPUTED_VALUE"""),20.0)</f>
        <v>20</v>
      </c>
      <c r="G14" s="6">
        <f>IFERROR(__xludf.DUMMYFUNCTION("""COMPUTED_VALUE"""),30.0)</f>
        <v>30</v>
      </c>
    </row>
    <row r="15">
      <c r="A15" s="6">
        <f>IFERROR(__xludf.DUMMYFUNCTION("""COMPUTED_VALUE"""),2011.0)</f>
        <v>2011</v>
      </c>
      <c r="B15" s="6" t="str">
        <f>IFERROR(__xludf.DUMMYFUNCTION("""COMPUTED_VALUE"""),"Setembro")</f>
        <v>Setembro</v>
      </c>
      <c r="C15" s="6" t="str">
        <f>IFERROR(__xludf.DUMMYFUNCTION("""COMPUTED_VALUE"""),"OUTROS C/C/ DIGNIDADE SEXUAL")</f>
        <v>OUTROS C/C/ DIGNIDADE SEXUAL</v>
      </c>
      <c r="D15" s="6">
        <f>IFERROR(__xludf.DUMMYFUNCTION("""COMPUTED_VALUE"""),3.0)</f>
        <v>3</v>
      </c>
      <c r="E15" s="6">
        <f>IFERROR(__xludf.DUMMYFUNCTION("""COMPUTED_VALUE"""),0.0)</f>
        <v>0</v>
      </c>
      <c r="F15" s="6">
        <f>IFERROR(__xludf.DUMMYFUNCTION("""COMPUTED_VALUE"""),3.0)</f>
        <v>3</v>
      </c>
      <c r="G15" s="6">
        <f>IFERROR(__xludf.DUMMYFUNCTION("""COMPUTED_VALUE"""),6.0)</f>
        <v>6</v>
      </c>
    </row>
    <row r="16">
      <c r="A16" s="6">
        <f>IFERROR(__xludf.DUMMYFUNCTION("""COMPUTED_VALUE"""),2011.0)</f>
        <v>2011</v>
      </c>
      <c r="B16" s="6" t="str">
        <f>IFERROR(__xludf.DUMMYFUNCTION("""COMPUTED_VALUE"""),"Outubro")</f>
        <v>Outubro</v>
      </c>
      <c r="C16" s="6" t="str">
        <f>IFERROR(__xludf.DUMMYFUNCTION("""COMPUTED_VALUE"""),"HOMICÍDIO DOLOSO (exclui FEMINICÍDIO)")</f>
        <v>HOMICÍDIO DOLOSO (exclui FEMINICÍDIO)</v>
      </c>
      <c r="D16" s="6">
        <f>IFERROR(__xludf.DUMMYFUNCTION("""COMPUTED_VALUE"""),2.0)</f>
        <v>2</v>
      </c>
      <c r="E16" s="6">
        <f>IFERROR(__xludf.DUMMYFUNCTION("""COMPUTED_VALUE"""),1.0)</f>
        <v>1</v>
      </c>
      <c r="F16" s="6">
        <f>IFERROR(__xludf.DUMMYFUNCTION("""COMPUTED_VALUE"""),5.0)</f>
        <v>5</v>
      </c>
      <c r="G16" s="6">
        <f>IFERROR(__xludf.DUMMYFUNCTION("""COMPUTED_VALUE"""),8.0)</f>
        <v>8</v>
      </c>
    </row>
    <row r="17">
      <c r="A17" s="6">
        <f>IFERROR(__xludf.DUMMYFUNCTION("""COMPUTED_VALUE"""),2011.0)</f>
        <v>2011</v>
      </c>
      <c r="B17" s="6" t="str">
        <f>IFERROR(__xludf.DUMMYFUNCTION("""COMPUTED_VALUE"""),"Outubro")</f>
        <v>Outubro</v>
      </c>
      <c r="C17" s="6" t="str">
        <f>IFERROR(__xludf.DUMMYFUNCTION("""COMPUTED_VALUE"""),"HOMICÍDIO CULPOSO")</f>
        <v>HOMICÍDIO CULPOSO</v>
      </c>
      <c r="D17" s="6">
        <f>IFERROR(__xludf.DUMMYFUNCTION("""COMPUTED_VALUE"""),0.0)</f>
        <v>0</v>
      </c>
      <c r="E17" s="6">
        <f>IFERROR(__xludf.DUMMYFUNCTION("""COMPUTED_VALUE"""),1.0)</f>
        <v>1</v>
      </c>
      <c r="F17" s="6">
        <f>IFERROR(__xludf.DUMMYFUNCTION("""COMPUTED_VALUE"""),1.0)</f>
        <v>1</v>
      </c>
      <c r="G17" s="6">
        <f>IFERROR(__xludf.DUMMYFUNCTION("""COMPUTED_VALUE"""),2.0)</f>
        <v>2</v>
      </c>
    </row>
    <row r="18">
      <c r="A18" s="6">
        <f>IFERROR(__xludf.DUMMYFUNCTION("""COMPUTED_VALUE"""),2011.0)</f>
        <v>2011</v>
      </c>
      <c r="B18" s="6" t="str">
        <f>IFERROR(__xludf.DUMMYFUNCTION("""COMPUTED_VALUE"""),"Outubro")</f>
        <v>Outubro</v>
      </c>
      <c r="C18" s="6" t="str">
        <f>IFERROR(__xludf.DUMMYFUNCTION("""COMPUTED_VALUE"""),"TENTATIVA DE HOMICÍDIO")</f>
        <v>TENTATIVA DE HOMICÍDIO</v>
      </c>
      <c r="D18" s="6">
        <f>IFERROR(__xludf.DUMMYFUNCTION("""COMPUTED_VALUE"""),5.0)</f>
        <v>5</v>
      </c>
      <c r="E18" s="6">
        <f>IFERROR(__xludf.DUMMYFUNCTION("""COMPUTED_VALUE"""),7.0)</f>
        <v>7</v>
      </c>
      <c r="F18" s="6">
        <f>IFERROR(__xludf.DUMMYFUNCTION("""COMPUTED_VALUE"""),22.0)</f>
        <v>22</v>
      </c>
      <c r="G18" s="6">
        <f>IFERROR(__xludf.DUMMYFUNCTION("""COMPUTED_VALUE"""),34.0)</f>
        <v>34</v>
      </c>
    </row>
    <row r="19">
      <c r="A19" s="6">
        <f>IFERROR(__xludf.DUMMYFUNCTION("""COMPUTED_VALUE"""),2011.0)</f>
        <v>2011</v>
      </c>
      <c r="B19" s="6" t="str">
        <f>IFERROR(__xludf.DUMMYFUNCTION("""COMPUTED_VALUE"""),"Outubro")</f>
        <v>Outubro</v>
      </c>
      <c r="C19" s="6" t="str">
        <f>IFERROR(__xludf.DUMMYFUNCTION("""COMPUTED_VALUE"""),"LESÃO CORPORAL DOLOSA")</f>
        <v>LESÃO CORPORAL DOLOSA</v>
      </c>
      <c r="D19" s="6">
        <f>IFERROR(__xludf.DUMMYFUNCTION("""COMPUTED_VALUE"""),1244.0)</f>
        <v>1244</v>
      </c>
      <c r="E19" s="6">
        <f>IFERROR(__xludf.DUMMYFUNCTION("""COMPUTED_VALUE"""),1098.0)</f>
        <v>1098</v>
      </c>
      <c r="F19" s="6">
        <f>IFERROR(__xludf.DUMMYFUNCTION("""COMPUTED_VALUE"""),3734.0)</f>
        <v>3734</v>
      </c>
      <c r="G19" s="6">
        <f>IFERROR(__xludf.DUMMYFUNCTION("""COMPUTED_VALUE"""),6076.0)</f>
        <v>6076</v>
      </c>
    </row>
    <row r="20">
      <c r="A20" s="6">
        <f>IFERROR(__xludf.DUMMYFUNCTION("""COMPUTED_VALUE"""),2011.0)</f>
        <v>2011</v>
      </c>
      <c r="B20" s="6" t="str">
        <f>IFERROR(__xludf.DUMMYFUNCTION("""COMPUTED_VALUE"""),"Outubro")</f>
        <v>Outubro</v>
      </c>
      <c r="C20" s="6" t="str">
        <f>IFERROR(__xludf.DUMMYFUNCTION("""COMPUTED_VALUE"""),"MAUS TRATOS")</f>
        <v>MAUS TRATOS</v>
      </c>
      <c r="D20" s="6">
        <f>IFERROR(__xludf.DUMMYFUNCTION("""COMPUTED_VALUE"""),11.0)</f>
        <v>11</v>
      </c>
      <c r="E20" s="6">
        <f>IFERROR(__xludf.DUMMYFUNCTION("""COMPUTED_VALUE"""),10.0)</f>
        <v>10</v>
      </c>
      <c r="F20" s="6">
        <f>IFERROR(__xludf.DUMMYFUNCTION("""COMPUTED_VALUE"""),43.0)</f>
        <v>43</v>
      </c>
      <c r="G20" s="6">
        <f>IFERROR(__xludf.DUMMYFUNCTION("""COMPUTED_VALUE"""),64.0)</f>
        <v>64</v>
      </c>
    </row>
    <row r="21">
      <c r="A21" s="6">
        <f>IFERROR(__xludf.DUMMYFUNCTION("""COMPUTED_VALUE"""),2011.0)</f>
        <v>2011</v>
      </c>
      <c r="B21" s="6" t="str">
        <f>IFERROR(__xludf.DUMMYFUNCTION("""COMPUTED_VALUE"""),"Outubro")</f>
        <v>Outubro</v>
      </c>
      <c r="C21" s="6" t="str">
        <f>IFERROR(__xludf.DUMMYFUNCTION("""COMPUTED_VALUE"""),"CALÚNIA - DIFAMAÇÃO - INJÚRIA")</f>
        <v>CALÚNIA - DIFAMAÇÃO - INJÚRIA</v>
      </c>
      <c r="D21" s="6">
        <f>IFERROR(__xludf.DUMMYFUNCTION("""COMPUTED_VALUE"""),254.0)</f>
        <v>254</v>
      </c>
      <c r="E21" s="6">
        <f>IFERROR(__xludf.DUMMYFUNCTION("""COMPUTED_VALUE"""),173.0)</f>
        <v>173</v>
      </c>
      <c r="F21" s="6">
        <f>IFERROR(__xludf.DUMMYFUNCTION("""COMPUTED_VALUE"""),806.0)</f>
        <v>806</v>
      </c>
      <c r="G21" s="6">
        <f>IFERROR(__xludf.DUMMYFUNCTION("""COMPUTED_VALUE"""),1233.0)</f>
        <v>1233</v>
      </c>
    </row>
    <row r="22">
      <c r="A22" s="6">
        <f>IFERROR(__xludf.DUMMYFUNCTION("""COMPUTED_VALUE"""),2011.0)</f>
        <v>2011</v>
      </c>
      <c r="B22" s="6" t="str">
        <f>IFERROR(__xludf.DUMMYFUNCTION("""COMPUTED_VALUE"""),"Outubro")</f>
        <v>Outubro</v>
      </c>
      <c r="C22" s="6" t="str">
        <f>IFERROR(__xludf.DUMMYFUNCTION("""COMPUTED_VALUE"""),"CONSTRANGIMENTO ILEGAL")</f>
        <v>CONSTRANGIMENTO ILEGAL</v>
      </c>
      <c r="D22" s="6">
        <f>IFERROR(__xludf.DUMMYFUNCTION("""COMPUTED_VALUE"""),0.0)</f>
        <v>0</v>
      </c>
      <c r="E22" s="6">
        <f>IFERROR(__xludf.DUMMYFUNCTION("""COMPUTED_VALUE"""),1.0)</f>
        <v>1</v>
      </c>
      <c r="F22" s="6">
        <f>IFERROR(__xludf.DUMMYFUNCTION("""COMPUTED_VALUE"""),22.0)</f>
        <v>22</v>
      </c>
      <c r="G22" s="6">
        <f>IFERROR(__xludf.DUMMYFUNCTION("""COMPUTED_VALUE"""),23.0)</f>
        <v>23</v>
      </c>
    </row>
    <row r="23">
      <c r="A23" s="6">
        <f>IFERROR(__xludf.DUMMYFUNCTION("""COMPUTED_VALUE"""),2011.0)</f>
        <v>2011</v>
      </c>
      <c r="B23" s="6" t="str">
        <f>IFERROR(__xludf.DUMMYFUNCTION("""COMPUTED_VALUE"""),"Outubro")</f>
        <v>Outubro</v>
      </c>
      <c r="C23" s="6" t="str">
        <f>IFERROR(__xludf.DUMMYFUNCTION("""COMPUTED_VALUE"""),"AMEAÇA")</f>
        <v>AMEAÇA</v>
      </c>
      <c r="D23" s="6">
        <f>IFERROR(__xludf.DUMMYFUNCTION("""COMPUTED_VALUE"""),1093.0)</f>
        <v>1093</v>
      </c>
      <c r="E23" s="6">
        <f>IFERROR(__xludf.DUMMYFUNCTION("""COMPUTED_VALUE"""),997.0)</f>
        <v>997</v>
      </c>
      <c r="F23" s="6">
        <f>IFERROR(__xludf.DUMMYFUNCTION("""COMPUTED_VALUE"""),3443.0)</f>
        <v>3443</v>
      </c>
      <c r="G23" s="6">
        <f>IFERROR(__xludf.DUMMYFUNCTION("""COMPUTED_VALUE"""),5533.0)</f>
        <v>5533</v>
      </c>
    </row>
    <row r="24">
      <c r="A24" s="6">
        <f>IFERROR(__xludf.DUMMYFUNCTION("""COMPUTED_VALUE"""),2011.0)</f>
        <v>2011</v>
      </c>
      <c r="B24" s="6" t="str">
        <f>IFERROR(__xludf.DUMMYFUNCTION("""COMPUTED_VALUE"""),"Outubro")</f>
        <v>Outubro</v>
      </c>
      <c r="C24" s="6" t="str">
        <f>IFERROR(__xludf.DUMMYFUNCTION("""COMPUTED_VALUE"""),"INVASÃO DE DOMICÍLIO")</f>
        <v>INVASÃO DE DOMICÍLIO</v>
      </c>
      <c r="D24" s="6">
        <f>IFERROR(__xludf.DUMMYFUNCTION("""COMPUTED_VALUE"""),1.0)</f>
        <v>1</v>
      </c>
      <c r="E24" s="6">
        <f>IFERROR(__xludf.DUMMYFUNCTION("""COMPUTED_VALUE"""),5.0)</f>
        <v>5</v>
      </c>
      <c r="F24" s="6">
        <f>IFERROR(__xludf.DUMMYFUNCTION("""COMPUTED_VALUE"""),22.0)</f>
        <v>22</v>
      </c>
      <c r="G24" s="6">
        <f>IFERROR(__xludf.DUMMYFUNCTION("""COMPUTED_VALUE"""),28.0)</f>
        <v>28</v>
      </c>
    </row>
    <row r="25">
      <c r="A25" s="6">
        <f>IFERROR(__xludf.DUMMYFUNCTION("""COMPUTED_VALUE"""),2011.0)</f>
        <v>2011</v>
      </c>
      <c r="B25" s="6" t="str">
        <f>IFERROR(__xludf.DUMMYFUNCTION("""COMPUTED_VALUE"""),"Outubro")</f>
        <v>Outubro</v>
      </c>
      <c r="C25" s="6" t="str">
        <f>IFERROR(__xludf.DUMMYFUNCTION("""COMPUTED_VALUE"""),"DANO")</f>
        <v>DANO</v>
      </c>
      <c r="D25" s="6">
        <f>IFERROR(__xludf.DUMMYFUNCTION("""COMPUTED_VALUE"""),13.0)</f>
        <v>13</v>
      </c>
      <c r="E25" s="6">
        <f>IFERROR(__xludf.DUMMYFUNCTION("""COMPUTED_VALUE"""),19.0)</f>
        <v>19</v>
      </c>
      <c r="F25" s="6">
        <f>IFERROR(__xludf.DUMMYFUNCTION("""COMPUTED_VALUE"""),76.0)</f>
        <v>76</v>
      </c>
      <c r="G25" s="6">
        <f>IFERROR(__xludf.DUMMYFUNCTION("""COMPUTED_VALUE"""),108.0)</f>
        <v>108</v>
      </c>
    </row>
    <row r="26">
      <c r="A26" s="6">
        <f>IFERROR(__xludf.DUMMYFUNCTION("""COMPUTED_VALUE"""),2011.0)</f>
        <v>2011</v>
      </c>
      <c r="B26" s="6" t="str">
        <f>IFERROR(__xludf.DUMMYFUNCTION("""COMPUTED_VALUE"""),"Outubro")</f>
        <v>Outubro</v>
      </c>
      <c r="C26" s="6" t="str">
        <f>IFERROR(__xludf.DUMMYFUNCTION("""COMPUTED_VALUE"""),"ESTUPRO CONSUMADO")</f>
        <v>ESTUPRO CONSUMADO</v>
      </c>
      <c r="D26" s="6">
        <f>IFERROR(__xludf.DUMMYFUNCTION("""COMPUTED_VALUE"""),8.0)</f>
        <v>8</v>
      </c>
      <c r="E26" s="6">
        <f>IFERROR(__xludf.DUMMYFUNCTION("""COMPUTED_VALUE"""),12.0)</f>
        <v>12</v>
      </c>
      <c r="F26" s="6">
        <f>IFERROR(__xludf.DUMMYFUNCTION("""COMPUTED_VALUE"""),23.0)</f>
        <v>23</v>
      </c>
      <c r="G26" s="6">
        <f>IFERROR(__xludf.DUMMYFUNCTION("""COMPUTED_VALUE"""),43.0)</f>
        <v>43</v>
      </c>
    </row>
    <row r="27">
      <c r="A27" s="6">
        <f>IFERROR(__xludf.DUMMYFUNCTION("""COMPUTED_VALUE"""),2011.0)</f>
        <v>2011</v>
      </c>
      <c r="B27" s="6" t="str">
        <f>IFERROR(__xludf.DUMMYFUNCTION("""COMPUTED_VALUE"""),"Outubro")</f>
        <v>Outubro</v>
      </c>
      <c r="C27" s="6" t="str">
        <f>IFERROR(__xludf.DUMMYFUNCTION("""COMPUTED_VALUE"""),"ESTUPRO TENTADO")</f>
        <v>ESTUPRO TENTADO</v>
      </c>
      <c r="D27" s="6">
        <f>IFERROR(__xludf.DUMMYFUNCTION("""COMPUTED_VALUE"""),1.0)</f>
        <v>1</v>
      </c>
      <c r="E27" s="6">
        <f>IFERROR(__xludf.DUMMYFUNCTION("""COMPUTED_VALUE"""),1.0)</f>
        <v>1</v>
      </c>
      <c r="F27" s="6">
        <f>IFERROR(__xludf.DUMMYFUNCTION("""COMPUTED_VALUE"""),2.0)</f>
        <v>2</v>
      </c>
      <c r="G27" s="6">
        <f>IFERROR(__xludf.DUMMYFUNCTION("""COMPUTED_VALUE"""),4.0)</f>
        <v>4</v>
      </c>
    </row>
    <row r="28">
      <c r="A28" s="6">
        <f>IFERROR(__xludf.DUMMYFUNCTION("""COMPUTED_VALUE"""),2011.0)</f>
        <v>2011</v>
      </c>
      <c r="B28" s="6" t="str">
        <f>IFERROR(__xludf.DUMMYFUNCTION("""COMPUTED_VALUE"""),"Outubro")</f>
        <v>Outubro</v>
      </c>
      <c r="C28" s="6" t="str">
        <f>IFERROR(__xludf.DUMMYFUNCTION("""COMPUTED_VALUE"""),"ESTUPRO DE VULNERÁVEL CONSUMADO")</f>
        <v>ESTUPRO DE VULNERÁVEL CONSUMADO</v>
      </c>
      <c r="D28" s="6">
        <f>IFERROR(__xludf.DUMMYFUNCTION("""COMPUTED_VALUE"""),8.0)</f>
        <v>8</v>
      </c>
      <c r="E28" s="6">
        <f>IFERROR(__xludf.DUMMYFUNCTION("""COMPUTED_VALUE"""),9.0)</f>
        <v>9</v>
      </c>
      <c r="F28" s="6">
        <f>IFERROR(__xludf.DUMMYFUNCTION("""COMPUTED_VALUE"""),22.0)</f>
        <v>22</v>
      </c>
      <c r="G28" s="6">
        <f>IFERROR(__xludf.DUMMYFUNCTION("""COMPUTED_VALUE"""),39.0)</f>
        <v>39</v>
      </c>
    </row>
    <row r="29">
      <c r="A29" s="6">
        <f>IFERROR(__xludf.DUMMYFUNCTION("""COMPUTED_VALUE"""),2011.0)</f>
        <v>2011</v>
      </c>
      <c r="B29" s="6" t="str">
        <f>IFERROR(__xludf.DUMMYFUNCTION("""COMPUTED_VALUE"""),"Outubro")</f>
        <v>Outubro</v>
      </c>
      <c r="C29" s="6" t="str">
        <f>IFERROR(__xludf.DUMMYFUNCTION("""COMPUTED_VALUE"""),"OUTROS C/C/ DIGNIDADE SEXUAL")</f>
        <v>OUTROS C/C/ DIGNIDADE SEXUAL</v>
      </c>
      <c r="D29" s="6">
        <f>IFERROR(__xludf.DUMMYFUNCTION("""COMPUTED_VALUE"""),1.0)</f>
        <v>1</v>
      </c>
      <c r="E29" s="6">
        <f>IFERROR(__xludf.DUMMYFUNCTION("""COMPUTED_VALUE"""),0.0)</f>
        <v>0</v>
      </c>
      <c r="F29" s="6">
        <f>IFERROR(__xludf.DUMMYFUNCTION("""COMPUTED_VALUE"""),6.0)</f>
        <v>6</v>
      </c>
      <c r="G29" s="6">
        <f>IFERROR(__xludf.DUMMYFUNCTION("""COMPUTED_VALUE"""),7.0)</f>
        <v>7</v>
      </c>
    </row>
    <row r="30">
      <c r="A30" s="6">
        <f>IFERROR(__xludf.DUMMYFUNCTION("""COMPUTED_VALUE"""),2011.0)</f>
        <v>2011</v>
      </c>
      <c r="B30" s="6" t="str">
        <f>IFERROR(__xludf.DUMMYFUNCTION("""COMPUTED_VALUE"""),"Novembro")</f>
        <v>Novembro</v>
      </c>
      <c r="C30" s="6" t="str">
        <f>IFERROR(__xludf.DUMMYFUNCTION("""COMPUTED_VALUE"""),"HOMICÍDIO DOLOSO (exclui FEMINICÍDIO)")</f>
        <v>HOMICÍDIO DOLOSO (exclui FEMINICÍDIO)</v>
      </c>
      <c r="D30" s="6">
        <f>IFERROR(__xludf.DUMMYFUNCTION("""COMPUTED_VALUE"""),2.0)</f>
        <v>2</v>
      </c>
      <c r="E30" s="6">
        <f>IFERROR(__xludf.DUMMYFUNCTION("""COMPUTED_VALUE"""),0.0)</f>
        <v>0</v>
      </c>
      <c r="F30" s="6">
        <f>IFERROR(__xludf.DUMMYFUNCTION("""COMPUTED_VALUE"""),6.0)</f>
        <v>6</v>
      </c>
      <c r="G30" s="6">
        <f>IFERROR(__xludf.DUMMYFUNCTION("""COMPUTED_VALUE"""),8.0)</f>
        <v>8</v>
      </c>
    </row>
    <row r="31">
      <c r="A31" s="6">
        <f>IFERROR(__xludf.DUMMYFUNCTION("""COMPUTED_VALUE"""),2011.0)</f>
        <v>2011</v>
      </c>
      <c r="B31" s="6" t="str">
        <f>IFERROR(__xludf.DUMMYFUNCTION("""COMPUTED_VALUE"""),"Novembro")</f>
        <v>Novembro</v>
      </c>
      <c r="C31" s="6" t="str">
        <f>IFERROR(__xludf.DUMMYFUNCTION("""COMPUTED_VALUE"""),"HOMICÍDIO CULPOSO")</f>
        <v>HOMICÍDIO CULPOSO</v>
      </c>
      <c r="D31" s="6">
        <f>IFERROR(__xludf.DUMMYFUNCTION("""COMPUTED_VALUE"""),0.0)</f>
        <v>0</v>
      </c>
      <c r="E31" s="6">
        <f>IFERROR(__xludf.DUMMYFUNCTION("""COMPUTED_VALUE"""),0.0)</f>
        <v>0</v>
      </c>
      <c r="F31" s="6">
        <f>IFERROR(__xludf.DUMMYFUNCTION("""COMPUTED_VALUE"""),0.0)</f>
        <v>0</v>
      </c>
      <c r="G31" s="6">
        <f>IFERROR(__xludf.DUMMYFUNCTION("""COMPUTED_VALUE"""),0.0)</f>
        <v>0</v>
      </c>
    </row>
    <row r="32">
      <c r="A32" s="6">
        <f>IFERROR(__xludf.DUMMYFUNCTION("""COMPUTED_VALUE"""),2011.0)</f>
        <v>2011</v>
      </c>
      <c r="B32" s="6" t="str">
        <f>IFERROR(__xludf.DUMMYFUNCTION("""COMPUTED_VALUE"""),"Novembro")</f>
        <v>Novembro</v>
      </c>
      <c r="C32" s="6" t="str">
        <f>IFERROR(__xludf.DUMMYFUNCTION("""COMPUTED_VALUE"""),"TENTATIVA DE HOMICÍDIO")</f>
        <v>TENTATIVA DE HOMICÍDIO</v>
      </c>
      <c r="D32" s="6">
        <f>IFERROR(__xludf.DUMMYFUNCTION("""COMPUTED_VALUE"""),4.0)</f>
        <v>4</v>
      </c>
      <c r="E32" s="6">
        <f>IFERROR(__xludf.DUMMYFUNCTION("""COMPUTED_VALUE"""),5.0)</f>
        <v>5</v>
      </c>
      <c r="F32" s="6">
        <f>IFERROR(__xludf.DUMMYFUNCTION("""COMPUTED_VALUE"""),14.0)</f>
        <v>14</v>
      </c>
      <c r="G32" s="6">
        <f>IFERROR(__xludf.DUMMYFUNCTION("""COMPUTED_VALUE"""),23.0)</f>
        <v>23</v>
      </c>
    </row>
    <row r="33">
      <c r="A33" s="6">
        <f>IFERROR(__xludf.DUMMYFUNCTION("""COMPUTED_VALUE"""),2011.0)</f>
        <v>2011</v>
      </c>
      <c r="B33" s="6" t="str">
        <f>IFERROR(__xludf.DUMMYFUNCTION("""COMPUTED_VALUE"""),"Novembro")</f>
        <v>Novembro</v>
      </c>
      <c r="C33" s="6" t="str">
        <f>IFERROR(__xludf.DUMMYFUNCTION("""COMPUTED_VALUE"""),"LESÃO CORPORAL DOLOSA")</f>
        <v>LESÃO CORPORAL DOLOSA</v>
      </c>
      <c r="D33" s="6">
        <f>IFERROR(__xludf.DUMMYFUNCTION("""COMPUTED_VALUE"""),1236.0)</f>
        <v>1236</v>
      </c>
      <c r="E33" s="6">
        <f>IFERROR(__xludf.DUMMYFUNCTION("""COMPUTED_VALUE"""),1092.0)</f>
        <v>1092</v>
      </c>
      <c r="F33" s="6">
        <f>IFERROR(__xludf.DUMMYFUNCTION("""COMPUTED_VALUE"""),3656.0)</f>
        <v>3656</v>
      </c>
      <c r="G33" s="6">
        <f>IFERROR(__xludf.DUMMYFUNCTION("""COMPUTED_VALUE"""),5984.0)</f>
        <v>5984</v>
      </c>
    </row>
    <row r="34">
      <c r="A34" s="6">
        <f>IFERROR(__xludf.DUMMYFUNCTION("""COMPUTED_VALUE"""),2011.0)</f>
        <v>2011</v>
      </c>
      <c r="B34" s="6" t="str">
        <f>IFERROR(__xludf.DUMMYFUNCTION("""COMPUTED_VALUE"""),"Novembro")</f>
        <v>Novembro</v>
      </c>
      <c r="C34" s="6" t="str">
        <f>IFERROR(__xludf.DUMMYFUNCTION("""COMPUTED_VALUE"""),"MAUS TRATOS")</f>
        <v>MAUS TRATOS</v>
      </c>
      <c r="D34" s="6">
        <f>IFERROR(__xludf.DUMMYFUNCTION("""COMPUTED_VALUE"""),11.0)</f>
        <v>11</v>
      </c>
      <c r="E34" s="6">
        <f>IFERROR(__xludf.DUMMYFUNCTION("""COMPUTED_VALUE"""),8.0)</f>
        <v>8</v>
      </c>
      <c r="F34" s="6">
        <f>IFERROR(__xludf.DUMMYFUNCTION("""COMPUTED_VALUE"""),49.0)</f>
        <v>49</v>
      </c>
      <c r="G34" s="6">
        <f>IFERROR(__xludf.DUMMYFUNCTION("""COMPUTED_VALUE"""),68.0)</f>
        <v>68</v>
      </c>
    </row>
    <row r="35">
      <c r="A35" s="6">
        <f>IFERROR(__xludf.DUMMYFUNCTION("""COMPUTED_VALUE"""),2011.0)</f>
        <v>2011</v>
      </c>
      <c r="B35" s="6" t="str">
        <f>IFERROR(__xludf.DUMMYFUNCTION("""COMPUTED_VALUE"""),"Novembro")</f>
        <v>Novembro</v>
      </c>
      <c r="C35" s="6" t="str">
        <f>IFERROR(__xludf.DUMMYFUNCTION("""COMPUTED_VALUE"""),"CALÚNIA - DIFAMAÇÃO - INJÚRIA")</f>
        <v>CALÚNIA - DIFAMAÇÃO - INJÚRIA</v>
      </c>
      <c r="D35" s="6">
        <f>IFERROR(__xludf.DUMMYFUNCTION("""COMPUTED_VALUE"""),262.0)</f>
        <v>262</v>
      </c>
      <c r="E35" s="6">
        <f>IFERROR(__xludf.DUMMYFUNCTION("""COMPUTED_VALUE"""),145.0)</f>
        <v>145</v>
      </c>
      <c r="F35" s="6">
        <f>IFERROR(__xludf.DUMMYFUNCTION("""COMPUTED_VALUE"""),918.0)</f>
        <v>918</v>
      </c>
      <c r="G35" s="6">
        <f>IFERROR(__xludf.DUMMYFUNCTION("""COMPUTED_VALUE"""),1325.0)</f>
        <v>1325</v>
      </c>
    </row>
    <row r="36">
      <c r="A36" s="6">
        <f>IFERROR(__xludf.DUMMYFUNCTION("""COMPUTED_VALUE"""),2011.0)</f>
        <v>2011</v>
      </c>
      <c r="B36" s="6" t="str">
        <f>IFERROR(__xludf.DUMMYFUNCTION("""COMPUTED_VALUE"""),"Novembro")</f>
        <v>Novembro</v>
      </c>
      <c r="C36" s="6" t="str">
        <f>IFERROR(__xludf.DUMMYFUNCTION("""COMPUTED_VALUE"""),"CONSTRANGIMENTO ILEGAL")</f>
        <v>CONSTRANGIMENTO ILEGAL</v>
      </c>
      <c r="D36" s="6">
        <f>IFERROR(__xludf.DUMMYFUNCTION("""COMPUTED_VALUE"""),5.0)</f>
        <v>5</v>
      </c>
      <c r="E36" s="6">
        <f>IFERROR(__xludf.DUMMYFUNCTION("""COMPUTED_VALUE"""),0.0)</f>
        <v>0</v>
      </c>
      <c r="F36" s="6">
        <f>IFERROR(__xludf.DUMMYFUNCTION("""COMPUTED_VALUE"""),9.0)</f>
        <v>9</v>
      </c>
      <c r="G36" s="6">
        <f>IFERROR(__xludf.DUMMYFUNCTION("""COMPUTED_VALUE"""),14.0)</f>
        <v>14</v>
      </c>
    </row>
    <row r="37">
      <c r="A37" s="6">
        <f>IFERROR(__xludf.DUMMYFUNCTION("""COMPUTED_VALUE"""),2011.0)</f>
        <v>2011</v>
      </c>
      <c r="B37" s="6" t="str">
        <f>IFERROR(__xludf.DUMMYFUNCTION("""COMPUTED_VALUE"""),"Novembro")</f>
        <v>Novembro</v>
      </c>
      <c r="C37" s="6" t="str">
        <f>IFERROR(__xludf.DUMMYFUNCTION("""COMPUTED_VALUE"""),"AMEAÇA")</f>
        <v>AMEAÇA</v>
      </c>
      <c r="D37" s="6">
        <f>IFERROR(__xludf.DUMMYFUNCTION("""COMPUTED_VALUE"""),1077.0)</f>
        <v>1077</v>
      </c>
      <c r="E37" s="6">
        <f>IFERROR(__xludf.DUMMYFUNCTION("""COMPUTED_VALUE"""),865.0)</f>
        <v>865</v>
      </c>
      <c r="F37" s="6">
        <f>IFERROR(__xludf.DUMMYFUNCTION("""COMPUTED_VALUE"""),3591.0)</f>
        <v>3591</v>
      </c>
      <c r="G37" s="6">
        <f>IFERROR(__xludf.DUMMYFUNCTION("""COMPUTED_VALUE"""),5533.0)</f>
        <v>5533</v>
      </c>
    </row>
    <row r="38">
      <c r="A38" s="6">
        <f>IFERROR(__xludf.DUMMYFUNCTION("""COMPUTED_VALUE"""),2011.0)</f>
        <v>2011</v>
      </c>
      <c r="B38" s="6" t="str">
        <f>IFERROR(__xludf.DUMMYFUNCTION("""COMPUTED_VALUE"""),"Novembro")</f>
        <v>Novembro</v>
      </c>
      <c r="C38" s="6" t="str">
        <f>IFERROR(__xludf.DUMMYFUNCTION("""COMPUTED_VALUE"""),"INVASÃO DE DOMICÍLIO")</f>
        <v>INVASÃO DE DOMICÍLIO</v>
      </c>
      <c r="D38" s="6">
        <f>IFERROR(__xludf.DUMMYFUNCTION("""COMPUTED_VALUE"""),0.0)</f>
        <v>0</v>
      </c>
      <c r="E38" s="6">
        <f>IFERROR(__xludf.DUMMYFUNCTION("""COMPUTED_VALUE"""),4.0)</f>
        <v>4</v>
      </c>
      <c r="F38" s="6">
        <f>IFERROR(__xludf.DUMMYFUNCTION("""COMPUTED_VALUE"""),24.0)</f>
        <v>24</v>
      </c>
      <c r="G38" s="6">
        <f>IFERROR(__xludf.DUMMYFUNCTION("""COMPUTED_VALUE"""),28.0)</f>
        <v>28</v>
      </c>
    </row>
    <row r="39">
      <c r="A39" s="6">
        <f>IFERROR(__xludf.DUMMYFUNCTION("""COMPUTED_VALUE"""),2011.0)</f>
        <v>2011</v>
      </c>
      <c r="B39" s="6" t="str">
        <f>IFERROR(__xludf.DUMMYFUNCTION("""COMPUTED_VALUE"""),"Novembro")</f>
        <v>Novembro</v>
      </c>
      <c r="C39" s="6" t="str">
        <f>IFERROR(__xludf.DUMMYFUNCTION("""COMPUTED_VALUE"""),"DANO")</f>
        <v>DANO</v>
      </c>
      <c r="D39" s="6">
        <f>IFERROR(__xludf.DUMMYFUNCTION("""COMPUTED_VALUE"""),7.0)</f>
        <v>7</v>
      </c>
      <c r="E39" s="6">
        <f>IFERROR(__xludf.DUMMYFUNCTION("""COMPUTED_VALUE"""),12.0)</f>
        <v>12</v>
      </c>
      <c r="F39" s="6">
        <f>IFERROR(__xludf.DUMMYFUNCTION("""COMPUTED_VALUE"""),59.0)</f>
        <v>59</v>
      </c>
      <c r="G39" s="6">
        <f>IFERROR(__xludf.DUMMYFUNCTION("""COMPUTED_VALUE"""),78.0)</f>
        <v>78</v>
      </c>
    </row>
    <row r="40">
      <c r="A40" s="6">
        <f>IFERROR(__xludf.DUMMYFUNCTION("""COMPUTED_VALUE"""),2011.0)</f>
        <v>2011</v>
      </c>
      <c r="B40" s="6" t="str">
        <f>IFERROR(__xludf.DUMMYFUNCTION("""COMPUTED_VALUE"""),"Novembro")</f>
        <v>Novembro</v>
      </c>
      <c r="C40" s="6" t="str">
        <f>IFERROR(__xludf.DUMMYFUNCTION("""COMPUTED_VALUE"""),"ESTUPRO CONSUMADO")</f>
        <v>ESTUPRO CONSUMADO</v>
      </c>
      <c r="D40" s="6">
        <f>IFERROR(__xludf.DUMMYFUNCTION("""COMPUTED_VALUE"""),17.0)</f>
        <v>17</v>
      </c>
      <c r="E40" s="6">
        <f>IFERROR(__xludf.DUMMYFUNCTION("""COMPUTED_VALUE"""),8.0)</f>
        <v>8</v>
      </c>
      <c r="F40" s="6">
        <f>IFERROR(__xludf.DUMMYFUNCTION("""COMPUTED_VALUE"""),14.0)</f>
        <v>14</v>
      </c>
      <c r="G40" s="6">
        <f>IFERROR(__xludf.DUMMYFUNCTION("""COMPUTED_VALUE"""),39.0)</f>
        <v>39</v>
      </c>
    </row>
    <row r="41">
      <c r="A41" s="6">
        <f>IFERROR(__xludf.DUMMYFUNCTION("""COMPUTED_VALUE"""),2011.0)</f>
        <v>2011</v>
      </c>
      <c r="B41" s="6" t="str">
        <f>IFERROR(__xludf.DUMMYFUNCTION("""COMPUTED_VALUE"""),"Novembro")</f>
        <v>Novembro</v>
      </c>
      <c r="C41" s="6" t="str">
        <f>IFERROR(__xludf.DUMMYFUNCTION("""COMPUTED_VALUE"""),"ESTUPRO TENTADO")</f>
        <v>ESTUPRO TENTADO</v>
      </c>
      <c r="D41" s="6">
        <f>IFERROR(__xludf.DUMMYFUNCTION("""COMPUTED_VALUE"""),0.0)</f>
        <v>0</v>
      </c>
      <c r="E41" s="6">
        <f>IFERROR(__xludf.DUMMYFUNCTION("""COMPUTED_VALUE"""),0.0)</f>
        <v>0</v>
      </c>
      <c r="F41" s="6">
        <f>IFERROR(__xludf.DUMMYFUNCTION("""COMPUTED_VALUE"""),0.0)</f>
        <v>0</v>
      </c>
      <c r="G41" s="6">
        <f>IFERROR(__xludf.DUMMYFUNCTION("""COMPUTED_VALUE"""),0.0)</f>
        <v>0</v>
      </c>
    </row>
    <row r="42">
      <c r="A42" s="6">
        <f>IFERROR(__xludf.DUMMYFUNCTION("""COMPUTED_VALUE"""),2011.0)</f>
        <v>2011</v>
      </c>
      <c r="B42" s="6" t="str">
        <f>IFERROR(__xludf.DUMMYFUNCTION("""COMPUTED_VALUE"""),"Novembro")</f>
        <v>Novembro</v>
      </c>
      <c r="C42" s="6" t="str">
        <f>IFERROR(__xludf.DUMMYFUNCTION("""COMPUTED_VALUE"""),"ESTUPRO DE VULNERÁVEL CONSUMADO")</f>
        <v>ESTUPRO DE VULNERÁVEL CONSUMADO</v>
      </c>
      <c r="D42" s="6">
        <f>IFERROR(__xludf.DUMMYFUNCTION("""COMPUTED_VALUE"""),2.0)</f>
        <v>2</v>
      </c>
      <c r="E42" s="6">
        <f>IFERROR(__xludf.DUMMYFUNCTION("""COMPUTED_VALUE"""),3.0)</f>
        <v>3</v>
      </c>
      <c r="F42" s="6">
        <f>IFERROR(__xludf.DUMMYFUNCTION("""COMPUTED_VALUE"""),20.0)</f>
        <v>20</v>
      </c>
      <c r="G42" s="6">
        <f>IFERROR(__xludf.DUMMYFUNCTION("""COMPUTED_VALUE"""),25.0)</f>
        <v>25</v>
      </c>
    </row>
    <row r="43">
      <c r="A43" s="6">
        <f>IFERROR(__xludf.DUMMYFUNCTION("""COMPUTED_VALUE"""),2011.0)</f>
        <v>2011</v>
      </c>
      <c r="B43" s="6" t="str">
        <f>IFERROR(__xludf.DUMMYFUNCTION("""COMPUTED_VALUE"""),"Novembro")</f>
        <v>Novembro</v>
      </c>
      <c r="C43" s="6" t="str">
        <f>IFERROR(__xludf.DUMMYFUNCTION("""COMPUTED_VALUE"""),"OUTROS C/C/ DIGNIDADE SEXUAL")</f>
        <v>OUTROS C/C/ DIGNIDADE SEXUAL</v>
      </c>
      <c r="D43" s="6">
        <f>IFERROR(__xludf.DUMMYFUNCTION("""COMPUTED_VALUE"""),3.0)</f>
        <v>3</v>
      </c>
      <c r="E43" s="6">
        <f>IFERROR(__xludf.DUMMYFUNCTION("""COMPUTED_VALUE"""),0.0)</f>
        <v>0</v>
      </c>
      <c r="F43" s="6">
        <f>IFERROR(__xludf.DUMMYFUNCTION("""COMPUTED_VALUE"""),4.0)</f>
        <v>4</v>
      </c>
      <c r="G43" s="6">
        <f>IFERROR(__xludf.DUMMYFUNCTION("""COMPUTED_VALUE"""),7.0)</f>
        <v>7</v>
      </c>
    </row>
    <row r="44">
      <c r="A44" s="6">
        <f>IFERROR(__xludf.DUMMYFUNCTION("""COMPUTED_VALUE"""),2011.0)</f>
        <v>2011</v>
      </c>
      <c r="B44" s="6" t="str">
        <f>IFERROR(__xludf.DUMMYFUNCTION("""COMPUTED_VALUE"""),"Dezembro")</f>
        <v>Dezembro</v>
      </c>
      <c r="C44" s="6" t="str">
        <f>IFERROR(__xludf.DUMMYFUNCTION("""COMPUTED_VALUE"""),"HOMICÍDIO DOLOSO (exclui FEMINICÍDIO)")</f>
        <v>HOMICÍDIO DOLOSO (exclui FEMINICÍDIO)</v>
      </c>
      <c r="D44" s="6">
        <f>IFERROR(__xludf.DUMMYFUNCTION("""COMPUTED_VALUE"""),2.0)</f>
        <v>2</v>
      </c>
      <c r="E44" s="6">
        <f>IFERROR(__xludf.DUMMYFUNCTION("""COMPUTED_VALUE"""),3.0)</f>
        <v>3</v>
      </c>
      <c r="F44" s="6">
        <f>IFERROR(__xludf.DUMMYFUNCTION("""COMPUTED_VALUE"""),13.0)</f>
        <v>13</v>
      </c>
      <c r="G44" s="6">
        <f>IFERROR(__xludf.DUMMYFUNCTION("""COMPUTED_VALUE"""),18.0)</f>
        <v>18</v>
      </c>
    </row>
    <row r="45">
      <c r="A45" s="6">
        <f>IFERROR(__xludf.DUMMYFUNCTION("""COMPUTED_VALUE"""),2011.0)</f>
        <v>2011</v>
      </c>
      <c r="B45" s="6" t="str">
        <f>IFERROR(__xludf.DUMMYFUNCTION("""COMPUTED_VALUE"""),"Dezembro")</f>
        <v>Dezembro</v>
      </c>
      <c r="C45" s="6" t="str">
        <f>IFERROR(__xludf.DUMMYFUNCTION("""COMPUTED_VALUE"""),"HOMICÍDIO CULPOSO")</f>
        <v>HOMICÍDIO CULPOSO</v>
      </c>
      <c r="D45" s="6">
        <f>IFERROR(__xludf.DUMMYFUNCTION("""COMPUTED_VALUE"""),0.0)</f>
        <v>0</v>
      </c>
      <c r="E45" s="6">
        <f>IFERROR(__xludf.DUMMYFUNCTION("""COMPUTED_VALUE"""),0.0)</f>
        <v>0</v>
      </c>
      <c r="F45" s="6">
        <f>IFERROR(__xludf.DUMMYFUNCTION("""COMPUTED_VALUE"""),0.0)</f>
        <v>0</v>
      </c>
      <c r="G45" s="6">
        <f>IFERROR(__xludf.DUMMYFUNCTION("""COMPUTED_VALUE"""),0.0)</f>
        <v>0</v>
      </c>
    </row>
    <row r="46">
      <c r="A46" s="6">
        <f>IFERROR(__xludf.DUMMYFUNCTION("""COMPUTED_VALUE"""),2011.0)</f>
        <v>2011</v>
      </c>
      <c r="B46" s="6" t="str">
        <f>IFERROR(__xludf.DUMMYFUNCTION("""COMPUTED_VALUE"""),"Dezembro")</f>
        <v>Dezembro</v>
      </c>
      <c r="C46" s="6" t="str">
        <f>IFERROR(__xludf.DUMMYFUNCTION("""COMPUTED_VALUE"""),"TENTATIVA DE HOMICÍDIO")</f>
        <v>TENTATIVA DE HOMICÍDIO</v>
      </c>
      <c r="D46" s="6">
        <f>IFERROR(__xludf.DUMMYFUNCTION("""COMPUTED_VALUE"""),0.0)</f>
        <v>0</v>
      </c>
      <c r="E46" s="6">
        <f>IFERROR(__xludf.DUMMYFUNCTION("""COMPUTED_VALUE"""),1.0)</f>
        <v>1</v>
      </c>
      <c r="F46" s="6">
        <f>IFERROR(__xludf.DUMMYFUNCTION("""COMPUTED_VALUE"""),15.0)</f>
        <v>15</v>
      </c>
      <c r="G46" s="6">
        <f>IFERROR(__xludf.DUMMYFUNCTION("""COMPUTED_VALUE"""),16.0)</f>
        <v>16</v>
      </c>
    </row>
    <row r="47">
      <c r="A47" s="6">
        <f>IFERROR(__xludf.DUMMYFUNCTION("""COMPUTED_VALUE"""),2011.0)</f>
        <v>2011</v>
      </c>
      <c r="B47" s="6" t="str">
        <f>IFERROR(__xludf.DUMMYFUNCTION("""COMPUTED_VALUE"""),"Dezembro")</f>
        <v>Dezembro</v>
      </c>
      <c r="C47" s="6" t="str">
        <f>IFERROR(__xludf.DUMMYFUNCTION("""COMPUTED_VALUE"""),"LESÃO CORPORAL DOLOSA")</f>
        <v>LESÃO CORPORAL DOLOSA</v>
      </c>
      <c r="D47" s="6">
        <f>IFERROR(__xludf.DUMMYFUNCTION("""COMPUTED_VALUE"""),1412.0)</f>
        <v>1412</v>
      </c>
      <c r="E47" s="6">
        <f>IFERROR(__xludf.DUMMYFUNCTION("""COMPUTED_VALUE"""),1245.0)</f>
        <v>1245</v>
      </c>
      <c r="F47" s="6">
        <f>IFERROR(__xludf.DUMMYFUNCTION("""COMPUTED_VALUE"""),6420.0)</f>
        <v>6420</v>
      </c>
      <c r="G47" s="6">
        <f>IFERROR(__xludf.DUMMYFUNCTION("""COMPUTED_VALUE"""),9077.0)</f>
        <v>9077</v>
      </c>
    </row>
    <row r="48">
      <c r="A48" s="6">
        <f>IFERROR(__xludf.DUMMYFUNCTION("""COMPUTED_VALUE"""),2011.0)</f>
        <v>2011</v>
      </c>
      <c r="B48" s="6" t="str">
        <f>IFERROR(__xludf.DUMMYFUNCTION("""COMPUTED_VALUE"""),"Dezembro")</f>
        <v>Dezembro</v>
      </c>
      <c r="C48" s="6" t="str">
        <f>IFERROR(__xludf.DUMMYFUNCTION("""COMPUTED_VALUE"""),"MAUS TRATOS")</f>
        <v>MAUS TRATOS</v>
      </c>
      <c r="D48" s="6">
        <f>IFERROR(__xludf.DUMMYFUNCTION("""COMPUTED_VALUE"""),7.0)</f>
        <v>7</v>
      </c>
      <c r="E48" s="6">
        <f>IFERROR(__xludf.DUMMYFUNCTION("""COMPUTED_VALUE"""),8.0)</f>
        <v>8</v>
      </c>
      <c r="F48" s="6">
        <f>IFERROR(__xludf.DUMMYFUNCTION("""COMPUTED_VALUE"""),28.0)</f>
        <v>28</v>
      </c>
      <c r="G48" s="6">
        <f>IFERROR(__xludf.DUMMYFUNCTION("""COMPUTED_VALUE"""),43.0)</f>
        <v>43</v>
      </c>
    </row>
    <row r="49">
      <c r="A49" s="6">
        <f>IFERROR(__xludf.DUMMYFUNCTION("""COMPUTED_VALUE"""),2011.0)</f>
        <v>2011</v>
      </c>
      <c r="B49" s="6" t="str">
        <f>IFERROR(__xludf.DUMMYFUNCTION("""COMPUTED_VALUE"""),"Dezembro")</f>
        <v>Dezembro</v>
      </c>
      <c r="C49" s="6" t="str">
        <f>IFERROR(__xludf.DUMMYFUNCTION("""COMPUTED_VALUE"""),"CALÚNIA - DIFAMAÇÃO - INJÚRIA")</f>
        <v>CALÚNIA - DIFAMAÇÃO - INJÚRIA</v>
      </c>
      <c r="D49" s="6">
        <f>IFERROR(__xludf.DUMMYFUNCTION("""COMPUTED_VALUE"""),279.0)</f>
        <v>279</v>
      </c>
      <c r="E49" s="6">
        <f>IFERROR(__xludf.DUMMYFUNCTION("""COMPUTED_VALUE"""),197.0)</f>
        <v>197</v>
      </c>
      <c r="F49" s="6">
        <f>IFERROR(__xludf.DUMMYFUNCTION("""COMPUTED_VALUE"""),1277.0)</f>
        <v>1277</v>
      </c>
      <c r="G49" s="6">
        <f>IFERROR(__xludf.DUMMYFUNCTION("""COMPUTED_VALUE"""),1753.0)</f>
        <v>1753</v>
      </c>
    </row>
    <row r="50">
      <c r="A50" s="6">
        <f>IFERROR(__xludf.DUMMYFUNCTION("""COMPUTED_VALUE"""),2011.0)</f>
        <v>2011</v>
      </c>
      <c r="B50" s="6" t="str">
        <f>IFERROR(__xludf.DUMMYFUNCTION("""COMPUTED_VALUE"""),"Dezembro")</f>
        <v>Dezembro</v>
      </c>
      <c r="C50" s="6" t="str">
        <f>IFERROR(__xludf.DUMMYFUNCTION("""COMPUTED_VALUE"""),"CONSTRANGIMENTO ILEGAL")</f>
        <v>CONSTRANGIMENTO ILEGAL</v>
      </c>
      <c r="D50" s="6">
        <f>IFERROR(__xludf.DUMMYFUNCTION("""COMPUTED_VALUE"""),1.0)</f>
        <v>1</v>
      </c>
      <c r="E50" s="6">
        <f>IFERROR(__xludf.DUMMYFUNCTION("""COMPUTED_VALUE"""),4.0)</f>
        <v>4</v>
      </c>
      <c r="F50" s="6">
        <f>IFERROR(__xludf.DUMMYFUNCTION("""COMPUTED_VALUE"""),30.0)</f>
        <v>30</v>
      </c>
      <c r="G50" s="6">
        <f>IFERROR(__xludf.DUMMYFUNCTION("""COMPUTED_VALUE"""),35.0)</f>
        <v>35</v>
      </c>
    </row>
    <row r="51">
      <c r="A51" s="6">
        <f>IFERROR(__xludf.DUMMYFUNCTION("""COMPUTED_VALUE"""),2011.0)</f>
        <v>2011</v>
      </c>
      <c r="B51" s="6" t="str">
        <f>IFERROR(__xludf.DUMMYFUNCTION("""COMPUTED_VALUE"""),"Dezembro")</f>
        <v>Dezembro</v>
      </c>
      <c r="C51" s="6" t="str">
        <f>IFERROR(__xludf.DUMMYFUNCTION("""COMPUTED_VALUE"""),"AMEAÇA")</f>
        <v>AMEAÇA</v>
      </c>
      <c r="D51" s="6">
        <f>IFERROR(__xludf.DUMMYFUNCTION("""COMPUTED_VALUE"""),1108.0)</f>
        <v>1108</v>
      </c>
      <c r="E51" s="6">
        <f>IFERROR(__xludf.DUMMYFUNCTION("""COMPUTED_VALUE"""),970.0)</f>
        <v>970</v>
      </c>
      <c r="F51" s="6">
        <f>IFERROR(__xludf.DUMMYFUNCTION("""COMPUTED_VALUE"""),5502.0)</f>
        <v>5502</v>
      </c>
      <c r="G51" s="6">
        <f>IFERROR(__xludf.DUMMYFUNCTION("""COMPUTED_VALUE"""),7580.0)</f>
        <v>7580</v>
      </c>
    </row>
    <row r="52">
      <c r="A52" s="6">
        <f>IFERROR(__xludf.DUMMYFUNCTION("""COMPUTED_VALUE"""),2011.0)</f>
        <v>2011</v>
      </c>
      <c r="B52" s="6" t="str">
        <f>IFERROR(__xludf.DUMMYFUNCTION("""COMPUTED_VALUE"""),"Dezembro")</f>
        <v>Dezembro</v>
      </c>
      <c r="C52" s="6" t="str">
        <f>IFERROR(__xludf.DUMMYFUNCTION("""COMPUTED_VALUE"""),"INVASÃO DE DOMICÍLIO")</f>
        <v>INVASÃO DE DOMICÍLIO</v>
      </c>
      <c r="D52" s="6">
        <f>IFERROR(__xludf.DUMMYFUNCTION("""COMPUTED_VALUE"""),3.0)</f>
        <v>3</v>
      </c>
      <c r="E52" s="6">
        <f>IFERROR(__xludf.DUMMYFUNCTION("""COMPUTED_VALUE"""),3.0)</f>
        <v>3</v>
      </c>
      <c r="F52" s="6">
        <f>IFERROR(__xludf.DUMMYFUNCTION("""COMPUTED_VALUE"""),20.0)</f>
        <v>20</v>
      </c>
      <c r="G52" s="6">
        <f>IFERROR(__xludf.DUMMYFUNCTION("""COMPUTED_VALUE"""),26.0)</f>
        <v>26</v>
      </c>
    </row>
    <row r="53">
      <c r="A53" s="6">
        <f>IFERROR(__xludf.DUMMYFUNCTION("""COMPUTED_VALUE"""),2011.0)</f>
        <v>2011</v>
      </c>
      <c r="B53" s="6" t="str">
        <f>IFERROR(__xludf.DUMMYFUNCTION("""COMPUTED_VALUE"""),"Dezembro")</f>
        <v>Dezembro</v>
      </c>
      <c r="C53" s="6" t="str">
        <f>IFERROR(__xludf.DUMMYFUNCTION("""COMPUTED_VALUE"""),"DANO")</f>
        <v>DANO</v>
      </c>
      <c r="D53" s="6">
        <f>IFERROR(__xludf.DUMMYFUNCTION("""COMPUTED_VALUE"""),10.0)</f>
        <v>10</v>
      </c>
      <c r="E53" s="6">
        <f>IFERROR(__xludf.DUMMYFUNCTION("""COMPUTED_VALUE"""),17.0)</f>
        <v>17</v>
      </c>
      <c r="F53" s="6">
        <f>IFERROR(__xludf.DUMMYFUNCTION("""COMPUTED_VALUE"""),98.0)</f>
        <v>98</v>
      </c>
      <c r="G53" s="6">
        <f>IFERROR(__xludf.DUMMYFUNCTION("""COMPUTED_VALUE"""),125.0)</f>
        <v>125</v>
      </c>
    </row>
    <row r="54">
      <c r="A54" s="6">
        <f>IFERROR(__xludf.DUMMYFUNCTION("""COMPUTED_VALUE"""),2011.0)</f>
        <v>2011</v>
      </c>
      <c r="B54" s="6" t="str">
        <f>IFERROR(__xludf.DUMMYFUNCTION("""COMPUTED_VALUE"""),"Dezembro")</f>
        <v>Dezembro</v>
      </c>
      <c r="C54" s="6" t="str">
        <f>IFERROR(__xludf.DUMMYFUNCTION("""COMPUTED_VALUE"""),"ESTUPRO CONSUMADO")</f>
        <v>ESTUPRO CONSUMADO</v>
      </c>
      <c r="D54" s="6">
        <f>IFERROR(__xludf.DUMMYFUNCTION("""COMPUTED_VALUE"""),12.0)</f>
        <v>12</v>
      </c>
      <c r="E54" s="6">
        <f>IFERROR(__xludf.DUMMYFUNCTION("""COMPUTED_VALUE"""),9.0)</f>
        <v>9</v>
      </c>
      <c r="F54" s="6">
        <f>IFERROR(__xludf.DUMMYFUNCTION("""COMPUTED_VALUE"""),45.0)</f>
        <v>45</v>
      </c>
      <c r="G54" s="6">
        <f>IFERROR(__xludf.DUMMYFUNCTION("""COMPUTED_VALUE"""),66.0)</f>
        <v>66</v>
      </c>
    </row>
    <row r="55">
      <c r="A55" s="6">
        <f>IFERROR(__xludf.DUMMYFUNCTION("""COMPUTED_VALUE"""),2011.0)</f>
        <v>2011</v>
      </c>
      <c r="B55" s="6" t="str">
        <f>IFERROR(__xludf.DUMMYFUNCTION("""COMPUTED_VALUE"""),"Dezembro")</f>
        <v>Dezembro</v>
      </c>
      <c r="C55" s="6" t="str">
        <f>IFERROR(__xludf.DUMMYFUNCTION("""COMPUTED_VALUE"""),"ESTUPRO TENTADO")</f>
        <v>ESTUPRO TENTADO</v>
      </c>
      <c r="D55" s="6">
        <f>IFERROR(__xludf.DUMMYFUNCTION("""COMPUTED_VALUE"""),1.0)</f>
        <v>1</v>
      </c>
      <c r="E55" s="6">
        <f>IFERROR(__xludf.DUMMYFUNCTION("""COMPUTED_VALUE"""),0.0)</f>
        <v>0</v>
      </c>
      <c r="F55" s="6">
        <f>IFERROR(__xludf.DUMMYFUNCTION("""COMPUTED_VALUE"""),1.0)</f>
        <v>1</v>
      </c>
      <c r="G55" s="6">
        <f>IFERROR(__xludf.DUMMYFUNCTION("""COMPUTED_VALUE"""),2.0)</f>
        <v>2</v>
      </c>
    </row>
    <row r="56">
      <c r="A56" s="6">
        <f>IFERROR(__xludf.DUMMYFUNCTION("""COMPUTED_VALUE"""),2011.0)</f>
        <v>2011</v>
      </c>
      <c r="B56" s="6" t="str">
        <f>IFERROR(__xludf.DUMMYFUNCTION("""COMPUTED_VALUE"""),"Dezembro")</f>
        <v>Dezembro</v>
      </c>
      <c r="C56" s="6" t="str">
        <f>IFERROR(__xludf.DUMMYFUNCTION("""COMPUTED_VALUE"""),"ESTUPRO DE VULNERÁVEL CONSUMADO")</f>
        <v>ESTUPRO DE VULNERÁVEL CONSUMADO</v>
      </c>
      <c r="D56" s="6">
        <f>IFERROR(__xludf.DUMMYFUNCTION("""COMPUTED_VALUE"""),2.0)</f>
        <v>2</v>
      </c>
      <c r="E56" s="6">
        <f>IFERROR(__xludf.DUMMYFUNCTION("""COMPUTED_VALUE"""),7.0)</f>
        <v>7</v>
      </c>
      <c r="F56" s="6">
        <f>IFERROR(__xludf.DUMMYFUNCTION("""COMPUTED_VALUE"""),24.0)</f>
        <v>24</v>
      </c>
      <c r="G56" s="6">
        <f>IFERROR(__xludf.DUMMYFUNCTION("""COMPUTED_VALUE"""),33.0)</f>
        <v>33</v>
      </c>
    </row>
    <row r="57">
      <c r="A57" s="6">
        <f>IFERROR(__xludf.DUMMYFUNCTION("""COMPUTED_VALUE"""),2011.0)</f>
        <v>2011</v>
      </c>
      <c r="B57" s="6" t="str">
        <f>IFERROR(__xludf.DUMMYFUNCTION("""COMPUTED_VALUE"""),"Dezembro")</f>
        <v>Dezembro</v>
      </c>
      <c r="C57" s="6" t="str">
        <f>IFERROR(__xludf.DUMMYFUNCTION("""COMPUTED_VALUE"""),"OUTROS C/C/ DIGNIDADE SEXUAL")</f>
        <v>OUTROS C/C/ DIGNIDADE SEXUAL</v>
      </c>
      <c r="D57" s="6">
        <f>IFERROR(__xludf.DUMMYFUNCTION("""COMPUTED_VALUE"""),4.0)</f>
        <v>4</v>
      </c>
      <c r="E57" s="6">
        <f>IFERROR(__xludf.DUMMYFUNCTION("""COMPUTED_VALUE"""),0.0)</f>
        <v>0</v>
      </c>
      <c r="F57" s="6">
        <f>IFERROR(__xludf.DUMMYFUNCTION("""COMPUTED_VALUE"""),5.0)</f>
        <v>5</v>
      </c>
      <c r="G57" s="6">
        <f>IFERROR(__xludf.DUMMYFUNCTION("""COMPUTED_VALUE"""),9.0)</f>
        <v>9</v>
      </c>
    </row>
    <row r="58">
      <c r="A58" s="6">
        <f>IFERROR(__xludf.DUMMYFUNCTION("""COMPUTED_VALUE"""),2012.0)</f>
        <v>2012</v>
      </c>
      <c r="B58" s="6" t="str">
        <f>IFERROR(__xludf.DUMMYFUNCTION("""COMPUTED_VALUE"""),"Janeiro")</f>
        <v>Janeiro</v>
      </c>
      <c r="C58" s="6" t="str">
        <f>IFERROR(__xludf.DUMMYFUNCTION("""COMPUTED_VALUE"""),"HOMICÍDIO DOLOSO (exclui FEMINICÍDIO)")</f>
        <v>HOMICÍDIO DOLOSO (exclui FEMINICÍDIO)</v>
      </c>
      <c r="D58" s="6">
        <f>IFERROR(__xludf.DUMMYFUNCTION("""COMPUTED_VALUE"""),1.0)</f>
        <v>1</v>
      </c>
      <c r="E58" s="6">
        <f>IFERROR(__xludf.DUMMYFUNCTION("""COMPUTED_VALUE"""),2.0)</f>
        <v>2</v>
      </c>
      <c r="F58" s="6">
        <f>IFERROR(__xludf.DUMMYFUNCTION("""COMPUTED_VALUE"""),8.0)</f>
        <v>8</v>
      </c>
      <c r="G58" s="6">
        <f>IFERROR(__xludf.DUMMYFUNCTION("""COMPUTED_VALUE"""),11.0)</f>
        <v>11</v>
      </c>
    </row>
    <row r="59">
      <c r="A59" s="6">
        <f>IFERROR(__xludf.DUMMYFUNCTION("""COMPUTED_VALUE"""),2012.0)</f>
        <v>2012</v>
      </c>
      <c r="B59" s="6" t="str">
        <f>IFERROR(__xludf.DUMMYFUNCTION("""COMPUTED_VALUE"""),"Janeiro")</f>
        <v>Janeiro</v>
      </c>
      <c r="C59" s="6" t="str">
        <f>IFERROR(__xludf.DUMMYFUNCTION("""COMPUTED_VALUE"""),"HOMICÍDIO CULPOSO")</f>
        <v>HOMICÍDIO CULPOSO</v>
      </c>
      <c r="D59" s="6">
        <f>IFERROR(__xludf.DUMMYFUNCTION("""COMPUTED_VALUE"""),0.0)</f>
        <v>0</v>
      </c>
      <c r="E59" s="6">
        <f>IFERROR(__xludf.DUMMYFUNCTION("""COMPUTED_VALUE"""),0.0)</f>
        <v>0</v>
      </c>
      <c r="F59" s="6">
        <f>IFERROR(__xludf.DUMMYFUNCTION("""COMPUTED_VALUE"""),0.0)</f>
        <v>0</v>
      </c>
      <c r="G59" s="6">
        <f>IFERROR(__xludf.DUMMYFUNCTION("""COMPUTED_VALUE"""),0.0)</f>
        <v>0</v>
      </c>
    </row>
    <row r="60">
      <c r="A60" s="6">
        <f>IFERROR(__xludf.DUMMYFUNCTION("""COMPUTED_VALUE"""),2012.0)</f>
        <v>2012</v>
      </c>
      <c r="B60" s="6" t="str">
        <f>IFERROR(__xludf.DUMMYFUNCTION("""COMPUTED_VALUE"""),"Janeiro")</f>
        <v>Janeiro</v>
      </c>
      <c r="C60" s="6" t="str">
        <f>IFERROR(__xludf.DUMMYFUNCTION("""COMPUTED_VALUE"""),"TENTATIVA DE HOMICÍDIO")</f>
        <v>TENTATIVA DE HOMICÍDIO</v>
      </c>
      <c r="D60" s="6">
        <f>IFERROR(__xludf.DUMMYFUNCTION("""COMPUTED_VALUE"""),1.0)</f>
        <v>1</v>
      </c>
      <c r="E60" s="6">
        <f>IFERROR(__xludf.DUMMYFUNCTION("""COMPUTED_VALUE"""),3.0)</f>
        <v>3</v>
      </c>
      <c r="F60" s="6">
        <f>IFERROR(__xludf.DUMMYFUNCTION("""COMPUTED_VALUE"""),11.0)</f>
        <v>11</v>
      </c>
      <c r="G60" s="6">
        <f>IFERROR(__xludf.DUMMYFUNCTION("""COMPUTED_VALUE"""),15.0)</f>
        <v>15</v>
      </c>
    </row>
    <row r="61">
      <c r="A61" s="6">
        <f>IFERROR(__xludf.DUMMYFUNCTION("""COMPUTED_VALUE"""),2012.0)</f>
        <v>2012</v>
      </c>
      <c r="B61" s="6" t="str">
        <f>IFERROR(__xludf.DUMMYFUNCTION("""COMPUTED_VALUE"""),"Janeiro")</f>
        <v>Janeiro</v>
      </c>
      <c r="C61" s="6" t="str">
        <f>IFERROR(__xludf.DUMMYFUNCTION("""COMPUTED_VALUE"""),"LESÃO CORPORAL DOLOSA")</f>
        <v>LESÃO CORPORAL DOLOSA</v>
      </c>
      <c r="D61" s="6">
        <f>IFERROR(__xludf.DUMMYFUNCTION("""COMPUTED_VALUE"""),1342.0)</f>
        <v>1342</v>
      </c>
      <c r="E61" s="6">
        <f>IFERROR(__xludf.DUMMYFUNCTION("""COMPUTED_VALUE"""),1162.0)</f>
        <v>1162</v>
      </c>
      <c r="F61" s="6">
        <f>IFERROR(__xludf.DUMMYFUNCTION("""COMPUTED_VALUE"""),4001.0)</f>
        <v>4001</v>
      </c>
      <c r="G61" s="6">
        <f>IFERROR(__xludf.DUMMYFUNCTION("""COMPUTED_VALUE"""),6505.0)</f>
        <v>6505</v>
      </c>
    </row>
    <row r="62">
      <c r="A62" s="6">
        <f>IFERROR(__xludf.DUMMYFUNCTION("""COMPUTED_VALUE"""),2012.0)</f>
        <v>2012</v>
      </c>
      <c r="B62" s="6" t="str">
        <f>IFERROR(__xludf.DUMMYFUNCTION("""COMPUTED_VALUE"""),"Janeiro")</f>
        <v>Janeiro</v>
      </c>
      <c r="C62" s="6" t="str">
        <f>IFERROR(__xludf.DUMMYFUNCTION("""COMPUTED_VALUE"""),"MAUS TRATOS")</f>
        <v>MAUS TRATOS</v>
      </c>
      <c r="D62" s="6">
        <f>IFERROR(__xludf.DUMMYFUNCTION("""COMPUTED_VALUE"""),5.0)</f>
        <v>5</v>
      </c>
      <c r="E62" s="6">
        <f>IFERROR(__xludf.DUMMYFUNCTION("""COMPUTED_VALUE"""),8.0)</f>
        <v>8</v>
      </c>
      <c r="F62" s="6">
        <f>IFERROR(__xludf.DUMMYFUNCTION("""COMPUTED_VALUE"""),48.0)</f>
        <v>48</v>
      </c>
      <c r="G62" s="6">
        <f>IFERROR(__xludf.DUMMYFUNCTION("""COMPUTED_VALUE"""),61.0)</f>
        <v>61</v>
      </c>
    </row>
    <row r="63">
      <c r="A63" s="6">
        <f>IFERROR(__xludf.DUMMYFUNCTION("""COMPUTED_VALUE"""),2012.0)</f>
        <v>2012</v>
      </c>
      <c r="B63" s="6" t="str">
        <f>IFERROR(__xludf.DUMMYFUNCTION("""COMPUTED_VALUE"""),"Janeiro")</f>
        <v>Janeiro</v>
      </c>
      <c r="C63" s="6" t="str">
        <f>IFERROR(__xludf.DUMMYFUNCTION("""COMPUTED_VALUE"""),"CALÚNIA - DIFAMAÇÃO - INJÚRIA")</f>
        <v>CALÚNIA - DIFAMAÇÃO - INJÚRIA</v>
      </c>
      <c r="D63" s="6">
        <f>IFERROR(__xludf.DUMMYFUNCTION("""COMPUTED_VALUE"""),260.0)</f>
        <v>260</v>
      </c>
      <c r="E63" s="6">
        <f>IFERROR(__xludf.DUMMYFUNCTION("""COMPUTED_VALUE"""),179.0)</f>
        <v>179</v>
      </c>
      <c r="F63" s="6">
        <f>IFERROR(__xludf.DUMMYFUNCTION("""COMPUTED_VALUE"""),973.0)</f>
        <v>973</v>
      </c>
      <c r="G63" s="6">
        <f>IFERROR(__xludf.DUMMYFUNCTION("""COMPUTED_VALUE"""),1412.0)</f>
        <v>1412</v>
      </c>
    </row>
    <row r="64">
      <c r="A64" s="6">
        <f>IFERROR(__xludf.DUMMYFUNCTION("""COMPUTED_VALUE"""),2012.0)</f>
        <v>2012</v>
      </c>
      <c r="B64" s="6" t="str">
        <f>IFERROR(__xludf.DUMMYFUNCTION("""COMPUTED_VALUE"""),"Janeiro")</f>
        <v>Janeiro</v>
      </c>
      <c r="C64" s="6" t="str">
        <f>IFERROR(__xludf.DUMMYFUNCTION("""COMPUTED_VALUE"""),"CONSTRANGIMENTO ILEGAL")</f>
        <v>CONSTRANGIMENTO ILEGAL</v>
      </c>
      <c r="D64" s="6">
        <f>IFERROR(__xludf.DUMMYFUNCTION("""COMPUTED_VALUE"""),2.0)</f>
        <v>2</v>
      </c>
      <c r="E64" s="6">
        <f>IFERROR(__xludf.DUMMYFUNCTION("""COMPUTED_VALUE"""),5.0)</f>
        <v>5</v>
      </c>
      <c r="F64" s="6">
        <f>IFERROR(__xludf.DUMMYFUNCTION("""COMPUTED_VALUE"""),15.0)</f>
        <v>15</v>
      </c>
      <c r="G64" s="6">
        <f>IFERROR(__xludf.DUMMYFUNCTION("""COMPUTED_VALUE"""),22.0)</f>
        <v>22</v>
      </c>
    </row>
    <row r="65">
      <c r="A65" s="6">
        <f>IFERROR(__xludf.DUMMYFUNCTION("""COMPUTED_VALUE"""),2012.0)</f>
        <v>2012</v>
      </c>
      <c r="B65" s="6" t="str">
        <f>IFERROR(__xludf.DUMMYFUNCTION("""COMPUTED_VALUE"""),"Janeiro")</f>
        <v>Janeiro</v>
      </c>
      <c r="C65" s="6" t="str">
        <f>IFERROR(__xludf.DUMMYFUNCTION("""COMPUTED_VALUE"""),"AMEAÇA")</f>
        <v>AMEAÇA</v>
      </c>
      <c r="D65" s="6">
        <f>IFERROR(__xludf.DUMMYFUNCTION("""COMPUTED_VALUE"""),1083.0)</f>
        <v>1083</v>
      </c>
      <c r="E65" s="6">
        <f>IFERROR(__xludf.DUMMYFUNCTION("""COMPUTED_VALUE"""),985.0)</f>
        <v>985</v>
      </c>
      <c r="F65" s="6">
        <f>IFERROR(__xludf.DUMMYFUNCTION("""COMPUTED_VALUE"""),3986.0)</f>
        <v>3986</v>
      </c>
      <c r="G65" s="6">
        <f>IFERROR(__xludf.DUMMYFUNCTION("""COMPUTED_VALUE"""),6054.0)</f>
        <v>6054</v>
      </c>
    </row>
    <row r="66">
      <c r="A66" s="6">
        <f>IFERROR(__xludf.DUMMYFUNCTION("""COMPUTED_VALUE"""),2012.0)</f>
        <v>2012</v>
      </c>
      <c r="B66" s="6" t="str">
        <f>IFERROR(__xludf.DUMMYFUNCTION("""COMPUTED_VALUE"""),"Janeiro")</f>
        <v>Janeiro</v>
      </c>
      <c r="C66" s="6" t="str">
        <f>IFERROR(__xludf.DUMMYFUNCTION("""COMPUTED_VALUE"""),"INVASÃO DE DOMICÍLIO")</f>
        <v>INVASÃO DE DOMICÍLIO</v>
      </c>
      <c r="D66" s="6">
        <f>IFERROR(__xludf.DUMMYFUNCTION("""COMPUTED_VALUE"""),3.0)</f>
        <v>3</v>
      </c>
      <c r="E66" s="6">
        <f>IFERROR(__xludf.DUMMYFUNCTION("""COMPUTED_VALUE"""),5.0)</f>
        <v>5</v>
      </c>
      <c r="F66" s="6">
        <f>IFERROR(__xludf.DUMMYFUNCTION("""COMPUTED_VALUE"""),29.0)</f>
        <v>29</v>
      </c>
      <c r="G66" s="6">
        <f>IFERROR(__xludf.DUMMYFUNCTION("""COMPUTED_VALUE"""),37.0)</f>
        <v>37</v>
      </c>
    </row>
    <row r="67">
      <c r="A67" s="6">
        <f>IFERROR(__xludf.DUMMYFUNCTION("""COMPUTED_VALUE"""),2012.0)</f>
        <v>2012</v>
      </c>
      <c r="B67" s="6" t="str">
        <f>IFERROR(__xludf.DUMMYFUNCTION("""COMPUTED_VALUE"""),"Janeiro")</f>
        <v>Janeiro</v>
      </c>
      <c r="C67" s="6" t="str">
        <f>IFERROR(__xludf.DUMMYFUNCTION("""COMPUTED_VALUE"""),"DANO")</f>
        <v>DANO</v>
      </c>
      <c r="D67" s="6">
        <f>IFERROR(__xludf.DUMMYFUNCTION("""COMPUTED_VALUE"""),16.0)</f>
        <v>16</v>
      </c>
      <c r="E67" s="6">
        <f>IFERROR(__xludf.DUMMYFUNCTION("""COMPUTED_VALUE"""),13.0)</f>
        <v>13</v>
      </c>
      <c r="F67" s="6">
        <f>IFERROR(__xludf.DUMMYFUNCTION("""COMPUTED_VALUE"""),75.0)</f>
        <v>75</v>
      </c>
      <c r="G67" s="6">
        <f>IFERROR(__xludf.DUMMYFUNCTION("""COMPUTED_VALUE"""),104.0)</f>
        <v>104</v>
      </c>
    </row>
    <row r="68">
      <c r="A68" s="6">
        <f>IFERROR(__xludf.DUMMYFUNCTION("""COMPUTED_VALUE"""),2012.0)</f>
        <v>2012</v>
      </c>
      <c r="B68" s="6" t="str">
        <f>IFERROR(__xludf.DUMMYFUNCTION("""COMPUTED_VALUE"""),"Janeiro")</f>
        <v>Janeiro</v>
      </c>
      <c r="C68" s="6" t="str">
        <f>IFERROR(__xludf.DUMMYFUNCTION("""COMPUTED_VALUE"""),"ESTUPRO CONSUMADO")</f>
        <v>ESTUPRO CONSUMADO</v>
      </c>
      <c r="D68" s="6">
        <f>IFERROR(__xludf.DUMMYFUNCTION("""COMPUTED_VALUE"""),14.0)</f>
        <v>14</v>
      </c>
      <c r="E68" s="6">
        <f>IFERROR(__xludf.DUMMYFUNCTION("""COMPUTED_VALUE"""),14.0)</f>
        <v>14</v>
      </c>
      <c r="F68" s="6">
        <f>IFERROR(__xludf.DUMMYFUNCTION("""COMPUTED_VALUE"""),33.0)</f>
        <v>33</v>
      </c>
      <c r="G68" s="6">
        <f>IFERROR(__xludf.DUMMYFUNCTION("""COMPUTED_VALUE"""),61.0)</f>
        <v>61</v>
      </c>
    </row>
    <row r="69">
      <c r="A69" s="6">
        <f>IFERROR(__xludf.DUMMYFUNCTION("""COMPUTED_VALUE"""),2012.0)</f>
        <v>2012</v>
      </c>
      <c r="B69" s="6" t="str">
        <f>IFERROR(__xludf.DUMMYFUNCTION("""COMPUTED_VALUE"""),"Janeiro")</f>
        <v>Janeiro</v>
      </c>
      <c r="C69" s="6" t="str">
        <f>IFERROR(__xludf.DUMMYFUNCTION("""COMPUTED_VALUE"""),"ESTUPRO TENTADO")</f>
        <v>ESTUPRO TENTADO</v>
      </c>
      <c r="D69" s="6">
        <f>IFERROR(__xludf.DUMMYFUNCTION("""COMPUTED_VALUE"""),1.0)</f>
        <v>1</v>
      </c>
      <c r="E69" s="6">
        <f>IFERROR(__xludf.DUMMYFUNCTION("""COMPUTED_VALUE"""),0.0)</f>
        <v>0</v>
      </c>
      <c r="F69" s="6">
        <f>IFERROR(__xludf.DUMMYFUNCTION("""COMPUTED_VALUE"""),4.0)</f>
        <v>4</v>
      </c>
      <c r="G69" s="6">
        <f>IFERROR(__xludf.DUMMYFUNCTION("""COMPUTED_VALUE"""),5.0)</f>
        <v>5</v>
      </c>
    </row>
    <row r="70">
      <c r="A70" s="6">
        <f>IFERROR(__xludf.DUMMYFUNCTION("""COMPUTED_VALUE"""),2012.0)</f>
        <v>2012</v>
      </c>
      <c r="B70" s="6" t="str">
        <f>IFERROR(__xludf.DUMMYFUNCTION("""COMPUTED_VALUE"""),"Janeiro")</f>
        <v>Janeiro</v>
      </c>
      <c r="C70" s="6" t="str">
        <f>IFERROR(__xludf.DUMMYFUNCTION("""COMPUTED_VALUE"""),"ESTUPRO DE VULNERÁVEL CONSUMADO")</f>
        <v>ESTUPRO DE VULNERÁVEL CONSUMADO</v>
      </c>
      <c r="D70" s="6">
        <f>IFERROR(__xludf.DUMMYFUNCTION("""COMPUTED_VALUE"""),3.0)</f>
        <v>3</v>
      </c>
      <c r="E70" s="6">
        <f>IFERROR(__xludf.DUMMYFUNCTION("""COMPUTED_VALUE"""),7.0)</f>
        <v>7</v>
      </c>
      <c r="F70" s="6">
        <f>IFERROR(__xludf.DUMMYFUNCTION("""COMPUTED_VALUE"""),25.0)</f>
        <v>25</v>
      </c>
      <c r="G70" s="6">
        <f>IFERROR(__xludf.DUMMYFUNCTION("""COMPUTED_VALUE"""),35.0)</f>
        <v>35</v>
      </c>
    </row>
    <row r="71">
      <c r="A71" s="6">
        <f>IFERROR(__xludf.DUMMYFUNCTION("""COMPUTED_VALUE"""),2012.0)</f>
        <v>2012</v>
      </c>
      <c r="B71" s="6" t="str">
        <f>IFERROR(__xludf.DUMMYFUNCTION("""COMPUTED_VALUE"""),"Janeiro")</f>
        <v>Janeiro</v>
      </c>
      <c r="C71" s="6" t="str">
        <f>IFERROR(__xludf.DUMMYFUNCTION("""COMPUTED_VALUE"""),"OUTROS C/C/ DIGNIDADE SEXUAL")</f>
        <v>OUTROS C/C/ DIGNIDADE SEXUAL</v>
      </c>
      <c r="D71" s="6">
        <f>IFERROR(__xludf.DUMMYFUNCTION("""COMPUTED_VALUE"""),5.0)</f>
        <v>5</v>
      </c>
      <c r="E71" s="6">
        <f>IFERROR(__xludf.DUMMYFUNCTION("""COMPUTED_VALUE"""),0.0)</f>
        <v>0</v>
      </c>
      <c r="F71" s="6">
        <f>IFERROR(__xludf.DUMMYFUNCTION("""COMPUTED_VALUE"""),5.0)</f>
        <v>5</v>
      </c>
      <c r="G71" s="6">
        <f>IFERROR(__xludf.DUMMYFUNCTION("""COMPUTED_VALUE"""),10.0)</f>
        <v>10</v>
      </c>
    </row>
    <row r="72">
      <c r="A72" s="6">
        <f>IFERROR(__xludf.DUMMYFUNCTION("""COMPUTED_VALUE"""),2012.0)</f>
        <v>2012</v>
      </c>
      <c r="B72" s="6" t="str">
        <f>IFERROR(__xludf.DUMMYFUNCTION("""COMPUTED_VALUE"""),"Fevereiro")</f>
        <v>Fevereiro</v>
      </c>
      <c r="C72" s="6" t="str">
        <f>IFERROR(__xludf.DUMMYFUNCTION("""COMPUTED_VALUE"""),"HOMICÍDIO DOLOSO (exclui FEMINICÍDIO)")</f>
        <v>HOMICÍDIO DOLOSO (exclui FEMINICÍDIO)</v>
      </c>
      <c r="D72" s="6">
        <f>IFERROR(__xludf.DUMMYFUNCTION("""COMPUTED_VALUE"""),0.0)</f>
        <v>0</v>
      </c>
      <c r="E72" s="6">
        <f>IFERROR(__xludf.DUMMYFUNCTION("""COMPUTED_VALUE"""),3.0)</f>
        <v>3</v>
      </c>
      <c r="F72" s="6">
        <f>IFERROR(__xludf.DUMMYFUNCTION("""COMPUTED_VALUE"""),7.0)</f>
        <v>7</v>
      </c>
      <c r="G72" s="6">
        <f>IFERROR(__xludf.DUMMYFUNCTION("""COMPUTED_VALUE"""),10.0)</f>
        <v>10</v>
      </c>
    </row>
    <row r="73">
      <c r="A73" s="6">
        <f>IFERROR(__xludf.DUMMYFUNCTION("""COMPUTED_VALUE"""),2012.0)</f>
        <v>2012</v>
      </c>
      <c r="B73" s="6" t="str">
        <f>IFERROR(__xludf.DUMMYFUNCTION("""COMPUTED_VALUE"""),"Fevereiro")</f>
        <v>Fevereiro</v>
      </c>
      <c r="C73" s="6" t="str">
        <f>IFERROR(__xludf.DUMMYFUNCTION("""COMPUTED_VALUE"""),"HOMICÍDIO CULPOSO")</f>
        <v>HOMICÍDIO CULPOSO</v>
      </c>
      <c r="D73" s="6">
        <f>IFERROR(__xludf.DUMMYFUNCTION("""COMPUTED_VALUE"""),0.0)</f>
        <v>0</v>
      </c>
      <c r="E73" s="6">
        <f>IFERROR(__xludf.DUMMYFUNCTION("""COMPUTED_VALUE"""),0.0)</f>
        <v>0</v>
      </c>
      <c r="F73" s="6">
        <f>IFERROR(__xludf.DUMMYFUNCTION("""COMPUTED_VALUE"""),1.0)</f>
        <v>1</v>
      </c>
      <c r="G73" s="6">
        <f>IFERROR(__xludf.DUMMYFUNCTION("""COMPUTED_VALUE"""),1.0)</f>
        <v>1</v>
      </c>
    </row>
    <row r="74">
      <c r="A74" s="6">
        <f>IFERROR(__xludf.DUMMYFUNCTION("""COMPUTED_VALUE"""),2012.0)</f>
        <v>2012</v>
      </c>
      <c r="B74" s="6" t="str">
        <f>IFERROR(__xludf.DUMMYFUNCTION("""COMPUTED_VALUE"""),"Fevereiro")</f>
        <v>Fevereiro</v>
      </c>
      <c r="C74" s="6" t="str">
        <f>IFERROR(__xludf.DUMMYFUNCTION("""COMPUTED_VALUE"""),"TENTATIVA DE HOMICÍDIO")</f>
        <v>TENTATIVA DE HOMICÍDIO</v>
      </c>
      <c r="D74" s="6">
        <f>IFERROR(__xludf.DUMMYFUNCTION("""COMPUTED_VALUE"""),5.0)</f>
        <v>5</v>
      </c>
      <c r="E74" s="6">
        <f>IFERROR(__xludf.DUMMYFUNCTION("""COMPUTED_VALUE"""),6.0)</f>
        <v>6</v>
      </c>
      <c r="F74" s="6">
        <f>IFERROR(__xludf.DUMMYFUNCTION("""COMPUTED_VALUE"""),17.0)</f>
        <v>17</v>
      </c>
      <c r="G74" s="6">
        <f>IFERROR(__xludf.DUMMYFUNCTION("""COMPUTED_VALUE"""),28.0)</f>
        <v>28</v>
      </c>
    </row>
    <row r="75">
      <c r="A75" s="6">
        <f>IFERROR(__xludf.DUMMYFUNCTION("""COMPUTED_VALUE"""),2012.0)</f>
        <v>2012</v>
      </c>
      <c r="B75" s="6" t="str">
        <f>IFERROR(__xludf.DUMMYFUNCTION("""COMPUTED_VALUE"""),"Fevereiro")</f>
        <v>Fevereiro</v>
      </c>
      <c r="C75" s="6" t="str">
        <f>IFERROR(__xludf.DUMMYFUNCTION("""COMPUTED_VALUE"""),"LESÃO CORPORAL DOLOSA")</f>
        <v>LESÃO CORPORAL DOLOSA</v>
      </c>
      <c r="D75" s="6">
        <f>IFERROR(__xludf.DUMMYFUNCTION("""COMPUTED_VALUE"""),1269.0)</f>
        <v>1269</v>
      </c>
      <c r="E75" s="6">
        <f>IFERROR(__xludf.DUMMYFUNCTION("""COMPUTED_VALUE"""),1184.0)</f>
        <v>1184</v>
      </c>
      <c r="F75" s="6">
        <f>IFERROR(__xludf.DUMMYFUNCTION("""COMPUTED_VALUE"""),3894.0)</f>
        <v>3894</v>
      </c>
      <c r="G75" s="6">
        <f>IFERROR(__xludf.DUMMYFUNCTION("""COMPUTED_VALUE"""),6347.0)</f>
        <v>6347</v>
      </c>
    </row>
    <row r="76">
      <c r="A76" s="6">
        <f>IFERROR(__xludf.DUMMYFUNCTION("""COMPUTED_VALUE"""),2012.0)</f>
        <v>2012</v>
      </c>
      <c r="B76" s="6" t="str">
        <f>IFERROR(__xludf.DUMMYFUNCTION("""COMPUTED_VALUE"""),"Fevereiro")</f>
        <v>Fevereiro</v>
      </c>
      <c r="C76" s="6" t="str">
        <f>IFERROR(__xludf.DUMMYFUNCTION("""COMPUTED_VALUE"""),"MAUS TRATOS")</f>
        <v>MAUS TRATOS</v>
      </c>
      <c r="D76" s="6">
        <f>IFERROR(__xludf.DUMMYFUNCTION("""COMPUTED_VALUE"""),5.0)</f>
        <v>5</v>
      </c>
      <c r="E76" s="6">
        <f>IFERROR(__xludf.DUMMYFUNCTION("""COMPUTED_VALUE"""),10.0)</f>
        <v>10</v>
      </c>
      <c r="F76" s="6">
        <f>IFERROR(__xludf.DUMMYFUNCTION("""COMPUTED_VALUE"""),45.0)</f>
        <v>45</v>
      </c>
      <c r="G76" s="6">
        <f>IFERROR(__xludf.DUMMYFUNCTION("""COMPUTED_VALUE"""),60.0)</f>
        <v>60</v>
      </c>
    </row>
    <row r="77">
      <c r="A77" s="6">
        <f>IFERROR(__xludf.DUMMYFUNCTION("""COMPUTED_VALUE"""),2012.0)</f>
        <v>2012</v>
      </c>
      <c r="B77" s="6" t="str">
        <f>IFERROR(__xludf.DUMMYFUNCTION("""COMPUTED_VALUE"""),"Fevereiro")</f>
        <v>Fevereiro</v>
      </c>
      <c r="C77" s="6" t="str">
        <f>IFERROR(__xludf.DUMMYFUNCTION("""COMPUTED_VALUE"""),"CALÚNIA - DIFAMAÇÃO - INJÚRIA")</f>
        <v>CALÚNIA - DIFAMAÇÃO - INJÚRIA</v>
      </c>
      <c r="D77" s="6">
        <f>IFERROR(__xludf.DUMMYFUNCTION("""COMPUTED_VALUE"""),243.0)</f>
        <v>243</v>
      </c>
      <c r="E77" s="6">
        <f>IFERROR(__xludf.DUMMYFUNCTION("""COMPUTED_VALUE"""),196.0)</f>
        <v>196</v>
      </c>
      <c r="F77" s="6">
        <f>IFERROR(__xludf.DUMMYFUNCTION("""COMPUTED_VALUE"""),1044.0)</f>
        <v>1044</v>
      </c>
      <c r="G77" s="6">
        <f>IFERROR(__xludf.DUMMYFUNCTION("""COMPUTED_VALUE"""),1483.0)</f>
        <v>1483</v>
      </c>
    </row>
    <row r="78">
      <c r="A78" s="6">
        <f>IFERROR(__xludf.DUMMYFUNCTION("""COMPUTED_VALUE"""),2012.0)</f>
        <v>2012</v>
      </c>
      <c r="B78" s="6" t="str">
        <f>IFERROR(__xludf.DUMMYFUNCTION("""COMPUTED_VALUE"""),"Fevereiro")</f>
        <v>Fevereiro</v>
      </c>
      <c r="C78" s="6" t="str">
        <f>IFERROR(__xludf.DUMMYFUNCTION("""COMPUTED_VALUE"""),"CONSTRANGIMENTO ILEGAL")</f>
        <v>CONSTRANGIMENTO ILEGAL</v>
      </c>
      <c r="D78" s="6">
        <f>IFERROR(__xludf.DUMMYFUNCTION("""COMPUTED_VALUE"""),1.0)</f>
        <v>1</v>
      </c>
      <c r="E78" s="6">
        <f>IFERROR(__xludf.DUMMYFUNCTION("""COMPUTED_VALUE"""),3.0)</f>
        <v>3</v>
      </c>
      <c r="F78" s="6">
        <f>IFERROR(__xludf.DUMMYFUNCTION("""COMPUTED_VALUE"""),12.0)</f>
        <v>12</v>
      </c>
      <c r="G78" s="6">
        <f>IFERROR(__xludf.DUMMYFUNCTION("""COMPUTED_VALUE"""),16.0)</f>
        <v>16</v>
      </c>
    </row>
    <row r="79">
      <c r="A79" s="6">
        <f>IFERROR(__xludf.DUMMYFUNCTION("""COMPUTED_VALUE"""),2012.0)</f>
        <v>2012</v>
      </c>
      <c r="B79" s="6" t="str">
        <f>IFERROR(__xludf.DUMMYFUNCTION("""COMPUTED_VALUE"""),"Fevereiro")</f>
        <v>Fevereiro</v>
      </c>
      <c r="C79" s="6" t="str">
        <f>IFERROR(__xludf.DUMMYFUNCTION("""COMPUTED_VALUE"""),"AMEAÇA")</f>
        <v>AMEAÇA</v>
      </c>
      <c r="D79" s="6">
        <f>IFERROR(__xludf.DUMMYFUNCTION("""COMPUTED_VALUE"""),1146.0)</f>
        <v>1146</v>
      </c>
      <c r="E79" s="6">
        <f>IFERROR(__xludf.DUMMYFUNCTION("""COMPUTED_VALUE"""),1056.0)</f>
        <v>1056</v>
      </c>
      <c r="F79" s="6">
        <f>IFERROR(__xludf.DUMMYFUNCTION("""COMPUTED_VALUE"""),3918.0)</f>
        <v>3918</v>
      </c>
      <c r="G79" s="6">
        <f>IFERROR(__xludf.DUMMYFUNCTION("""COMPUTED_VALUE"""),6120.0)</f>
        <v>6120</v>
      </c>
    </row>
    <row r="80">
      <c r="A80" s="6">
        <f>IFERROR(__xludf.DUMMYFUNCTION("""COMPUTED_VALUE"""),2012.0)</f>
        <v>2012</v>
      </c>
      <c r="B80" s="6" t="str">
        <f>IFERROR(__xludf.DUMMYFUNCTION("""COMPUTED_VALUE"""),"Fevereiro")</f>
        <v>Fevereiro</v>
      </c>
      <c r="C80" s="6" t="str">
        <f>IFERROR(__xludf.DUMMYFUNCTION("""COMPUTED_VALUE"""),"INVASÃO DE DOMICÍLIO")</f>
        <v>INVASÃO DE DOMICÍLIO</v>
      </c>
      <c r="D80" s="6">
        <f>IFERROR(__xludf.DUMMYFUNCTION("""COMPUTED_VALUE"""),3.0)</f>
        <v>3</v>
      </c>
      <c r="E80" s="6">
        <f>IFERROR(__xludf.DUMMYFUNCTION("""COMPUTED_VALUE"""),7.0)</f>
        <v>7</v>
      </c>
      <c r="F80" s="6">
        <f>IFERROR(__xludf.DUMMYFUNCTION("""COMPUTED_VALUE"""),28.0)</f>
        <v>28</v>
      </c>
      <c r="G80" s="6">
        <f>IFERROR(__xludf.DUMMYFUNCTION("""COMPUTED_VALUE"""),38.0)</f>
        <v>38</v>
      </c>
    </row>
    <row r="81">
      <c r="A81" s="6">
        <f>IFERROR(__xludf.DUMMYFUNCTION("""COMPUTED_VALUE"""),2012.0)</f>
        <v>2012</v>
      </c>
      <c r="B81" s="6" t="str">
        <f>IFERROR(__xludf.DUMMYFUNCTION("""COMPUTED_VALUE"""),"Fevereiro")</f>
        <v>Fevereiro</v>
      </c>
      <c r="C81" s="6" t="str">
        <f>IFERROR(__xludf.DUMMYFUNCTION("""COMPUTED_VALUE"""),"DANO")</f>
        <v>DANO</v>
      </c>
      <c r="D81" s="6">
        <f>IFERROR(__xludf.DUMMYFUNCTION("""COMPUTED_VALUE"""),11.0)</f>
        <v>11</v>
      </c>
      <c r="E81" s="6">
        <f>IFERROR(__xludf.DUMMYFUNCTION("""COMPUTED_VALUE"""),24.0)</f>
        <v>24</v>
      </c>
      <c r="F81" s="6">
        <f>IFERROR(__xludf.DUMMYFUNCTION("""COMPUTED_VALUE"""),99.0)</f>
        <v>99</v>
      </c>
      <c r="G81" s="6">
        <f>IFERROR(__xludf.DUMMYFUNCTION("""COMPUTED_VALUE"""),134.0)</f>
        <v>134</v>
      </c>
    </row>
    <row r="82">
      <c r="A82" s="6">
        <f>IFERROR(__xludf.DUMMYFUNCTION("""COMPUTED_VALUE"""),2012.0)</f>
        <v>2012</v>
      </c>
      <c r="B82" s="6" t="str">
        <f>IFERROR(__xludf.DUMMYFUNCTION("""COMPUTED_VALUE"""),"Fevereiro")</f>
        <v>Fevereiro</v>
      </c>
      <c r="C82" s="6" t="str">
        <f>IFERROR(__xludf.DUMMYFUNCTION("""COMPUTED_VALUE"""),"ESTUPRO CONSUMADO")</f>
        <v>ESTUPRO CONSUMADO</v>
      </c>
      <c r="D82" s="6">
        <f>IFERROR(__xludf.DUMMYFUNCTION("""COMPUTED_VALUE"""),16.0)</f>
        <v>16</v>
      </c>
      <c r="E82" s="6">
        <f>IFERROR(__xludf.DUMMYFUNCTION("""COMPUTED_VALUE"""),9.0)</f>
        <v>9</v>
      </c>
      <c r="F82" s="6">
        <f>IFERROR(__xludf.DUMMYFUNCTION("""COMPUTED_VALUE"""),15.0)</f>
        <v>15</v>
      </c>
      <c r="G82" s="6">
        <f>IFERROR(__xludf.DUMMYFUNCTION("""COMPUTED_VALUE"""),40.0)</f>
        <v>40</v>
      </c>
    </row>
    <row r="83">
      <c r="A83" s="6">
        <f>IFERROR(__xludf.DUMMYFUNCTION("""COMPUTED_VALUE"""),2012.0)</f>
        <v>2012</v>
      </c>
      <c r="B83" s="6" t="str">
        <f>IFERROR(__xludf.DUMMYFUNCTION("""COMPUTED_VALUE"""),"Fevereiro")</f>
        <v>Fevereiro</v>
      </c>
      <c r="C83" s="6" t="str">
        <f>IFERROR(__xludf.DUMMYFUNCTION("""COMPUTED_VALUE"""),"ESTUPRO TENTADO")</f>
        <v>ESTUPRO TENTADO</v>
      </c>
      <c r="D83" s="6">
        <f>IFERROR(__xludf.DUMMYFUNCTION("""COMPUTED_VALUE"""),0.0)</f>
        <v>0</v>
      </c>
      <c r="E83" s="6">
        <f>IFERROR(__xludf.DUMMYFUNCTION("""COMPUTED_VALUE"""),0.0)</f>
        <v>0</v>
      </c>
      <c r="F83" s="6">
        <f>IFERROR(__xludf.DUMMYFUNCTION("""COMPUTED_VALUE"""),2.0)</f>
        <v>2</v>
      </c>
      <c r="G83" s="6">
        <f>IFERROR(__xludf.DUMMYFUNCTION("""COMPUTED_VALUE"""),2.0)</f>
        <v>2</v>
      </c>
    </row>
    <row r="84">
      <c r="A84" s="6">
        <f>IFERROR(__xludf.DUMMYFUNCTION("""COMPUTED_VALUE"""),2012.0)</f>
        <v>2012</v>
      </c>
      <c r="B84" s="6" t="str">
        <f>IFERROR(__xludf.DUMMYFUNCTION("""COMPUTED_VALUE"""),"Fevereiro")</f>
        <v>Fevereiro</v>
      </c>
      <c r="C84" s="6" t="str">
        <f>IFERROR(__xludf.DUMMYFUNCTION("""COMPUTED_VALUE"""),"ESTUPRO DE VULNERÁVEL CONSUMADO")</f>
        <v>ESTUPRO DE VULNERÁVEL CONSUMADO</v>
      </c>
      <c r="D84" s="6">
        <f>IFERROR(__xludf.DUMMYFUNCTION("""COMPUTED_VALUE"""),6.0)</f>
        <v>6</v>
      </c>
      <c r="E84" s="6">
        <f>IFERROR(__xludf.DUMMYFUNCTION("""COMPUTED_VALUE"""),6.0)</f>
        <v>6</v>
      </c>
      <c r="F84" s="6">
        <f>IFERROR(__xludf.DUMMYFUNCTION("""COMPUTED_VALUE"""),17.0)</f>
        <v>17</v>
      </c>
      <c r="G84" s="6">
        <f>IFERROR(__xludf.DUMMYFUNCTION("""COMPUTED_VALUE"""),29.0)</f>
        <v>29</v>
      </c>
    </row>
    <row r="85">
      <c r="A85" s="6">
        <f>IFERROR(__xludf.DUMMYFUNCTION("""COMPUTED_VALUE"""),2012.0)</f>
        <v>2012</v>
      </c>
      <c r="B85" s="6" t="str">
        <f>IFERROR(__xludf.DUMMYFUNCTION("""COMPUTED_VALUE"""),"Fevereiro")</f>
        <v>Fevereiro</v>
      </c>
      <c r="C85" s="6" t="str">
        <f>IFERROR(__xludf.DUMMYFUNCTION("""COMPUTED_VALUE"""),"OUTROS C/C/ DIGNIDADE SEXUAL")</f>
        <v>OUTROS C/C/ DIGNIDADE SEXUAL</v>
      </c>
      <c r="D85" s="6">
        <f>IFERROR(__xludf.DUMMYFUNCTION("""COMPUTED_VALUE"""),3.0)</f>
        <v>3</v>
      </c>
      <c r="E85" s="6">
        <f>IFERROR(__xludf.DUMMYFUNCTION("""COMPUTED_VALUE"""),0.0)</f>
        <v>0</v>
      </c>
      <c r="F85" s="6">
        <f>IFERROR(__xludf.DUMMYFUNCTION("""COMPUTED_VALUE"""),7.0)</f>
        <v>7</v>
      </c>
      <c r="G85" s="6">
        <f>IFERROR(__xludf.DUMMYFUNCTION("""COMPUTED_VALUE"""),10.0)</f>
        <v>10</v>
      </c>
    </row>
    <row r="86">
      <c r="A86" s="6">
        <f>IFERROR(__xludf.DUMMYFUNCTION("""COMPUTED_VALUE"""),2012.0)</f>
        <v>2012</v>
      </c>
      <c r="B86" s="6" t="str">
        <f>IFERROR(__xludf.DUMMYFUNCTION("""COMPUTED_VALUE"""),"Março")</f>
        <v>Março</v>
      </c>
      <c r="C86" s="6" t="str">
        <f>IFERROR(__xludf.DUMMYFUNCTION("""COMPUTED_VALUE"""),"HOMICÍDIO DOLOSO (exclui FEMINICÍDIO)")</f>
        <v>HOMICÍDIO DOLOSO (exclui FEMINICÍDIO)</v>
      </c>
      <c r="D86" s="6">
        <f>IFERROR(__xludf.DUMMYFUNCTION("""COMPUTED_VALUE"""),3.0)</f>
        <v>3</v>
      </c>
      <c r="E86" s="6">
        <f>IFERROR(__xludf.DUMMYFUNCTION("""COMPUTED_VALUE"""),3.0)</f>
        <v>3</v>
      </c>
      <c r="F86" s="6">
        <f>IFERROR(__xludf.DUMMYFUNCTION("""COMPUTED_VALUE"""),8.0)</f>
        <v>8</v>
      </c>
      <c r="G86" s="6">
        <f>IFERROR(__xludf.DUMMYFUNCTION("""COMPUTED_VALUE"""),14.0)</f>
        <v>14</v>
      </c>
    </row>
    <row r="87">
      <c r="A87" s="6">
        <f>IFERROR(__xludf.DUMMYFUNCTION("""COMPUTED_VALUE"""),2012.0)</f>
        <v>2012</v>
      </c>
      <c r="B87" s="6" t="str">
        <f>IFERROR(__xludf.DUMMYFUNCTION("""COMPUTED_VALUE"""),"Março")</f>
        <v>Março</v>
      </c>
      <c r="C87" s="6" t="str">
        <f>IFERROR(__xludf.DUMMYFUNCTION("""COMPUTED_VALUE"""),"HOMICÍDIO CULPOSO")</f>
        <v>HOMICÍDIO CULPOSO</v>
      </c>
      <c r="D87" s="6">
        <f>IFERROR(__xludf.DUMMYFUNCTION("""COMPUTED_VALUE"""),0.0)</f>
        <v>0</v>
      </c>
      <c r="E87" s="6">
        <f>IFERROR(__xludf.DUMMYFUNCTION("""COMPUTED_VALUE"""),0.0)</f>
        <v>0</v>
      </c>
      <c r="F87" s="6">
        <f>IFERROR(__xludf.DUMMYFUNCTION("""COMPUTED_VALUE"""),0.0)</f>
        <v>0</v>
      </c>
      <c r="G87" s="6">
        <f>IFERROR(__xludf.DUMMYFUNCTION("""COMPUTED_VALUE"""),0.0)</f>
        <v>0</v>
      </c>
    </row>
    <row r="88">
      <c r="A88" s="6">
        <f>IFERROR(__xludf.DUMMYFUNCTION("""COMPUTED_VALUE"""),2012.0)</f>
        <v>2012</v>
      </c>
      <c r="B88" s="6" t="str">
        <f>IFERROR(__xludf.DUMMYFUNCTION("""COMPUTED_VALUE"""),"Março")</f>
        <v>Março</v>
      </c>
      <c r="C88" s="6" t="str">
        <f>IFERROR(__xludf.DUMMYFUNCTION("""COMPUTED_VALUE"""),"TENTATIVA DE HOMICÍDIO")</f>
        <v>TENTATIVA DE HOMICÍDIO</v>
      </c>
      <c r="D88" s="6">
        <f>IFERROR(__xludf.DUMMYFUNCTION("""COMPUTED_VALUE"""),6.0)</f>
        <v>6</v>
      </c>
      <c r="E88" s="6">
        <f>IFERROR(__xludf.DUMMYFUNCTION("""COMPUTED_VALUE"""),7.0)</f>
        <v>7</v>
      </c>
      <c r="F88" s="6">
        <f>IFERROR(__xludf.DUMMYFUNCTION("""COMPUTED_VALUE"""),21.0)</f>
        <v>21</v>
      </c>
      <c r="G88" s="6">
        <f>IFERROR(__xludf.DUMMYFUNCTION("""COMPUTED_VALUE"""),34.0)</f>
        <v>34</v>
      </c>
    </row>
    <row r="89">
      <c r="A89" s="6">
        <f>IFERROR(__xludf.DUMMYFUNCTION("""COMPUTED_VALUE"""),2012.0)</f>
        <v>2012</v>
      </c>
      <c r="B89" s="6" t="str">
        <f>IFERROR(__xludf.DUMMYFUNCTION("""COMPUTED_VALUE"""),"Março")</f>
        <v>Março</v>
      </c>
      <c r="C89" s="6" t="str">
        <f>IFERROR(__xludf.DUMMYFUNCTION("""COMPUTED_VALUE"""),"LESÃO CORPORAL DOLOSA")</f>
        <v>LESÃO CORPORAL DOLOSA</v>
      </c>
      <c r="D89" s="6">
        <f>IFERROR(__xludf.DUMMYFUNCTION("""COMPUTED_VALUE"""),1441.0)</f>
        <v>1441</v>
      </c>
      <c r="E89" s="6">
        <f>IFERROR(__xludf.DUMMYFUNCTION("""COMPUTED_VALUE"""),1259.0)</f>
        <v>1259</v>
      </c>
      <c r="F89" s="6">
        <f>IFERROR(__xludf.DUMMYFUNCTION("""COMPUTED_VALUE"""),4252.0)</f>
        <v>4252</v>
      </c>
      <c r="G89" s="6">
        <f>IFERROR(__xludf.DUMMYFUNCTION("""COMPUTED_VALUE"""),6952.0)</f>
        <v>6952</v>
      </c>
    </row>
    <row r="90">
      <c r="A90" s="6">
        <f>IFERROR(__xludf.DUMMYFUNCTION("""COMPUTED_VALUE"""),2012.0)</f>
        <v>2012</v>
      </c>
      <c r="B90" s="6" t="str">
        <f>IFERROR(__xludf.DUMMYFUNCTION("""COMPUTED_VALUE"""),"Março")</f>
        <v>Março</v>
      </c>
      <c r="C90" s="6" t="str">
        <f>IFERROR(__xludf.DUMMYFUNCTION("""COMPUTED_VALUE"""),"MAUS TRATOS")</f>
        <v>MAUS TRATOS</v>
      </c>
      <c r="D90" s="6">
        <f>IFERROR(__xludf.DUMMYFUNCTION("""COMPUTED_VALUE"""),10.0)</f>
        <v>10</v>
      </c>
      <c r="E90" s="6">
        <f>IFERROR(__xludf.DUMMYFUNCTION("""COMPUTED_VALUE"""),10.0)</f>
        <v>10</v>
      </c>
      <c r="F90" s="6">
        <f>IFERROR(__xludf.DUMMYFUNCTION("""COMPUTED_VALUE"""),44.0)</f>
        <v>44</v>
      </c>
      <c r="G90" s="6">
        <f>IFERROR(__xludf.DUMMYFUNCTION("""COMPUTED_VALUE"""),64.0)</f>
        <v>64</v>
      </c>
    </row>
    <row r="91">
      <c r="A91" s="6">
        <f>IFERROR(__xludf.DUMMYFUNCTION("""COMPUTED_VALUE"""),2012.0)</f>
        <v>2012</v>
      </c>
      <c r="B91" s="6" t="str">
        <f>IFERROR(__xludf.DUMMYFUNCTION("""COMPUTED_VALUE"""),"Março")</f>
        <v>Março</v>
      </c>
      <c r="C91" s="6" t="str">
        <f>IFERROR(__xludf.DUMMYFUNCTION("""COMPUTED_VALUE"""),"CALÚNIA - DIFAMAÇÃO - INJÚRIA")</f>
        <v>CALÚNIA - DIFAMAÇÃO - INJÚRIA</v>
      </c>
      <c r="D91" s="6">
        <f>IFERROR(__xludf.DUMMYFUNCTION("""COMPUTED_VALUE"""),277.0)</f>
        <v>277</v>
      </c>
      <c r="E91" s="6">
        <f>IFERROR(__xludf.DUMMYFUNCTION("""COMPUTED_VALUE"""),200.0)</f>
        <v>200</v>
      </c>
      <c r="F91" s="6">
        <f>IFERROR(__xludf.DUMMYFUNCTION("""COMPUTED_VALUE"""),1121.0)</f>
        <v>1121</v>
      </c>
      <c r="G91" s="6">
        <f>IFERROR(__xludf.DUMMYFUNCTION("""COMPUTED_VALUE"""),1598.0)</f>
        <v>1598</v>
      </c>
    </row>
    <row r="92">
      <c r="A92" s="6">
        <f>IFERROR(__xludf.DUMMYFUNCTION("""COMPUTED_VALUE"""),2012.0)</f>
        <v>2012</v>
      </c>
      <c r="B92" s="6" t="str">
        <f>IFERROR(__xludf.DUMMYFUNCTION("""COMPUTED_VALUE"""),"Março")</f>
        <v>Março</v>
      </c>
      <c r="C92" s="6" t="str">
        <f>IFERROR(__xludf.DUMMYFUNCTION("""COMPUTED_VALUE"""),"CONSTRANGIMENTO ILEGAL")</f>
        <v>CONSTRANGIMENTO ILEGAL</v>
      </c>
      <c r="D92" s="6">
        <f>IFERROR(__xludf.DUMMYFUNCTION("""COMPUTED_VALUE"""),1.0)</f>
        <v>1</v>
      </c>
      <c r="E92" s="6">
        <f>IFERROR(__xludf.DUMMYFUNCTION("""COMPUTED_VALUE"""),2.0)</f>
        <v>2</v>
      </c>
      <c r="F92" s="6">
        <f>IFERROR(__xludf.DUMMYFUNCTION("""COMPUTED_VALUE"""),21.0)</f>
        <v>21</v>
      </c>
      <c r="G92" s="6">
        <f>IFERROR(__xludf.DUMMYFUNCTION("""COMPUTED_VALUE"""),24.0)</f>
        <v>24</v>
      </c>
    </row>
    <row r="93">
      <c r="A93" s="6">
        <f>IFERROR(__xludf.DUMMYFUNCTION("""COMPUTED_VALUE"""),2012.0)</f>
        <v>2012</v>
      </c>
      <c r="B93" s="6" t="str">
        <f>IFERROR(__xludf.DUMMYFUNCTION("""COMPUTED_VALUE"""),"Março")</f>
        <v>Março</v>
      </c>
      <c r="C93" s="6" t="str">
        <f>IFERROR(__xludf.DUMMYFUNCTION("""COMPUTED_VALUE"""),"AMEAÇA")</f>
        <v>AMEAÇA</v>
      </c>
      <c r="D93" s="6">
        <f>IFERROR(__xludf.DUMMYFUNCTION("""COMPUTED_VALUE"""),1243.0)</f>
        <v>1243</v>
      </c>
      <c r="E93" s="6">
        <f>IFERROR(__xludf.DUMMYFUNCTION("""COMPUTED_VALUE"""),1092.0)</f>
        <v>1092</v>
      </c>
      <c r="F93" s="6">
        <f>IFERROR(__xludf.DUMMYFUNCTION("""COMPUTED_VALUE"""),4172.0)</f>
        <v>4172</v>
      </c>
      <c r="G93" s="6">
        <f>IFERROR(__xludf.DUMMYFUNCTION("""COMPUTED_VALUE"""),6507.0)</f>
        <v>6507</v>
      </c>
    </row>
    <row r="94">
      <c r="A94" s="6">
        <f>IFERROR(__xludf.DUMMYFUNCTION("""COMPUTED_VALUE"""),2012.0)</f>
        <v>2012</v>
      </c>
      <c r="B94" s="6" t="str">
        <f>IFERROR(__xludf.DUMMYFUNCTION("""COMPUTED_VALUE"""),"Março")</f>
        <v>Março</v>
      </c>
      <c r="C94" s="6" t="str">
        <f>IFERROR(__xludf.DUMMYFUNCTION("""COMPUTED_VALUE"""),"INVASÃO DE DOMICÍLIO")</f>
        <v>INVASÃO DE DOMICÍLIO</v>
      </c>
      <c r="D94" s="6">
        <f>IFERROR(__xludf.DUMMYFUNCTION("""COMPUTED_VALUE"""),3.0)</f>
        <v>3</v>
      </c>
      <c r="E94" s="6">
        <f>IFERROR(__xludf.DUMMYFUNCTION("""COMPUTED_VALUE"""),2.0)</f>
        <v>2</v>
      </c>
      <c r="F94" s="6">
        <f>IFERROR(__xludf.DUMMYFUNCTION("""COMPUTED_VALUE"""),26.0)</f>
        <v>26</v>
      </c>
      <c r="G94" s="6">
        <f>IFERROR(__xludf.DUMMYFUNCTION("""COMPUTED_VALUE"""),31.0)</f>
        <v>31</v>
      </c>
    </row>
    <row r="95">
      <c r="A95" s="6">
        <f>IFERROR(__xludf.DUMMYFUNCTION("""COMPUTED_VALUE"""),2012.0)</f>
        <v>2012</v>
      </c>
      <c r="B95" s="6" t="str">
        <f>IFERROR(__xludf.DUMMYFUNCTION("""COMPUTED_VALUE"""),"Março")</f>
        <v>Março</v>
      </c>
      <c r="C95" s="6" t="str">
        <f>IFERROR(__xludf.DUMMYFUNCTION("""COMPUTED_VALUE"""),"DANO")</f>
        <v>DANO</v>
      </c>
      <c r="D95" s="6">
        <f>IFERROR(__xludf.DUMMYFUNCTION("""COMPUTED_VALUE"""),8.0)</f>
        <v>8</v>
      </c>
      <c r="E95" s="6">
        <f>IFERROR(__xludf.DUMMYFUNCTION("""COMPUTED_VALUE"""),15.0)</f>
        <v>15</v>
      </c>
      <c r="F95" s="6">
        <f>IFERROR(__xludf.DUMMYFUNCTION("""COMPUTED_VALUE"""),86.0)</f>
        <v>86</v>
      </c>
      <c r="G95" s="6">
        <f>IFERROR(__xludf.DUMMYFUNCTION("""COMPUTED_VALUE"""),109.0)</f>
        <v>109</v>
      </c>
    </row>
    <row r="96">
      <c r="A96" s="6">
        <f>IFERROR(__xludf.DUMMYFUNCTION("""COMPUTED_VALUE"""),2012.0)</f>
        <v>2012</v>
      </c>
      <c r="B96" s="6" t="str">
        <f>IFERROR(__xludf.DUMMYFUNCTION("""COMPUTED_VALUE"""),"Março")</f>
        <v>Março</v>
      </c>
      <c r="C96" s="6" t="str">
        <f>IFERROR(__xludf.DUMMYFUNCTION("""COMPUTED_VALUE"""),"ESTUPRO CONSUMADO")</f>
        <v>ESTUPRO CONSUMADO</v>
      </c>
      <c r="D96" s="6">
        <f>IFERROR(__xludf.DUMMYFUNCTION("""COMPUTED_VALUE"""),14.0)</f>
        <v>14</v>
      </c>
      <c r="E96" s="6">
        <f>IFERROR(__xludf.DUMMYFUNCTION("""COMPUTED_VALUE"""),14.0)</f>
        <v>14</v>
      </c>
      <c r="F96" s="6">
        <f>IFERROR(__xludf.DUMMYFUNCTION("""COMPUTED_VALUE"""),24.0)</f>
        <v>24</v>
      </c>
      <c r="G96" s="6">
        <f>IFERROR(__xludf.DUMMYFUNCTION("""COMPUTED_VALUE"""),52.0)</f>
        <v>52</v>
      </c>
    </row>
    <row r="97">
      <c r="A97" s="6">
        <f>IFERROR(__xludf.DUMMYFUNCTION("""COMPUTED_VALUE"""),2012.0)</f>
        <v>2012</v>
      </c>
      <c r="B97" s="6" t="str">
        <f>IFERROR(__xludf.DUMMYFUNCTION("""COMPUTED_VALUE"""),"Março")</f>
        <v>Março</v>
      </c>
      <c r="C97" s="6" t="str">
        <f>IFERROR(__xludf.DUMMYFUNCTION("""COMPUTED_VALUE"""),"ESTUPRO TENTADO")</f>
        <v>ESTUPRO TENTADO</v>
      </c>
      <c r="D97" s="6">
        <f>IFERROR(__xludf.DUMMYFUNCTION("""COMPUTED_VALUE"""),1.0)</f>
        <v>1</v>
      </c>
      <c r="E97" s="6">
        <f>IFERROR(__xludf.DUMMYFUNCTION("""COMPUTED_VALUE"""),1.0)</f>
        <v>1</v>
      </c>
      <c r="F97" s="6">
        <f>IFERROR(__xludf.DUMMYFUNCTION("""COMPUTED_VALUE"""),3.0)</f>
        <v>3</v>
      </c>
      <c r="G97" s="6">
        <f>IFERROR(__xludf.DUMMYFUNCTION("""COMPUTED_VALUE"""),5.0)</f>
        <v>5</v>
      </c>
    </row>
    <row r="98">
      <c r="A98" s="6">
        <f>IFERROR(__xludf.DUMMYFUNCTION("""COMPUTED_VALUE"""),2012.0)</f>
        <v>2012</v>
      </c>
      <c r="B98" s="6" t="str">
        <f>IFERROR(__xludf.DUMMYFUNCTION("""COMPUTED_VALUE"""),"Março")</f>
        <v>Março</v>
      </c>
      <c r="C98" s="6" t="str">
        <f>IFERROR(__xludf.DUMMYFUNCTION("""COMPUTED_VALUE"""),"ESTUPRO DE VULNERÁVEL CONSUMADO")</f>
        <v>ESTUPRO DE VULNERÁVEL CONSUMADO</v>
      </c>
      <c r="D98" s="6">
        <f>IFERROR(__xludf.DUMMYFUNCTION("""COMPUTED_VALUE"""),8.0)</f>
        <v>8</v>
      </c>
      <c r="E98" s="6">
        <f>IFERROR(__xludf.DUMMYFUNCTION("""COMPUTED_VALUE"""),5.0)</f>
        <v>5</v>
      </c>
      <c r="F98" s="6">
        <f>IFERROR(__xludf.DUMMYFUNCTION("""COMPUTED_VALUE"""),29.0)</f>
        <v>29</v>
      </c>
      <c r="G98" s="6">
        <f>IFERROR(__xludf.DUMMYFUNCTION("""COMPUTED_VALUE"""),42.0)</f>
        <v>42</v>
      </c>
    </row>
    <row r="99">
      <c r="A99" s="6">
        <f>IFERROR(__xludf.DUMMYFUNCTION("""COMPUTED_VALUE"""),2012.0)</f>
        <v>2012</v>
      </c>
      <c r="B99" s="6" t="str">
        <f>IFERROR(__xludf.DUMMYFUNCTION("""COMPUTED_VALUE"""),"Março")</f>
        <v>Março</v>
      </c>
      <c r="C99" s="6" t="str">
        <f>IFERROR(__xludf.DUMMYFUNCTION("""COMPUTED_VALUE"""),"OUTROS C/C/ DIGNIDADE SEXUAL")</f>
        <v>OUTROS C/C/ DIGNIDADE SEXUAL</v>
      </c>
      <c r="D99" s="6">
        <f>IFERROR(__xludf.DUMMYFUNCTION("""COMPUTED_VALUE"""),2.0)</f>
        <v>2</v>
      </c>
      <c r="E99" s="6">
        <f>IFERROR(__xludf.DUMMYFUNCTION("""COMPUTED_VALUE"""),0.0)</f>
        <v>0</v>
      </c>
      <c r="F99" s="6">
        <f>IFERROR(__xludf.DUMMYFUNCTION("""COMPUTED_VALUE"""),11.0)</f>
        <v>11</v>
      </c>
      <c r="G99" s="6">
        <f>IFERROR(__xludf.DUMMYFUNCTION("""COMPUTED_VALUE"""),13.0)</f>
        <v>13</v>
      </c>
    </row>
    <row r="100">
      <c r="A100" s="6">
        <f>IFERROR(__xludf.DUMMYFUNCTION("""COMPUTED_VALUE"""),2012.0)</f>
        <v>2012</v>
      </c>
      <c r="B100" s="6" t="str">
        <f>IFERROR(__xludf.DUMMYFUNCTION("""COMPUTED_VALUE"""),"Abril")</f>
        <v>Abril</v>
      </c>
      <c r="C100" s="6" t="str">
        <f>IFERROR(__xludf.DUMMYFUNCTION("""COMPUTED_VALUE"""),"HOMICÍDIO DOLOSO (exclui FEMINICÍDIO)")</f>
        <v>HOMICÍDIO DOLOSO (exclui FEMINICÍDIO)</v>
      </c>
      <c r="D100" s="6">
        <f>IFERROR(__xludf.DUMMYFUNCTION("""COMPUTED_VALUE"""),0.0)</f>
        <v>0</v>
      </c>
      <c r="E100" s="6">
        <f>IFERROR(__xludf.DUMMYFUNCTION("""COMPUTED_VALUE"""),3.0)</f>
        <v>3</v>
      </c>
      <c r="F100" s="6">
        <f>IFERROR(__xludf.DUMMYFUNCTION("""COMPUTED_VALUE"""),11.0)</f>
        <v>11</v>
      </c>
      <c r="G100" s="6">
        <f>IFERROR(__xludf.DUMMYFUNCTION("""COMPUTED_VALUE"""),14.0)</f>
        <v>14</v>
      </c>
    </row>
    <row r="101">
      <c r="A101" s="6">
        <f>IFERROR(__xludf.DUMMYFUNCTION("""COMPUTED_VALUE"""),2012.0)</f>
        <v>2012</v>
      </c>
      <c r="B101" s="6" t="str">
        <f>IFERROR(__xludf.DUMMYFUNCTION("""COMPUTED_VALUE"""),"Abril")</f>
        <v>Abril</v>
      </c>
      <c r="C101" s="6" t="str">
        <f>IFERROR(__xludf.DUMMYFUNCTION("""COMPUTED_VALUE"""),"HOMICÍDIO CULPOSO")</f>
        <v>HOMICÍDIO CULPOSO</v>
      </c>
      <c r="D101" s="6">
        <f>IFERROR(__xludf.DUMMYFUNCTION("""COMPUTED_VALUE"""),0.0)</f>
        <v>0</v>
      </c>
      <c r="E101" s="6">
        <f>IFERROR(__xludf.DUMMYFUNCTION("""COMPUTED_VALUE"""),0.0)</f>
        <v>0</v>
      </c>
      <c r="F101" s="6">
        <f>IFERROR(__xludf.DUMMYFUNCTION("""COMPUTED_VALUE"""),0.0)</f>
        <v>0</v>
      </c>
      <c r="G101" s="6">
        <f>IFERROR(__xludf.DUMMYFUNCTION("""COMPUTED_VALUE"""),0.0)</f>
        <v>0</v>
      </c>
    </row>
    <row r="102">
      <c r="A102" s="6">
        <f>IFERROR(__xludf.DUMMYFUNCTION("""COMPUTED_VALUE"""),2012.0)</f>
        <v>2012</v>
      </c>
      <c r="B102" s="6" t="str">
        <f>IFERROR(__xludf.DUMMYFUNCTION("""COMPUTED_VALUE"""),"Abril")</f>
        <v>Abril</v>
      </c>
      <c r="C102" s="6" t="str">
        <f>IFERROR(__xludf.DUMMYFUNCTION("""COMPUTED_VALUE"""),"TENTATIVA DE HOMICÍDIO")</f>
        <v>TENTATIVA DE HOMICÍDIO</v>
      </c>
      <c r="D102" s="6">
        <f>IFERROR(__xludf.DUMMYFUNCTION("""COMPUTED_VALUE"""),3.0)</f>
        <v>3</v>
      </c>
      <c r="E102" s="6">
        <f>IFERROR(__xludf.DUMMYFUNCTION("""COMPUTED_VALUE"""),3.0)</f>
        <v>3</v>
      </c>
      <c r="F102" s="6">
        <f>IFERROR(__xludf.DUMMYFUNCTION("""COMPUTED_VALUE"""),13.0)</f>
        <v>13</v>
      </c>
      <c r="G102" s="6">
        <f>IFERROR(__xludf.DUMMYFUNCTION("""COMPUTED_VALUE"""),19.0)</f>
        <v>19</v>
      </c>
    </row>
    <row r="103">
      <c r="A103" s="6">
        <f>IFERROR(__xludf.DUMMYFUNCTION("""COMPUTED_VALUE"""),2012.0)</f>
        <v>2012</v>
      </c>
      <c r="B103" s="6" t="str">
        <f>IFERROR(__xludf.DUMMYFUNCTION("""COMPUTED_VALUE"""),"Abril")</f>
        <v>Abril</v>
      </c>
      <c r="C103" s="6" t="str">
        <f>IFERROR(__xludf.DUMMYFUNCTION("""COMPUTED_VALUE"""),"LESÃO CORPORAL DOLOSA")</f>
        <v>LESÃO CORPORAL DOLOSA</v>
      </c>
      <c r="D103" s="6">
        <f>IFERROR(__xludf.DUMMYFUNCTION("""COMPUTED_VALUE"""),1358.0)</f>
        <v>1358</v>
      </c>
      <c r="E103" s="6">
        <f>IFERROR(__xludf.DUMMYFUNCTION("""COMPUTED_VALUE"""),1139.0)</f>
        <v>1139</v>
      </c>
      <c r="F103" s="6">
        <f>IFERROR(__xludf.DUMMYFUNCTION("""COMPUTED_VALUE"""),4004.0)</f>
        <v>4004</v>
      </c>
      <c r="G103" s="6">
        <f>IFERROR(__xludf.DUMMYFUNCTION("""COMPUTED_VALUE"""),6501.0)</f>
        <v>6501</v>
      </c>
    </row>
    <row r="104">
      <c r="A104" s="6">
        <f>IFERROR(__xludf.DUMMYFUNCTION("""COMPUTED_VALUE"""),2012.0)</f>
        <v>2012</v>
      </c>
      <c r="B104" s="6" t="str">
        <f>IFERROR(__xludf.DUMMYFUNCTION("""COMPUTED_VALUE"""),"Abril")</f>
        <v>Abril</v>
      </c>
      <c r="C104" s="6" t="str">
        <f>IFERROR(__xludf.DUMMYFUNCTION("""COMPUTED_VALUE"""),"MAUS TRATOS")</f>
        <v>MAUS TRATOS</v>
      </c>
      <c r="D104" s="6">
        <f>IFERROR(__xludf.DUMMYFUNCTION("""COMPUTED_VALUE"""),9.0)</f>
        <v>9</v>
      </c>
      <c r="E104" s="6">
        <f>IFERROR(__xludf.DUMMYFUNCTION("""COMPUTED_VALUE"""),5.0)</f>
        <v>5</v>
      </c>
      <c r="F104" s="6">
        <f>IFERROR(__xludf.DUMMYFUNCTION("""COMPUTED_VALUE"""),56.0)</f>
        <v>56</v>
      </c>
      <c r="G104" s="6">
        <f>IFERROR(__xludf.DUMMYFUNCTION("""COMPUTED_VALUE"""),70.0)</f>
        <v>70</v>
      </c>
    </row>
    <row r="105">
      <c r="A105" s="6">
        <f>IFERROR(__xludf.DUMMYFUNCTION("""COMPUTED_VALUE"""),2012.0)</f>
        <v>2012</v>
      </c>
      <c r="B105" s="6" t="str">
        <f>IFERROR(__xludf.DUMMYFUNCTION("""COMPUTED_VALUE"""),"Abril")</f>
        <v>Abril</v>
      </c>
      <c r="C105" s="6" t="str">
        <f>IFERROR(__xludf.DUMMYFUNCTION("""COMPUTED_VALUE"""),"CALÚNIA - DIFAMAÇÃO - INJÚRIA")</f>
        <v>CALÚNIA - DIFAMAÇÃO - INJÚRIA</v>
      </c>
      <c r="D105" s="6">
        <f>IFERROR(__xludf.DUMMYFUNCTION("""COMPUTED_VALUE"""),258.0)</f>
        <v>258</v>
      </c>
      <c r="E105" s="6">
        <f>IFERROR(__xludf.DUMMYFUNCTION("""COMPUTED_VALUE"""),185.0)</f>
        <v>185</v>
      </c>
      <c r="F105" s="6">
        <f>IFERROR(__xludf.DUMMYFUNCTION("""COMPUTED_VALUE"""),969.0)</f>
        <v>969</v>
      </c>
      <c r="G105" s="6">
        <f>IFERROR(__xludf.DUMMYFUNCTION("""COMPUTED_VALUE"""),1412.0)</f>
        <v>1412</v>
      </c>
    </row>
    <row r="106">
      <c r="A106" s="6">
        <f>IFERROR(__xludf.DUMMYFUNCTION("""COMPUTED_VALUE"""),2012.0)</f>
        <v>2012</v>
      </c>
      <c r="B106" s="6" t="str">
        <f>IFERROR(__xludf.DUMMYFUNCTION("""COMPUTED_VALUE"""),"Abril")</f>
        <v>Abril</v>
      </c>
      <c r="C106" s="6" t="str">
        <f>IFERROR(__xludf.DUMMYFUNCTION("""COMPUTED_VALUE"""),"CONSTRANGIMENTO ILEGAL")</f>
        <v>CONSTRANGIMENTO ILEGAL</v>
      </c>
      <c r="D106" s="6">
        <f>IFERROR(__xludf.DUMMYFUNCTION("""COMPUTED_VALUE"""),2.0)</f>
        <v>2</v>
      </c>
      <c r="E106" s="6">
        <f>IFERROR(__xludf.DUMMYFUNCTION("""COMPUTED_VALUE"""),2.0)</f>
        <v>2</v>
      </c>
      <c r="F106" s="6">
        <f>IFERROR(__xludf.DUMMYFUNCTION("""COMPUTED_VALUE"""),20.0)</f>
        <v>20</v>
      </c>
      <c r="G106" s="6">
        <f>IFERROR(__xludf.DUMMYFUNCTION("""COMPUTED_VALUE"""),24.0)</f>
        <v>24</v>
      </c>
    </row>
    <row r="107">
      <c r="A107" s="6">
        <f>IFERROR(__xludf.DUMMYFUNCTION("""COMPUTED_VALUE"""),2012.0)</f>
        <v>2012</v>
      </c>
      <c r="B107" s="6" t="str">
        <f>IFERROR(__xludf.DUMMYFUNCTION("""COMPUTED_VALUE"""),"Abril")</f>
        <v>Abril</v>
      </c>
      <c r="C107" s="6" t="str">
        <f>IFERROR(__xludf.DUMMYFUNCTION("""COMPUTED_VALUE"""),"AMEAÇA")</f>
        <v>AMEAÇA</v>
      </c>
      <c r="D107" s="6">
        <f>IFERROR(__xludf.DUMMYFUNCTION("""COMPUTED_VALUE"""),1147.0)</f>
        <v>1147</v>
      </c>
      <c r="E107" s="6">
        <f>IFERROR(__xludf.DUMMYFUNCTION("""COMPUTED_VALUE"""),1059.0)</f>
        <v>1059</v>
      </c>
      <c r="F107" s="6">
        <f>IFERROR(__xludf.DUMMYFUNCTION("""COMPUTED_VALUE"""),3939.0)</f>
        <v>3939</v>
      </c>
      <c r="G107" s="6">
        <f>IFERROR(__xludf.DUMMYFUNCTION("""COMPUTED_VALUE"""),6145.0)</f>
        <v>6145</v>
      </c>
    </row>
    <row r="108">
      <c r="A108" s="6">
        <f>IFERROR(__xludf.DUMMYFUNCTION("""COMPUTED_VALUE"""),2012.0)</f>
        <v>2012</v>
      </c>
      <c r="B108" s="6" t="str">
        <f>IFERROR(__xludf.DUMMYFUNCTION("""COMPUTED_VALUE"""),"Abril")</f>
        <v>Abril</v>
      </c>
      <c r="C108" s="6" t="str">
        <f>IFERROR(__xludf.DUMMYFUNCTION("""COMPUTED_VALUE"""),"INVASÃO DE DOMICÍLIO")</f>
        <v>INVASÃO DE DOMICÍLIO</v>
      </c>
      <c r="D108" s="6">
        <f>IFERROR(__xludf.DUMMYFUNCTION("""COMPUTED_VALUE"""),3.0)</f>
        <v>3</v>
      </c>
      <c r="E108" s="6">
        <f>IFERROR(__xludf.DUMMYFUNCTION("""COMPUTED_VALUE"""),7.0)</f>
        <v>7</v>
      </c>
      <c r="F108" s="6">
        <f>IFERROR(__xludf.DUMMYFUNCTION("""COMPUTED_VALUE"""),25.0)</f>
        <v>25</v>
      </c>
      <c r="G108" s="6">
        <f>IFERROR(__xludf.DUMMYFUNCTION("""COMPUTED_VALUE"""),35.0)</f>
        <v>35</v>
      </c>
    </row>
    <row r="109">
      <c r="A109" s="6">
        <f>IFERROR(__xludf.DUMMYFUNCTION("""COMPUTED_VALUE"""),2012.0)</f>
        <v>2012</v>
      </c>
      <c r="B109" s="6" t="str">
        <f>IFERROR(__xludf.DUMMYFUNCTION("""COMPUTED_VALUE"""),"Abril")</f>
        <v>Abril</v>
      </c>
      <c r="C109" s="6" t="str">
        <f>IFERROR(__xludf.DUMMYFUNCTION("""COMPUTED_VALUE"""),"DANO")</f>
        <v>DANO</v>
      </c>
      <c r="D109" s="6">
        <f>IFERROR(__xludf.DUMMYFUNCTION("""COMPUTED_VALUE"""),12.0)</f>
        <v>12</v>
      </c>
      <c r="E109" s="6">
        <f>IFERROR(__xludf.DUMMYFUNCTION("""COMPUTED_VALUE"""),14.0)</f>
        <v>14</v>
      </c>
      <c r="F109" s="6">
        <f>IFERROR(__xludf.DUMMYFUNCTION("""COMPUTED_VALUE"""),79.0)</f>
        <v>79</v>
      </c>
      <c r="G109" s="6">
        <f>IFERROR(__xludf.DUMMYFUNCTION("""COMPUTED_VALUE"""),105.0)</f>
        <v>105</v>
      </c>
    </row>
    <row r="110">
      <c r="A110" s="6">
        <f>IFERROR(__xludf.DUMMYFUNCTION("""COMPUTED_VALUE"""),2012.0)</f>
        <v>2012</v>
      </c>
      <c r="B110" s="6" t="str">
        <f>IFERROR(__xludf.DUMMYFUNCTION("""COMPUTED_VALUE"""),"Abril")</f>
        <v>Abril</v>
      </c>
      <c r="C110" s="6" t="str">
        <f>IFERROR(__xludf.DUMMYFUNCTION("""COMPUTED_VALUE"""),"ESTUPRO CONSUMADO")</f>
        <v>ESTUPRO CONSUMADO</v>
      </c>
      <c r="D110" s="6">
        <f>IFERROR(__xludf.DUMMYFUNCTION("""COMPUTED_VALUE"""),13.0)</f>
        <v>13</v>
      </c>
      <c r="E110" s="6">
        <f>IFERROR(__xludf.DUMMYFUNCTION("""COMPUTED_VALUE"""),10.0)</f>
        <v>10</v>
      </c>
      <c r="F110" s="6">
        <f>IFERROR(__xludf.DUMMYFUNCTION("""COMPUTED_VALUE"""),25.0)</f>
        <v>25</v>
      </c>
      <c r="G110" s="6">
        <f>IFERROR(__xludf.DUMMYFUNCTION("""COMPUTED_VALUE"""),48.0)</f>
        <v>48</v>
      </c>
    </row>
    <row r="111">
      <c r="A111" s="6">
        <f>IFERROR(__xludf.DUMMYFUNCTION("""COMPUTED_VALUE"""),2012.0)</f>
        <v>2012</v>
      </c>
      <c r="B111" s="6" t="str">
        <f>IFERROR(__xludf.DUMMYFUNCTION("""COMPUTED_VALUE"""),"Abril")</f>
        <v>Abril</v>
      </c>
      <c r="C111" s="6" t="str">
        <f>IFERROR(__xludf.DUMMYFUNCTION("""COMPUTED_VALUE"""),"ESTUPRO TENTADO")</f>
        <v>ESTUPRO TENTADO</v>
      </c>
      <c r="D111" s="6">
        <f>IFERROR(__xludf.DUMMYFUNCTION("""COMPUTED_VALUE"""),1.0)</f>
        <v>1</v>
      </c>
      <c r="E111" s="6">
        <f>IFERROR(__xludf.DUMMYFUNCTION("""COMPUTED_VALUE"""),0.0)</f>
        <v>0</v>
      </c>
      <c r="F111" s="6">
        <f>IFERROR(__xludf.DUMMYFUNCTION("""COMPUTED_VALUE"""),1.0)</f>
        <v>1</v>
      </c>
      <c r="G111" s="6">
        <f>IFERROR(__xludf.DUMMYFUNCTION("""COMPUTED_VALUE"""),2.0)</f>
        <v>2</v>
      </c>
    </row>
    <row r="112">
      <c r="A112" s="6">
        <f>IFERROR(__xludf.DUMMYFUNCTION("""COMPUTED_VALUE"""),2012.0)</f>
        <v>2012</v>
      </c>
      <c r="B112" s="6" t="str">
        <f>IFERROR(__xludf.DUMMYFUNCTION("""COMPUTED_VALUE"""),"Abril")</f>
        <v>Abril</v>
      </c>
      <c r="C112" s="6" t="str">
        <f>IFERROR(__xludf.DUMMYFUNCTION("""COMPUTED_VALUE"""),"ESTUPRO DE VULNERÁVEL CONSUMADO")</f>
        <v>ESTUPRO DE VULNERÁVEL CONSUMADO</v>
      </c>
      <c r="D112" s="6">
        <f>IFERROR(__xludf.DUMMYFUNCTION("""COMPUTED_VALUE"""),4.0)</f>
        <v>4</v>
      </c>
      <c r="E112" s="6">
        <f>IFERROR(__xludf.DUMMYFUNCTION("""COMPUTED_VALUE"""),7.0)</f>
        <v>7</v>
      </c>
      <c r="F112" s="6">
        <f>IFERROR(__xludf.DUMMYFUNCTION("""COMPUTED_VALUE"""),30.0)</f>
        <v>30</v>
      </c>
      <c r="G112" s="6">
        <f>IFERROR(__xludf.DUMMYFUNCTION("""COMPUTED_VALUE"""),41.0)</f>
        <v>41</v>
      </c>
    </row>
    <row r="113">
      <c r="A113" s="6">
        <f>IFERROR(__xludf.DUMMYFUNCTION("""COMPUTED_VALUE"""),2012.0)</f>
        <v>2012</v>
      </c>
      <c r="B113" s="6" t="str">
        <f>IFERROR(__xludf.DUMMYFUNCTION("""COMPUTED_VALUE"""),"Abril")</f>
        <v>Abril</v>
      </c>
      <c r="C113" s="6" t="str">
        <f>IFERROR(__xludf.DUMMYFUNCTION("""COMPUTED_VALUE"""),"OUTROS C/C/ DIGNIDADE SEXUAL")</f>
        <v>OUTROS C/C/ DIGNIDADE SEXUAL</v>
      </c>
      <c r="D113" s="6">
        <f>IFERROR(__xludf.DUMMYFUNCTION("""COMPUTED_VALUE"""),2.0)</f>
        <v>2</v>
      </c>
      <c r="E113" s="6">
        <f>IFERROR(__xludf.DUMMYFUNCTION("""COMPUTED_VALUE"""),0.0)</f>
        <v>0</v>
      </c>
      <c r="F113" s="6">
        <f>IFERROR(__xludf.DUMMYFUNCTION("""COMPUTED_VALUE"""),6.0)</f>
        <v>6</v>
      </c>
      <c r="G113" s="6">
        <f>IFERROR(__xludf.DUMMYFUNCTION("""COMPUTED_VALUE"""),8.0)</f>
        <v>8</v>
      </c>
    </row>
    <row r="114">
      <c r="A114" s="6">
        <f>IFERROR(__xludf.DUMMYFUNCTION("""COMPUTED_VALUE"""),2012.0)</f>
        <v>2012</v>
      </c>
      <c r="B114" s="6" t="str">
        <f>IFERROR(__xludf.DUMMYFUNCTION("""COMPUTED_VALUE"""),"Maio")</f>
        <v>Maio</v>
      </c>
      <c r="C114" s="6" t="str">
        <f>IFERROR(__xludf.DUMMYFUNCTION("""COMPUTED_VALUE"""),"HOMICÍDIO DOLOSO (exclui FEMINICÍDIO)")</f>
        <v>HOMICÍDIO DOLOSO (exclui FEMINICÍDIO)</v>
      </c>
      <c r="D114" s="6">
        <f>IFERROR(__xludf.DUMMYFUNCTION("""COMPUTED_VALUE"""),1.0)</f>
        <v>1</v>
      </c>
      <c r="E114" s="6">
        <f>IFERROR(__xludf.DUMMYFUNCTION("""COMPUTED_VALUE"""),3.0)</f>
        <v>3</v>
      </c>
      <c r="F114" s="6">
        <f>IFERROR(__xludf.DUMMYFUNCTION("""COMPUTED_VALUE"""),3.0)</f>
        <v>3</v>
      </c>
      <c r="G114" s="6">
        <f>IFERROR(__xludf.DUMMYFUNCTION("""COMPUTED_VALUE"""),7.0)</f>
        <v>7</v>
      </c>
    </row>
    <row r="115">
      <c r="A115" s="6">
        <f>IFERROR(__xludf.DUMMYFUNCTION("""COMPUTED_VALUE"""),2012.0)</f>
        <v>2012</v>
      </c>
      <c r="B115" s="6" t="str">
        <f>IFERROR(__xludf.DUMMYFUNCTION("""COMPUTED_VALUE"""),"Maio")</f>
        <v>Maio</v>
      </c>
      <c r="C115" s="6" t="str">
        <f>IFERROR(__xludf.DUMMYFUNCTION("""COMPUTED_VALUE"""),"HOMICÍDIO CULPOSO")</f>
        <v>HOMICÍDIO CULPOSO</v>
      </c>
      <c r="D115" s="6">
        <f>IFERROR(__xludf.DUMMYFUNCTION("""COMPUTED_VALUE"""),0.0)</f>
        <v>0</v>
      </c>
      <c r="E115" s="6">
        <f>IFERROR(__xludf.DUMMYFUNCTION("""COMPUTED_VALUE"""),0.0)</f>
        <v>0</v>
      </c>
      <c r="F115" s="6">
        <f>IFERROR(__xludf.DUMMYFUNCTION("""COMPUTED_VALUE"""),0.0)</f>
        <v>0</v>
      </c>
      <c r="G115" s="6">
        <f>IFERROR(__xludf.DUMMYFUNCTION("""COMPUTED_VALUE"""),0.0)</f>
        <v>0</v>
      </c>
    </row>
    <row r="116">
      <c r="A116" s="6">
        <f>IFERROR(__xludf.DUMMYFUNCTION("""COMPUTED_VALUE"""),2012.0)</f>
        <v>2012</v>
      </c>
      <c r="B116" s="6" t="str">
        <f>IFERROR(__xludf.DUMMYFUNCTION("""COMPUTED_VALUE"""),"Maio")</f>
        <v>Maio</v>
      </c>
      <c r="C116" s="6" t="str">
        <f>IFERROR(__xludf.DUMMYFUNCTION("""COMPUTED_VALUE"""),"TENTATIVA DE HOMICÍDIO")</f>
        <v>TENTATIVA DE HOMICÍDIO</v>
      </c>
      <c r="D116" s="6">
        <f>IFERROR(__xludf.DUMMYFUNCTION("""COMPUTED_VALUE"""),1.0)</f>
        <v>1</v>
      </c>
      <c r="E116" s="6">
        <f>IFERROR(__xludf.DUMMYFUNCTION("""COMPUTED_VALUE"""),6.0)</f>
        <v>6</v>
      </c>
      <c r="F116" s="6">
        <f>IFERROR(__xludf.DUMMYFUNCTION("""COMPUTED_VALUE"""),23.0)</f>
        <v>23</v>
      </c>
      <c r="G116" s="6">
        <f>IFERROR(__xludf.DUMMYFUNCTION("""COMPUTED_VALUE"""),30.0)</f>
        <v>30</v>
      </c>
    </row>
    <row r="117">
      <c r="A117" s="6">
        <f>IFERROR(__xludf.DUMMYFUNCTION("""COMPUTED_VALUE"""),2012.0)</f>
        <v>2012</v>
      </c>
      <c r="B117" s="6" t="str">
        <f>IFERROR(__xludf.DUMMYFUNCTION("""COMPUTED_VALUE"""),"Maio")</f>
        <v>Maio</v>
      </c>
      <c r="C117" s="6" t="str">
        <f>IFERROR(__xludf.DUMMYFUNCTION("""COMPUTED_VALUE"""),"LESÃO CORPORAL DOLOSA")</f>
        <v>LESÃO CORPORAL DOLOSA</v>
      </c>
      <c r="D117" s="6">
        <f>IFERROR(__xludf.DUMMYFUNCTION("""COMPUTED_VALUE"""),1184.0)</f>
        <v>1184</v>
      </c>
      <c r="E117" s="6">
        <f>IFERROR(__xludf.DUMMYFUNCTION("""COMPUTED_VALUE"""),1139.0)</f>
        <v>1139</v>
      </c>
      <c r="F117" s="6">
        <f>IFERROR(__xludf.DUMMYFUNCTION("""COMPUTED_VALUE"""),3631.0)</f>
        <v>3631</v>
      </c>
      <c r="G117" s="6">
        <f>IFERROR(__xludf.DUMMYFUNCTION("""COMPUTED_VALUE"""),5954.0)</f>
        <v>5954</v>
      </c>
    </row>
    <row r="118">
      <c r="A118" s="6">
        <f>IFERROR(__xludf.DUMMYFUNCTION("""COMPUTED_VALUE"""),2012.0)</f>
        <v>2012</v>
      </c>
      <c r="B118" s="6" t="str">
        <f>IFERROR(__xludf.DUMMYFUNCTION("""COMPUTED_VALUE"""),"Maio")</f>
        <v>Maio</v>
      </c>
      <c r="C118" s="6" t="str">
        <f>IFERROR(__xludf.DUMMYFUNCTION("""COMPUTED_VALUE"""),"MAUS TRATOS")</f>
        <v>MAUS TRATOS</v>
      </c>
      <c r="D118" s="6">
        <f>IFERROR(__xludf.DUMMYFUNCTION("""COMPUTED_VALUE"""),6.0)</f>
        <v>6</v>
      </c>
      <c r="E118" s="6">
        <f>IFERROR(__xludf.DUMMYFUNCTION("""COMPUTED_VALUE"""),7.0)</f>
        <v>7</v>
      </c>
      <c r="F118" s="6">
        <f>IFERROR(__xludf.DUMMYFUNCTION("""COMPUTED_VALUE"""),56.0)</f>
        <v>56</v>
      </c>
      <c r="G118" s="6">
        <f>IFERROR(__xludf.DUMMYFUNCTION("""COMPUTED_VALUE"""),69.0)</f>
        <v>69</v>
      </c>
    </row>
    <row r="119">
      <c r="A119" s="6">
        <f>IFERROR(__xludf.DUMMYFUNCTION("""COMPUTED_VALUE"""),2012.0)</f>
        <v>2012</v>
      </c>
      <c r="B119" s="6" t="str">
        <f>IFERROR(__xludf.DUMMYFUNCTION("""COMPUTED_VALUE"""),"Maio")</f>
        <v>Maio</v>
      </c>
      <c r="C119" s="6" t="str">
        <f>IFERROR(__xludf.DUMMYFUNCTION("""COMPUTED_VALUE"""),"CALÚNIA - DIFAMAÇÃO - INJÚRIA")</f>
        <v>CALÚNIA - DIFAMAÇÃO - INJÚRIA</v>
      </c>
      <c r="D119" s="6">
        <f>IFERROR(__xludf.DUMMYFUNCTION("""COMPUTED_VALUE"""),278.0)</f>
        <v>278</v>
      </c>
      <c r="E119" s="6">
        <f>IFERROR(__xludf.DUMMYFUNCTION("""COMPUTED_VALUE"""),181.0)</f>
        <v>181</v>
      </c>
      <c r="F119" s="6">
        <f>IFERROR(__xludf.DUMMYFUNCTION("""COMPUTED_VALUE"""),1017.0)</f>
        <v>1017</v>
      </c>
      <c r="G119" s="6">
        <f>IFERROR(__xludf.DUMMYFUNCTION("""COMPUTED_VALUE"""),1476.0)</f>
        <v>1476</v>
      </c>
    </row>
    <row r="120">
      <c r="A120" s="6">
        <f>IFERROR(__xludf.DUMMYFUNCTION("""COMPUTED_VALUE"""),2012.0)</f>
        <v>2012</v>
      </c>
      <c r="B120" s="6" t="str">
        <f>IFERROR(__xludf.DUMMYFUNCTION("""COMPUTED_VALUE"""),"Maio")</f>
        <v>Maio</v>
      </c>
      <c r="C120" s="6" t="str">
        <f>IFERROR(__xludf.DUMMYFUNCTION("""COMPUTED_VALUE"""),"CONSTRANGIMENTO ILEGAL")</f>
        <v>CONSTRANGIMENTO ILEGAL</v>
      </c>
      <c r="D120" s="6">
        <f>IFERROR(__xludf.DUMMYFUNCTION("""COMPUTED_VALUE"""),2.0)</f>
        <v>2</v>
      </c>
      <c r="E120" s="6">
        <f>IFERROR(__xludf.DUMMYFUNCTION("""COMPUTED_VALUE"""),2.0)</f>
        <v>2</v>
      </c>
      <c r="F120" s="6">
        <f>IFERROR(__xludf.DUMMYFUNCTION("""COMPUTED_VALUE"""),23.0)</f>
        <v>23</v>
      </c>
      <c r="G120" s="6">
        <f>IFERROR(__xludf.DUMMYFUNCTION("""COMPUTED_VALUE"""),27.0)</f>
        <v>27</v>
      </c>
    </row>
    <row r="121">
      <c r="A121" s="6">
        <f>IFERROR(__xludf.DUMMYFUNCTION("""COMPUTED_VALUE"""),2012.0)</f>
        <v>2012</v>
      </c>
      <c r="B121" s="6" t="str">
        <f>IFERROR(__xludf.DUMMYFUNCTION("""COMPUTED_VALUE"""),"Maio")</f>
        <v>Maio</v>
      </c>
      <c r="C121" s="6" t="str">
        <f>IFERROR(__xludf.DUMMYFUNCTION("""COMPUTED_VALUE"""),"AMEAÇA")</f>
        <v>AMEAÇA</v>
      </c>
      <c r="D121" s="6">
        <f>IFERROR(__xludf.DUMMYFUNCTION("""COMPUTED_VALUE"""),1162.0)</f>
        <v>1162</v>
      </c>
      <c r="E121" s="6">
        <f>IFERROR(__xludf.DUMMYFUNCTION("""COMPUTED_VALUE"""),1079.0)</f>
        <v>1079</v>
      </c>
      <c r="F121" s="6">
        <f>IFERROR(__xludf.DUMMYFUNCTION("""COMPUTED_VALUE"""),3986.0)</f>
        <v>3986</v>
      </c>
      <c r="G121" s="6">
        <f>IFERROR(__xludf.DUMMYFUNCTION("""COMPUTED_VALUE"""),6227.0)</f>
        <v>6227</v>
      </c>
    </row>
    <row r="122">
      <c r="A122" s="6">
        <f>IFERROR(__xludf.DUMMYFUNCTION("""COMPUTED_VALUE"""),2012.0)</f>
        <v>2012</v>
      </c>
      <c r="B122" s="6" t="str">
        <f>IFERROR(__xludf.DUMMYFUNCTION("""COMPUTED_VALUE"""),"Maio")</f>
        <v>Maio</v>
      </c>
      <c r="C122" s="6" t="str">
        <f>IFERROR(__xludf.DUMMYFUNCTION("""COMPUTED_VALUE"""),"INVASÃO DE DOMICÍLIO")</f>
        <v>INVASÃO DE DOMICÍLIO</v>
      </c>
      <c r="D122" s="6">
        <f>IFERROR(__xludf.DUMMYFUNCTION("""COMPUTED_VALUE"""),5.0)</f>
        <v>5</v>
      </c>
      <c r="E122" s="6">
        <f>IFERROR(__xludf.DUMMYFUNCTION("""COMPUTED_VALUE"""),5.0)</f>
        <v>5</v>
      </c>
      <c r="F122" s="6">
        <f>IFERROR(__xludf.DUMMYFUNCTION("""COMPUTED_VALUE"""),28.0)</f>
        <v>28</v>
      </c>
      <c r="G122" s="6">
        <f>IFERROR(__xludf.DUMMYFUNCTION("""COMPUTED_VALUE"""),38.0)</f>
        <v>38</v>
      </c>
    </row>
    <row r="123">
      <c r="A123" s="6">
        <f>IFERROR(__xludf.DUMMYFUNCTION("""COMPUTED_VALUE"""),2012.0)</f>
        <v>2012</v>
      </c>
      <c r="B123" s="6" t="str">
        <f>IFERROR(__xludf.DUMMYFUNCTION("""COMPUTED_VALUE"""),"Maio")</f>
        <v>Maio</v>
      </c>
      <c r="C123" s="6" t="str">
        <f>IFERROR(__xludf.DUMMYFUNCTION("""COMPUTED_VALUE"""),"DANO")</f>
        <v>DANO</v>
      </c>
      <c r="D123" s="6">
        <f>IFERROR(__xludf.DUMMYFUNCTION("""COMPUTED_VALUE"""),15.0)</f>
        <v>15</v>
      </c>
      <c r="E123" s="6">
        <f>IFERROR(__xludf.DUMMYFUNCTION("""COMPUTED_VALUE"""),16.0)</f>
        <v>16</v>
      </c>
      <c r="F123" s="6">
        <f>IFERROR(__xludf.DUMMYFUNCTION("""COMPUTED_VALUE"""),78.0)</f>
        <v>78</v>
      </c>
      <c r="G123" s="6">
        <f>IFERROR(__xludf.DUMMYFUNCTION("""COMPUTED_VALUE"""),109.0)</f>
        <v>109</v>
      </c>
    </row>
    <row r="124">
      <c r="A124" s="6">
        <f>IFERROR(__xludf.DUMMYFUNCTION("""COMPUTED_VALUE"""),2012.0)</f>
        <v>2012</v>
      </c>
      <c r="B124" s="6" t="str">
        <f>IFERROR(__xludf.DUMMYFUNCTION("""COMPUTED_VALUE"""),"Maio")</f>
        <v>Maio</v>
      </c>
      <c r="C124" s="6" t="str">
        <f>IFERROR(__xludf.DUMMYFUNCTION("""COMPUTED_VALUE"""),"ESTUPRO CONSUMADO")</f>
        <v>ESTUPRO CONSUMADO</v>
      </c>
      <c r="D124" s="6">
        <f>IFERROR(__xludf.DUMMYFUNCTION("""COMPUTED_VALUE"""),24.0)</f>
        <v>24</v>
      </c>
      <c r="E124" s="6">
        <f>IFERROR(__xludf.DUMMYFUNCTION("""COMPUTED_VALUE"""),14.0)</f>
        <v>14</v>
      </c>
      <c r="F124" s="6">
        <f>IFERROR(__xludf.DUMMYFUNCTION("""COMPUTED_VALUE"""),22.0)</f>
        <v>22</v>
      </c>
      <c r="G124" s="6">
        <f>IFERROR(__xludf.DUMMYFUNCTION("""COMPUTED_VALUE"""),60.0)</f>
        <v>60</v>
      </c>
    </row>
    <row r="125">
      <c r="A125" s="6">
        <f>IFERROR(__xludf.DUMMYFUNCTION("""COMPUTED_VALUE"""),2012.0)</f>
        <v>2012</v>
      </c>
      <c r="B125" s="6" t="str">
        <f>IFERROR(__xludf.DUMMYFUNCTION("""COMPUTED_VALUE"""),"Maio")</f>
        <v>Maio</v>
      </c>
      <c r="C125" s="6" t="str">
        <f>IFERROR(__xludf.DUMMYFUNCTION("""COMPUTED_VALUE"""),"ESTUPRO TENTADO")</f>
        <v>ESTUPRO TENTADO</v>
      </c>
      <c r="D125" s="6">
        <f>IFERROR(__xludf.DUMMYFUNCTION("""COMPUTED_VALUE"""),0.0)</f>
        <v>0</v>
      </c>
      <c r="E125" s="6">
        <f>IFERROR(__xludf.DUMMYFUNCTION("""COMPUTED_VALUE"""),1.0)</f>
        <v>1</v>
      </c>
      <c r="F125" s="6">
        <f>IFERROR(__xludf.DUMMYFUNCTION("""COMPUTED_VALUE"""),2.0)</f>
        <v>2</v>
      </c>
      <c r="G125" s="6">
        <f>IFERROR(__xludf.DUMMYFUNCTION("""COMPUTED_VALUE"""),3.0)</f>
        <v>3</v>
      </c>
    </row>
    <row r="126">
      <c r="A126" s="6">
        <f>IFERROR(__xludf.DUMMYFUNCTION("""COMPUTED_VALUE"""),2012.0)</f>
        <v>2012</v>
      </c>
      <c r="B126" s="6" t="str">
        <f>IFERROR(__xludf.DUMMYFUNCTION("""COMPUTED_VALUE"""),"Maio")</f>
        <v>Maio</v>
      </c>
      <c r="C126" s="6" t="str">
        <f>IFERROR(__xludf.DUMMYFUNCTION("""COMPUTED_VALUE"""),"ESTUPRO DE VULNERÁVEL CONSUMADO")</f>
        <v>ESTUPRO DE VULNERÁVEL CONSUMADO</v>
      </c>
      <c r="D126" s="6">
        <f>IFERROR(__xludf.DUMMYFUNCTION("""COMPUTED_VALUE"""),3.0)</f>
        <v>3</v>
      </c>
      <c r="E126" s="6">
        <f>IFERROR(__xludf.DUMMYFUNCTION("""COMPUTED_VALUE"""),7.0)</f>
        <v>7</v>
      </c>
      <c r="F126" s="6">
        <f>IFERROR(__xludf.DUMMYFUNCTION("""COMPUTED_VALUE"""),24.0)</f>
        <v>24</v>
      </c>
      <c r="G126" s="6">
        <f>IFERROR(__xludf.DUMMYFUNCTION("""COMPUTED_VALUE"""),34.0)</f>
        <v>34</v>
      </c>
    </row>
    <row r="127">
      <c r="A127" s="6">
        <f>IFERROR(__xludf.DUMMYFUNCTION("""COMPUTED_VALUE"""),2012.0)</f>
        <v>2012</v>
      </c>
      <c r="B127" s="6" t="str">
        <f>IFERROR(__xludf.DUMMYFUNCTION("""COMPUTED_VALUE"""),"Maio")</f>
        <v>Maio</v>
      </c>
      <c r="C127" s="6" t="str">
        <f>IFERROR(__xludf.DUMMYFUNCTION("""COMPUTED_VALUE"""),"OUTROS C/C/ DIGNIDADE SEXUAL")</f>
        <v>OUTROS C/C/ DIGNIDADE SEXUAL</v>
      </c>
      <c r="D127" s="6">
        <f>IFERROR(__xludf.DUMMYFUNCTION("""COMPUTED_VALUE"""),1.0)</f>
        <v>1</v>
      </c>
      <c r="E127" s="6">
        <f>IFERROR(__xludf.DUMMYFUNCTION("""COMPUTED_VALUE"""),1.0)</f>
        <v>1</v>
      </c>
      <c r="F127" s="6">
        <f>IFERROR(__xludf.DUMMYFUNCTION("""COMPUTED_VALUE"""),11.0)</f>
        <v>11</v>
      </c>
      <c r="G127" s="6">
        <f>IFERROR(__xludf.DUMMYFUNCTION("""COMPUTED_VALUE"""),13.0)</f>
        <v>13</v>
      </c>
    </row>
    <row r="128">
      <c r="A128" s="6">
        <f>IFERROR(__xludf.DUMMYFUNCTION("""COMPUTED_VALUE"""),2012.0)</f>
        <v>2012</v>
      </c>
      <c r="B128" s="6" t="str">
        <f>IFERROR(__xludf.DUMMYFUNCTION("""COMPUTED_VALUE"""),"Junho")</f>
        <v>Junho</v>
      </c>
      <c r="C128" s="6" t="str">
        <f>IFERROR(__xludf.DUMMYFUNCTION("""COMPUTED_VALUE"""),"HOMICÍDIO DOLOSO (exclui FEMINICÍDIO)")</f>
        <v>HOMICÍDIO DOLOSO (exclui FEMINICÍDIO)</v>
      </c>
      <c r="D128" s="6">
        <f>IFERROR(__xludf.DUMMYFUNCTION("""COMPUTED_VALUE"""),0.0)</f>
        <v>0</v>
      </c>
      <c r="E128" s="6">
        <f>IFERROR(__xludf.DUMMYFUNCTION("""COMPUTED_VALUE"""),2.0)</f>
        <v>2</v>
      </c>
      <c r="F128" s="6">
        <f>IFERROR(__xludf.DUMMYFUNCTION("""COMPUTED_VALUE"""),10.0)</f>
        <v>10</v>
      </c>
      <c r="G128" s="6">
        <f>IFERROR(__xludf.DUMMYFUNCTION("""COMPUTED_VALUE"""),12.0)</f>
        <v>12</v>
      </c>
    </row>
    <row r="129">
      <c r="A129" s="6">
        <f>IFERROR(__xludf.DUMMYFUNCTION("""COMPUTED_VALUE"""),2012.0)</f>
        <v>2012</v>
      </c>
      <c r="B129" s="6" t="str">
        <f>IFERROR(__xludf.DUMMYFUNCTION("""COMPUTED_VALUE"""),"Junho")</f>
        <v>Junho</v>
      </c>
      <c r="C129" s="6" t="str">
        <f>IFERROR(__xludf.DUMMYFUNCTION("""COMPUTED_VALUE"""),"HOMICÍDIO CULPOSO")</f>
        <v>HOMICÍDIO CULPOSO</v>
      </c>
      <c r="D129" s="6">
        <f>IFERROR(__xludf.DUMMYFUNCTION("""COMPUTED_VALUE"""),0.0)</f>
        <v>0</v>
      </c>
      <c r="E129" s="6">
        <f>IFERROR(__xludf.DUMMYFUNCTION("""COMPUTED_VALUE"""),0.0)</f>
        <v>0</v>
      </c>
      <c r="F129" s="6">
        <f>IFERROR(__xludf.DUMMYFUNCTION("""COMPUTED_VALUE"""),1.0)</f>
        <v>1</v>
      </c>
      <c r="G129" s="6">
        <f>IFERROR(__xludf.DUMMYFUNCTION("""COMPUTED_VALUE"""),1.0)</f>
        <v>1</v>
      </c>
    </row>
    <row r="130">
      <c r="A130" s="6">
        <f>IFERROR(__xludf.DUMMYFUNCTION("""COMPUTED_VALUE"""),2012.0)</f>
        <v>2012</v>
      </c>
      <c r="B130" s="6" t="str">
        <f>IFERROR(__xludf.DUMMYFUNCTION("""COMPUTED_VALUE"""),"Junho")</f>
        <v>Junho</v>
      </c>
      <c r="C130" s="6" t="str">
        <f>IFERROR(__xludf.DUMMYFUNCTION("""COMPUTED_VALUE"""),"TENTATIVA DE HOMICÍDIO")</f>
        <v>TENTATIVA DE HOMICÍDIO</v>
      </c>
      <c r="D130" s="6">
        <f>IFERROR(__xludf.DUMMYFUNCTION("""COMPUTED_VALUE"""),2.0)</f>
        <v>2</v>
      </c>
      <c r="E130" s="6">
        <f>IFERROR(__xludf.DUMMYFUNCTION("""COMPUTED_VALUE"""),2.0)</f>
        <v>2</v>
      </c>
      <c r="F130" s="6">
        <f>IFERROR(__xludf.DUMMYFUNCTION("""COMPUTED_VALUE"""),10.0)</f>
        <v>10</v>
      </c>
      <c r="G130" s="6">
        <f>IFERROR(__xludf.DUMMYFUNCTION("""COMPUTED_VALUE"""),14.0)</f>
        <v>14</v>
      </c>
    </row>
    <row r="131">
      <c r="A131" s="6">
        <f>IFERROR(__xludf.DUMMYFUNCTION("""COMPUTED_VALUE"""),2012.0)</f>
        <v>2012</v>
      </c>
      <c r="B131" s="6" t="str">
        <f>IFERROR(__xludf.DUMMYFUNCTION("""COMPUTED_VALUE"""),"Junho")</f>
        <v>Junho</v>
      </c>
      <c r="C131" s="6" t="str">
        <f>IFERROR(__xludf.DUMMYFUNCTION("""COMPUTED_VALUE"""),"LESÃO CORPORAL DOLOSA")</f>
        <v>LESÃO CORPORAL DOLOSA</v>
      </c>
      <c r="D131" s="6">
        <f>IFERROR(__xludf.DUMMYFUNCTION("""COMPUTED_VALUE"""),1136.0)</f>
        <v>1136</v>
      </c>
      <c r="E131" s="6">
        <f>IFERROR(__xludf.DUMMYFUNCTION("""COMPUTED_VALUE"""),973.0)</f>
        <v>973</v>
      </c>
      <c r="F131" s="6">
        <f>IFERROR(__xludf.DUMMYFUNCTION("""COMPUTED_VALUE"""),3433.0)</f>
        <v>3433</v>
      </c>
      <c r="G131" s="6">
        <f>IFERROR(__xludf.DUMMYFUNCTION("""COMPUTED_VALUE"""),5542.0)</f>
        <v>5542</v>
      </c>
    </row>
    <row r="132">
      <c r="A132" s="6">
        <f>IFERROR(__xludf.DUMMYFUNCTION("""COMPUTED_VALUE"""),2012.0)</f>
        <v>2012</v>
      </c>
      <c r="B132" s="6" t="str">
        <f>IFERROR(__xludf.DUMMYFUNCTION("""COMPUTED_VALUE"""),"Junho")</f>
        <v>Junho</v>
      </c>
      <c r="C132" s="6" t="str">
        <f>IFERROR(__xludf.DUMMYFUNCTION("""COMPUTED_VALUE"""),"MAUS TRATOS")</f>
        <v>MAUS TRATOS</v>
      </c>
      <c r="D132" s="6">
        <f>IFERROR(__xludf.DUMMYFUNCTION("""COMPUTED_VALUE"""),7.0)</f>
        <v>7</v>
      </c>
      <c r="E132" s="6">
        <f>IFERROR(__xludf.DUMMYFUNCTION("""COMPUTED_VALUE"""),7.0)</f>
        <v>7</v>
      </c>
      <c r="F132" s="6">
        <f>IFERROR(__xludf.DUMMYFUNCTION("""COMPUTED_VALUE"""),45.0)</f>
        <v>45</v>
      </c>
      <c r="G132" s="6">
        <f>IFERROR(__xludf.DUMMYFUNCTION("""COMPUTED_VALUE"""),59.0)</f>
        <v>59</v>
      </c>
    </row>
    <row r="133">
      <c r="A133" s="6">
        <f>IFERROR(__xludf.DUMMYFUNCTION("""COMPUTED_VALUE"""),2012.0)</f>
        <v>2012</v>
      </c>
      <c r="B133" s="6" t="str">
        <f>IFERROR(__xludf.DUMMYFUNCTION("""COMPUTED_VALUE"""),"Junho")</f>
        <v>Junho</v>
      </c>
      <c r="C133" s="6" t="str">
        <f>IFERROR(__xludf.DUMMYFUNCTION("""COMPUTED_VALUE"""),"CALÚNIA - DIFAMAÇÃO - INJÚRIA")</f>
        <v>CALÚNIA - DIFAMAÇÃO - INJÚRIA</v>
      </c>
      <c r="D133" s="6">
        <f>IFERROR(__xludf.DUMMYFUNCTION("""COMPUTED_VALUE"""),224.0)</f>
        <v>224</v>
      </c>
      <c r="E133" s="6">
        <f>IFERROR(__xludf.DUMMYFUNCTION("""COMPUTED_VALUE"""),160.0)</f>
        <v>160</v>
      </c>
      <c r="F133" s="6">
        <f>IFERROR(__xludf.DUMMYFUNCTION("""COMPUTED_VALUE"""),927.0)</f>
        <v>927</v>
      </c>
      <c r="G133" s="6">
        <f>IFERROR(__xludf.DUMMYFUNCTION("""COMPUTED_VALUE"""),1311.0)</f>
        <v>1311</v>
      </c>
    </row>
    <row r="134">
      <c r="A134" s="6">
        <f>IFERROR(__xludf.DUMMYFUNCTION("""COMPUTED_VALUE"""),2012.0)</f>
        <v>2012</v>
      </c>
      <c r="B134" s="6" t="str">
        <f>IFERROR(__xludf.DUMMYFUNCTION("""COMPUTED_VALUE"""),"Junho")</f>
        <v>Junho</v>
      </c>
      <c r="C134" s="6" t="str">
        <f>IFERROR(__xludf.DUMMYFUNCTION("""COMPUTED_VALUE"""),"CONSTRANGIMENTO ILEGAL")</f>
        <v>CONSTRANGIMENTO ILEGAL</v>
      </c>
      <c r="D134" s="6">
        <f>IFERROR(__xludf.DUMMYFUNCTION("""COMPUTED_VALUE"""),2.0)</f>
        <v>2</v>
      </c>
      <c r="E134" s="6">
        <f>IFERROR(__xludf.DUMMYFUNCTION("""COMPUTED_VALUE"""),4.0)</f>
        <v>4</v>
      </c>
      <c r="F134" s="6">
        <f>IFERROR(__xludf.DUMMYFUNCTION("""COMPUTED_VALUE"""),20.0)</f>
        <v>20</v>
      </c>
      <c r="G134" s="6">
        <f>IFERROR(__xludf.DUMMYFUNCTION("""COMPUTED_VALUE"""),26.0)</f>
        <v>26</v>
      </c>
    </row>
    <row r="135">
      <c r="A135" s="6">
        <f>IFERROR(__xludf.DUMMYFUNCTION("""COMPUTED_VALUE"""),2012.0)</f>
        <v>2012</v>
      </c>
      <c r="B135" s="6" t="str">
        <f>IFERROR(__xludf.DUMMYFUNCTION("""COMPUTED_VALUE"""),"Junho")</f>
        <v>Junho</v>
      </c>
      <c r="C135" s="6" t="str">
        <f>IFERROR(__xludf.DUMMYFUNCTION("""COMPUTED_VALUE"""),"AMEAÇA")</f>
        <v>AMEAÇA</v>
      </c>
      <c r="D135" s="6">
        <f>IFERROR(__xludf.DUMMYFUNCTION("""COMPUTED_VALUE"""),1007.0)</f>
        <v>1007</v>
      </c>
      <c r="E135" s="6">
        <f>IFERROR(__xludf.DUMMYFUNCTION("""COMPUTED_VALUE"""),936.0)</f>
        <v>936</v>
      </c>
      <c r="F135" s="6">
        <f>IFERROR(__xludf.DUMMYFUNCTION("""COMPUTED_VALUE"""),3636.0)</f>
        <v>3636</v>
      </c>
      <c r="G135" s="6">
        <f>IFERROR(__xludf.DUMMYFUNCTION("""COMPUTED_VALUE"""),5579.0)</f>
        <v>5579</v>
      </c>
    </row>
    <row r="136">
      <c r="A136" s="6">
        <f>IFERROR(__xludf.DUMMYFUNCTION("""COMPUTED_VALUE"""),2012.0)</f>
        <v>2012</v>
      </c>
      <c r="B136" s="6" t="str">
        <f>IFERROR(__xludf.DUMMYFUNCTION("""COMPUTED_VALUE"""),"Junho")</f>
        <v>Junho</v>
      </c>
      <c r="C136" s="6" t="str">
        <f>IFERROR(__xludf.DUMMYFUNCTION("""COMPUTED_VALUE"""),"INVASÃO DE DOMICÍLIO")</f>
        <v>INVASÃO DE DOMICÍLIO</v>
      </c>
      <c r="D136" s="6">
        <f>IFERROR(__xludf.DUMMYFUNCTION("""COMPUTED_VALUE"""),1.0)</f>
        <v>1</v>
      </c>
      <c r="E136" s="6">
        <f>IFERROR(__xludf.DUMMYFUNCTION("""COMPUTED_VALUE"""),6.0)</f>
        <v>6</v>
      </c>
      <c r="F136" s="6">
        <f>IFERROR(__xludf.DUMMYFUNCTION("""COMPUTED_VALUE"""),33.0)</f>
        <v>33</v>
      </c>
      <c r="G136" s="6">
        <f>IFERROR(__xludf.DUMMYFUNCTION("""COMPUTED_VALUE"""),40.0)</f>
        <v>40</v>
      </c>
    </row>
    <row r="137">
      <c r="A137" s="6">
        <f>IFERROR(__xludf.DUMMYFUNCTION("""COMPUTED_VALUE"""),2012.0)</f>
        <v>2012</v>
      </c>
      <c r="B137" s="6" t="str">
        <f>IFERROR(__xludf.DUMMYFUNCTION("""COMPUTED_VALUE"""),"Junho")</f>
        <v>Junho</v>
      </c>
      <c r="C137" s="6" t="str">
        <f>IFERROR(__xludf.DUMMYFUNCTION("""COMPUTED_VALUE"""),"DANO")</f>
        <v>DANO</v>
      </c>
      <c r="D137" s="6">
        <f>IFERROR(__xludf.DUMMYFUNCTION("""COMPUTED_VALUE"""),12.0)</f>
        <v>12</v>
      </c>
      <c r="E137" s="6">
        <f>IFERROR(__xludf.DUMMYFUNCTION("""COMPUTED_VALUE"""),12.0)</f>
        <v>12</v>
      </c>
      <c r="F137" s="6">
        <f>IFERROR(__xludf.DUMMYFUNCTION("""COMPUTED_VALUE"""),70.0)</f>
        <v>70</v>
      </c>
      <c r="G137" s="6">
        <f>IFERROR(__xludf.DUMMYFUNCTION("""COMPUTED_VALUE"""),94.0)</f>
        <v>94</v>
      </c>
    </row>
    <row r="138">
      <c r="A138" s="6">
        <f>IFERROR(__xludf.DUMMYFUNCTION("""COMPUTED_VALUE"""),2012.0)</f>
        <v>2012</v>
      </c>
      <c r="B138" s="6" t="str">
        <f>IFERROR(__xludf.DUMMYFUNCTION("""COMPUTED_VALUE"""),"Junho")</f>
        <v>Junho</v>
      </c>
      <c r="C138" s="6" t="str">
        <f>IFERROR(__xludf.DUMMYFUNCTION("""COMPUTED_VALUE"""),"ESTUPRO CONSUMADO")</f>
        <v>ESTUPRO CONSUMADO</v>
      </c>
      <c r="D138" s="6">
        <f>IFERROR(__xludf.DUMMYFUNCTION("""COMPUTED_VALUE"""),13.0)</f>
        <v>13</v>
      </c>
      <c r="E138" s="6">
        <f>IFERROR(__xludf.DUMMYFUNCTION("""COMPUTED_VALUE"""),12.0)</f>
        <v>12</v>
      </c>
      <c r="F138" s="6">
        <f>IFERROR(__xludf.DUMMYFUNCTION("""COMPUTED_VALUE"""),18.0)</f>
        <v>18</v>
      </c>
      <c r="G138" s="6">
        <f>IFERROR(__xludf.DUMMYFUNCTION("""COMPUTED_VALUE"""),43.0)</f>
        <v>43</v>
      </c>
    </row>
    <row r="139">
      <c r="A139" s="6">
        <f>IFERROR(__xludf.DUMMYFUNCTION("""COMPUTED_VALUE"""),2012.0)</f>
        <v>2012</v>
      </c>
      <c r="B139" s="6" t="str">
        <f>IFERROR(__xludf.DUMMYFUNCTION("""COMPUTED_VALUE"""),"Junho")</f>
        <v>Junho</v>
      </c>
      <c r="C139" s="6" t="str">
        <f>IFERROR(__xludf.DUMMYFUNCTION("""COMPUTED_VALUE"""),"ESTUPRO TENTADO")</f>
        <v>ESTUPRO TENTADO</v>
      </c>
      <c r="D139" s="6">
        <f>IFERROR(__xludf.DUMMYFUNCTION("""COMPUTED_VALUE"""),0.0)</f>
        <v>0</v>
      </c>
      <c r="E139" s="6">
        <f>IFERROR(__xludf.DUMMYFUNCTION("""COMPUTED_VALUE"""),0.0)</f>
        <v>0</v>
      </c>
      <c r="F139" s="6">
        <f>IFERROR(__xludf.DUMMYFUNCTION("""COMPUTED_VALUE"""),2.0)</f>
        <v>2</v>
      </c>
      <c r="G139" s="6">
        <f>IFERROR(__xludf.DUMMYFUNCTION("""COMPUTED_VALUE"""),2.0)</f>
        <v>2</v>
      </c>
    </row>
    <row r="140">
      <c r="A140" s="6">
        <f>IFERROR(__xludf.DUMMYFUNCTION("""COMPUTED_VALUE"""),2012.0)</f>
        <v>2012</v>
      </c>
      <c r="B140" s="6" t="str">
        <f>IFERROR(__xludf.DUMMYFUNCTION("""COMPUTED_VALUE"""),"Junho")</f>
        <v>Junho</v>
      </c>
      <c r="C140" s="6" t="str">
        <f>IFERROR(__xludf.DUMMYFUNCTION("""COMPUTED_VALUE"""),"ESTUPRO DE VULNERÁVEL CONSUMADO")</f>
        <v>ESTUPRO DE VULNERÁVEL CONSUMADO</v>
      </c>
      <c r="D140" s="6">
        <f>IFERROR(__xludf.DUMMYFUNCTION("""COMPUTED_VALUE"""),4.0)</f>
        <v>4</v>
      </c>
      <c r="E140" s="6">
        <f>IFERROR(__xludf.DUMMYFUNCTION("""COMPUTED_VALUE"""),12.0)</f>
        <v>12</v>
      </c>
      <c r="F140" s="6">
        <f>IFERROR(__xludf.DUMMYFUNCTION("""COMPUTED_VALUE"""),23.0)</f>
        <v>23</v>
      </c>
      <c r="G140" s="6">
        <f>IFERROR(__xludf.DUMMYFUNCTION("""COMPUTED_VALUE"""),39.0)</f>
        <v>39</v>
      </c>
    </row>
    <row r="141">
      <c r="A141" s="6">
        <f>IFERROR(__xludf.DUMMYFUNCTION("""COMPUTED_VALUE"""),2012.0)</f>
        <v>2012</v>
      </c>
      <c r="B141" s="6" t="str">
        <f>IFERROR(__xludf.DUMMYFUNCTION("""COMPUTED_VALUE"""),"Junho")</f>
        <v>Junho</v>
      </c>
      <c r="C141" s="6" t="str">
        <f>IFERROR(__xludf.DUMMYFUNCTION("""COMPUTED_VALUE"""),"OUTROS C/C/ DIGNIDADE SEXUAL")</f>
        <v>OUTROS C/C/ DIGNIDADE SEXUAL</v>
      </c>
      <c r="D141" s="6">
        <f>IFERROR(__xludf.DUMMYFUNCTION("""COMPUTED_VALUE"""),5.0)</f>
        <v>5</v>
      </c>
      <c r="E141" s="6">
        <f>IFERROR(__xludf.DUMMYFUNCTION("""COMPUTED_VALUE"""),0.0)</f>
        <v>0</v>
      </c>
      <c r="F141" s="6">
        <f>IFERROR(__xludf.DUMMYFUNCTION("""COMPUTED_VALUE"""),5.0)</f>
        <v>5</v>
      </c>
      <c r="G141" s="6">
        <f>IFERROR(__xludf.DUMMYFUNCTION("""COMPUTED_VALUE"""),10.0)</f>
        <v>10</v>
      </c>
    </row>
    <row r="142">
      <c r="A142" s="6">
        <f>IFERROR(__xludf.DUMMYFUNCTION("""COMPUTED_VALUE"""),2012.0)</f>
        <v>2012</v>
      </c>
      <c r="B142" s="6" t="str">
        <f>IFERROR(__xludf.DUMMYFUNCTION("""COMPUTED_VALUE"""),"Julho")</f>
        <v>Julho</v>
      </c>
      <c r="C142" s="6" t="str">
        <f>IFERROR(__xludf.DUMMYFUNCTION("""COMPUTED_VALUE"""),"HOMICÍDIO DOLOSO (exclui FEMINICÍDIO)")</f>
        <v>HOMICÍDIO DOLOSO (exclui FEMINICÍDIO)</v>
      </c>
      <c r="D142" s="6">
        <f>IFERROR(__xludf.DUMMYFUNCTION("""COMPUTED_VALUE"""),3.0)</f>
        <v>3</v>
      </c>
      <c r="E142" s="6">
        <f>IFERROR(__xludf.DUMMYFUNCTION("""COMPUTED_VALUE"""),0.0)</f>
        <v>0</v>
      </c>
      <c r="F142" s="6">
        <f>IFERROR(__xludf.DUMMYFUNCTION("""COMPUTED_VALUE"""),5.0)</f>
        <v>5</v>
      </c>
      <c r="G142" s="6">
        <f>IFERROR(__xludf.DUMMYFUNCTION("""COMPUTED_VALUE"""),8.0)</f>
        <v>8</v>
      </c>
    </row>
    <row r="143">
      <c r="A143" s="6">
        <f>IFERROR(__xludf.DUMMYFUNCTION("""COMPUTED_VALUE"""),2012.0)</f>
        <v>2012</v>
      </c>
      <c r="B143" s="6" t="str">
        <f>IFERROR(__xludf.DUMMYFUNCTION("""COMPUTED_VALUE"""),"Julho")</f>
        <v>Julho</v>
      </c>
      <c r="C143" s="6" t="str">
        <f>IFERROR(__xludf.DUMMYFUNCTION("""COMPUTED_VALUE"""),"HOMICÍDIO CULPOSO")</f>
        <v>HOMICÍDIO CULPOSO</v>
      </c>
      <c r="D143" s="6">
        <f>IFERROR(__xludf.DUMMYFUNCTION("""COMPUTED_VALUE"""),0.0)</f>
        <v>0</v>
      </c>
      <c r="E143" s="6">
        <f>IFERROR(__xludf.DUMMYFUNCTION("""COMPUTED_VALUE"""),0.0)</f>
        <v>0</v>
      </c>
      <c r="F143" s="6">
        <f>IFERROR(__xludf.DUMMYFUNCTION("""COMPUTED_VALUE"""),0.0)</f>
        <v>0</v>
      </c>
      <c r="G143" s="6">
        <f>IFERROR(__xludf.DUMMYFUNCTION("""COMPUTED_VALUE"""),0.0)</f>
        <v>0</v>
      </c>
    </row>
    <row r="144">
      <c r="A144" s="6">
        <f>IFERROR(__xludf.DUMMYFUNCTION("""COMPUTED_VALUE"""),2012.0)</f>
        <v>2012</v>
      </c>
      <c r="B144" s="6" t="str">
        <f>IFERROR(__xludf.DUMMYFUNCTION("""COMPUTED_VALUE"""),"Julho")</f>
        <v>Julho</v>
      </c>
      <c r="C144" s="6" t="str">
        <f>IFERROR(__xludf.DUMMYFUNCTION("""COMPUTED_VALUE"""),"TENTATIVA DE HOMICÍDIO")</f>
        <v>TENTATIVA DE HOMICÍDIO</v>
      </c>
      <c r="D144" s="6">
        <f>IFERROR(__xludf.DUMMYFUNCTION("""COMPUTED_VALUE"""),10.0)</f>
        <v>10</v>
      </c>
      <c r="E144" s="6">
        <f>IFERROR(__xludf.DUMMYFUNCTION("""COMPUTED_VALUE"""),4.0)</f>
        <v>4</v>
      </c>
      <c r="F144" s="6">
        <f>IFERROR(__xludf.DUMMYFUNCTION("""COMPUTED_VALUE"""),15.0)</f>
        <v>15</v>
      </c>
      <c r="G144" s="6">
        <f>IFERROR(__xludf.DUMMYFUNCTION("""COMPUTED_VALUE"""),29.0)</f>
        <v>29</v>
      </c>
    </row>
    <row r="145">
      <c r="A145" s="6">
        <f>IFERROR(__xludf.DUMMYFUNCTION("""COMPUTED_VALUE"""),2012.0)</f>
        <v>2012</v>
      </c>
      <c r="B145" s="6" t="str">
        <f>IFERROR(__xludf.DUMMYFUNCTION("""COMPUTED_VALUE"""),"Julho")</f>
        <v>Julho</v>
      </c>
      <c r="C145" s="6" t="str">
        <f>IFERROR(__xludf.DUMMYFUNCTION("""COMPUTED_VALUE"""),"LESÃO CORPORAL DOLOSA")</f>
        <v>LESÃO CORPORAL DOLOSA</v>
      </c>
      <c r="D145" s="6">
        <f>IFERROR(__xludf.DUMMYFUNCTION("""COMPUTED_VALUE"""),1146.0)</f>
        <v>1146</v>
      </c>
      <c r="E145" s="6">
        <f>IFERROR(__xludf.DUMMYFUNCTION("""COMPUTED_VALUE"""),993.0)</f>
        <v>993</v>
      </c>
      <c r="F145" s="6">
        <f>IFERROR(__xludf.DUMMYFUNCTION("""COMPUTED_VALUE"""),3217.0)</f>
        <v>3217</v>
      </c>
      <c r="G145" s="6">
        <f>IFERROR(__xludf.DUMMYFUNCTION("""COMPUTED_VALUE"""),5356.0)</f>
        <v>5356</v>
      </c>
    </row>
    <row r="146">
      <c r="A146" s="6">
        <f>IFERROR(__xludf.DUMMYFUNCTION("""COMPUTED_VALUE"""),2012.0)</f>
        <v>2012</v>
      </c>
      <c r="B146" s="6" t="str">
        <f>IFERROR(__xludf.DUMMYFUNCTION("""COMPUTED_VALUE"""),"Julho")</f>
        <v>Julho</v>
      </c>
      <c r="C146" s="6" t="str">
        <f>IFERROR(__xludf.DUMMYFUNCTION("""COMPUTED_VALUE"""),"MAUS TRATOS")</f>
        <v>MAUS TRATOS</v>
      </c>
      <c r="D146" s="6">
        <f>IFERROR(__xludf.DUMMYFUNCTION("""COMPUTED_VALUE"""),12.0)</f>
        <v>12</v>
      </c>
      <c r="E146" s="6">
        <f>IFERROR(__xludf.DUMMYFUNCTION("""COMPUTED_VALUE"""),6.0)</f>
        <v>6</v>
      </c>
      <c r="F146" s="6">
        <f>IFERROR(__xludf.DUMMYFUNCTION("""COMPUTED_VALUE"""),45.0)</f>
        <v>45</v>
      </c>
      <c r="G146" s="6">
        <f>IFERROR(__xludf.DUMMYFUNCTION("""COMPUTED_VALUE"""),63.0)</f>
        <v>63</v>
      </c>
    </row>
    <row r="147">
      <c r="A147" s="6">
        <f>IFERROR(__xludf.DUMMYFUNCTION("""COMPUTED_VALUE"""),2012.0)</f>
        <v>2012</v>
      </c>
      <c r="B147" s="6" t="str">
        <f>IFERROR(__xludf.DUMMYFUNCTION("""COMPUTED_VALUE"""),"Julho")</f>
        <v>Julho</v>
      </c>
      <c r="C147" s="6" t="str">
        <f>IFERROR(__xludf.DUMMYFUNCTION("""COMPUTED_VALUE"""),"CALÚNIA - DIFAMAÇÃO - INJÚRIA")</f>
        <v>CALÚNIA - DIFAMAÇÃO - INJÚRIA</v>
      </c>
      <c r="D147" s="6">
        <f>IFERROR(__xludf.DUMMYFUNCTION("""COMPUTED_VALUE"""),218.0)</f>
        <v>218</v>
      </c>
      <c r="E147" s="6">
        <f>IFERROR(__xludf.DUMMYFUNCTION("""COMPUTED_VALUE"""),156.0)</f>
        <v>156</v>
      </c>
      <c r="F147" s="6">
        <f>IFERROR(__xludf.DUMMYFUNCTION("""COMPUTED_VALUE"""),947.0)</f>
        <v>947</v>
      </c>
      <c r="G147" s="6">
        <f>IFERROR(__xludf.DUMMYFUNCTION("""COMPUTED_VALUE"""),1321.0)</f>
        <v>1321</v>
      </c>
    </row>
    <row r="148">
      <c r="A148" s="6">
        <f>IFERROR(__xludf.DUMMYFUNCTION("""COMPUTED_VALUE"""),2012.0)</f>
        <v>2012</v>
      </c>
      <c r="B148" s="6" t="str">
        <f>IFERROR(__xludf.DUMMYFUNCTION("""COMPUTED_VALUE"""),"Julho")</f>
        <v>Julho</v>
      </c>
      <c r="C148" s="6" t="str">
        <f>IFERROR(__xludf.DUMMYFUNCTION("""COMPUTED_VALUE"""),"CONSTRANGIMENTO ILEGAL")</f>
        <v>CONSTRANGIMENTO ILEGAL</v>
      </c>
      <c r="D148" s="6">
        <f>IFERROR(__xludf.DUMMYFUNCTION("""COMPUTED_VALUE"""),1.0)</f>
        <v>1</v>
      </c>
      <c r="E148" s="6">
        <f>IFERROR(__xludf.DUMMYFUNCTION("""COMPUTED_VALUE"""),3.0)</f>
        <v>3</v>
      </c>
      <c r="F148" s="6">
        <f>IFERROR(__xludf.DUMMYFUNCTION("""COMPUTED_VALUE"""),25.0)</f>
        <v>25</v>
      </c>
      <c r="G148" s="6">
        <f>IFERROR(__xludf.DUMMYFUNCTION("""COMPUTED_VALUE"""),29.0)</f>
        <v>29</v>
      </c>
    </row>
    <row r="149">
      <c r="A149" s="6">
        <f>IFERROR(__xludf.DUMMYFUNCTION("""COMPUTED_VALUE"""),2012.0)</f>
        <v>2012</v>
      </c>
      <c r="B149" s="6" t="str">
        <f>IFERROR(__xludf.DUMMYFUNCTION("""COMPUTED_VALUE"""),"Julho")</f>
        <v>Julho</v>
      </c>
      <c r="C149" s="6" t="str">
        <f>IFERROR(__xludf.DUMMYFUNCTION("""COMPUTED_VALUE"""),"AMEAÇA")</f>
        <v>AMEAÇA</v>
      </c>
      <c r="D149" s="6">
        <f>IFERROR(__xludf.DUMMYFUNCTION("""COMPUTED_VALUE"""),1064.0)</f>
        <v>1064</v>
      </c>
      <c r="E149" s="6">
        <f>IFERROR(__xludf.DUMMYFUNCTION("""COMPUTED_VALUE"""),896.0)</f>
        <v>896</v>
      </c>
      <c r="F149" s="6">
        <f>IFERROR(__xludf.DUMMYFUNCTION("""COMPUTED_VALUE"""),3583.0)</f>
        <v>3583</v>
      </c>
      <c r="G149" s="6">
        <f>IFERROR(__xludf.DUMMYFUNCTION("""COMPUTED_VALUE"""),5543.0)</f>
        <v>5543</v>
      </c>
    </row>
    <row r="150">
      <c r="A150" s="6">
        <f>IFERROR(__xludf.DUMMYFUNCTION("""COMPUTED_VALUE"""),2012.0)</f>
        <v>2012</v>
      </c>
      <c r="B150" s="6" t="str">
        <f>IFERROR(__xludf.DUMMYFUNCTION("""COMPUTED_VALUE"""),"Julho")</f>
        <v>Julho</v>
      </c>
      <c r="C150" s="6" t="str">
        <f>IFERROR(__xludf.DUMMYFUNCTION("""COMPUTED_VALUE"""),"INVASÃO DE DOMICÍLIO")</f>
        <v>INVASÃO DE DOMICÍLIO</v>
      </c>
      <c r="D150" s="6">
        <f>IFERROR(__xludf.DUMMYFUNCTION("""COMPUTED_VALUE"""),1.0)</f>
        <v>1</v>
      </c>
      <c r="E150" s="6">
        <f>IFERROR(__xludf.DUMMYFUNCTION("""COMPUTED_VALUE"""),4.0)</f>
        <v>4</v>
      </c>
      <c r="F150" s="6">
        <f>IFERROR(__xludf.DUMMYFUNCTION("""COMPUTED_VALUE"""),33.0)</f>
        <v>33</v>
      </c>
      <c r="G150" s="6">
        <f>IFERROR(__xludf.DUMMYFUNCTION("""COMPUTED_VALUE"""),38.0)</f>
        <v>38</v>
      </c>
    </row>
    <row r="151">
      <c r="A151" s="6">
        <f>IFERROR(__xludf.DUMMYFUNCTION("""COMPUTED_VALUE"""),2012.0)</f>
        <v>2012</v>
      </c>
      <c r="B151" s="6" t="str">
        <f>IFERROR(__xludf.DUMMYFUNCTION("""COMPUTED_VALUE"""),"Julho")</f>
        <v>Julho</v>
      </c>
      <c r="C151" s="6" t="str">
        <f>IFERROR(__xludf.DUMMYFUNCTION("""COMPUTED_VALUE"""),"DANO")</f>
        <v>DANO</v>
      </c>
      <c r="D151" s="6">
        <f>IFERROR(__xludf.DUMMYFUNCTION("""COMPUTED_VALUE"""),16.0)</f>
        <v>16</v>
      </c>
      <c r="E151" s="6">
        <f>IFERROR(__xludf.DUMMYFUNCTION("""COMPUTED_VALUE"""),9.0)</f>
        <v>9</v>
      </c>
      <c r="F151" s="6">
        <f>IFERROR(__xludf.DUMMYFUNCTION("""COMPUTED_VALUE"""),79.0)</f>
        <v>79</v>
      </c>
      <c r="G151" s="6">
        <f>IFERROR(__xludf.DUMMYFUNCTION("""COMPUTED_VALUE"""),104.0)</f>
        <v>104</v>
      </c>
    </row>
    <row r="152">
      <c r="A152" s="6">
        <f>IFERROR(__xludf.DUMMYFUNCTION("""COMPUTED_VALUE"""),2012.0)</f>
        <v>2012</v>
      </c>
      <c r="B152" s="6" t="str">
        <f>IFERROR(__xludf.DUMMYFUNCTION("""COMPUTED_VALUE"""),"Julho")</f>
        <v>Julho</v>
      </c>
      <c r="C152" s="6" t="str">
        <f>IFERROR(__xludf.DUMMYFUNCTION("""COMPUTED_VALUE"""),"ESTUPRO CONSUMADO")</f>
        <v>ESTUPRO CONSUMADO</v>
      </c>
      <c r="D152" s="6">
        <f>IFERROR(__xludf.DUMMYFUNCTION("""COMPUTED_VALUE"""),14.0)</f>
        <v>14</v>
      </c>
      <c r="E152" s="6">
        <f>IFERROR(__xludf.DUMMYFUNCTION("""COMPUTED_VALUE"""),14.0)</f>
        <v>14</v>
      </c>
      <c r="F152" s="6">
        <f>IFERROR(__xludf.DUMMYFUNCTION("""COMPUTED_VALUE"""),22.0)</f>
        <v>22</v>
      </c>
      <c r="G152" s="6">
        <f>IFERROR(__xludf.DUMMYFUNCTION("""COMPUTED_VALUE"""),50.0)</f>
        <v>50</v>
      </c>
    </row>
    <row r="153">
      <c r="A153" s="6">
        <f>IFERROR(__xludf.DUMMYFUNCTION("""COMPUTED_VALUE"""),2012.0)</f>
        <v>2012</v>
      </c>
      <c r="B153" s="6" t="str">
        <f>IFERROR(__xludf.DUMMYFUNCTION("""COMPUTED_VALUE"""),"Julho")</f>
        <v>Julho</v>
      </c>
      <c r="C153" s="6" t="str">
        <f>IFERROR(__xludf.DUMMYFUNCTION("""COMPUTED_VALUE"""),"ESTUPRO TENTADO")</f>
        <v>ESTUPRO TENTADO</v>
      </c>
      <c r="D153" s="6">
        <f>IFERROR(__xludf.DUMMYFUNCTION("""COMPUTED_VALUE"""),1.0)</f>
        <v>1</v>
      </c>
      <c r="E153" s="6">
        <f>IFERROR(__xludf.DUMMYFUNCTION("""COMPUTED_VALUE"""),0.0)</f>
        <v>0</v>
      </c>
      <c r="F153" s="6">
        <f>IFERROR(__xludf.DUMMYFUNCTION("""COMPUTED_VALUE"""),1.0)</f>
        <v>1</v>
      </c>
      <c r="G153" s="6">
        <f>IFERROR(__xludf.DUMMYFUNCTION("""COMPUTED_VALUE"""),2.0)</f>
        <v>2</v>
      </c>
    </row>
    <row r="154">
      <c r="A154" s="6">
        <f>IFERROR(__xludf.DUMMYFUNCTION("""COMPUTED_VALUE"""),2012.0)</f>
        <v>2012</v>
      </c>
      <c r="B154" s="6" t="str">
        <f>IFERROR(__xludf.DUMMYFUNCTION("""COMPUTED_VALUE"""),"Julho")</f>
        <v>Julho</v>
      </c>
      <c r="C154" s="6" t="str">
        <f>IFERROR(__xludf.DUMMYFUNCTION("""COMPUTED_VALUE"""),"ESTUPRO DE VULNERÁVEL CONSUMADO")</f>
        <v>ESTUPRO DE VULNERÁVEL CONSUMADO</v>
      </c>
      <c r="D154" s="6">
        <f>IFERROR(__xludf.DUMMYFUNCTION("""COMPUTED_VALUE"""),3.0)</f>
        <v>3</v>
      </c>
      <c r="E154" s="6">
        <f>IFERROR(__xludf.DUMMYFUNCTION("""COMPUTED_VALUE"""),3.0)</f>
        <v>3</v>
      </c>
      <c r="F154" s="6">
        <f>IFERROR(__xludf.DUMMYFUNCTION("""COMPUTED_VALUE"""),27.0)</f>
        <v>27</v>
      </c>
      <c r="G154" s="6">
        <f>IFERROR(__xludf.DUMMYFUNCTION("""COMPUTED_VALUE"""),33.0)</f>
        <v>33</v>
      </c>
    </row>
    <row r="155">
      <c r="A155" s="6">
        <f>IFERROR(__xludf.DUMMYFUNCTION("""COMPUTED_VALUE"""),2012.0)</f>
        <v>2012</v>
      </c>
      <c r="B155" s="6" t="str">
        <f>IFERROR(__xludf.DUMMYFUNCTION("""COMPUTED_VALUE"""),"Julho")</f>
        <v>Julho</v>
      </c>
      <c r="C155" s="6" t="str">
        <f>IFERROR(__xludf.DUMMYFUNCTION("""COMPUTED_VALUE"""),"OUTROS C/C/ DIGNIDADE SEXUAL")</f>
        <v>OUTROS C/C/ DIGNIDADE SEXUAL</v>
      </c>
      <c r="D155" s="6">
        <f>IFERROR(__xludf.DUMMYFUNCTION("""COMPUTED_VALUE"""),1.0)</f>
        <v>1</v>
      </c>
      <c r="E155" s="6">
        <f>IFERROR(__xludf.DUMMYFUNCTION("""COMPUTED_VALUE"""),0.0)</f>
        <v>0</v>
      </c>
      <c r="F155" s="6">
        <f>IFERROR(__xludf.DUMMYFUNCTION("""COMPUTED_VALUE"""),9.0)</f>
        <v>9</v>
      </c>
      <c r="G155" s="6">
        <f>IFERROR(__xludf.DUMMYFUNCTION("""COMPUTED_VALUE"""),10.0)</f>
        <v>10</v>
      </c>
    </row>
    <row r="156">
      <c r="A156" s="6">
        <f>IFERROR(__xludf.DUMMYFUNCTION("""COMPUTED_VALUE"""),2012.0)</f>
        <v>2012</v>
      </c>
      <c r="B156" s="6" t="str">
        <f>IFERROR(__xludf.DUMMYFUNCTION("""COMPUTED_VALUE"""),"Agosto")</f>
        <v>Agosto</v>
      </c>
      <c r="C156" s="6" t="str">
        <f>IFERROR(__xludf.DUMMYFUNCTION("""COMPUTED_VALUE"""),"HOMICÍDIO DOLOSO (exclui FEMINICÍDIO)")</f>
        <v>HOMICÍDIO DOLOSO (exclui FEMINICÍDIO)</v>
      </c>
      <c r="D156" s="6">
        <f>IFERROR(__xludf.DUMMYFUNCTION("""COMPUTED_VALUE"""),2.0)</f>
        <v>2</v>
      </c>
      <c r="E156" s="6">
        <f>IFERROR(__xludf.DUMMYFUNCTION("""COMPUTED_VALUE"""),2.0)</f>
        <v>2</v>
      </c>
      <c r="F156" s="6">
        <f>IFERROR(__xludf.DUMMYFUNCTION("""COMPUTED_VALUE"""),4.0)</f>
        <v>4</v>
      </c>
      <c r="G156" s="6">
        <f>IFERROR(__xludf.DUMMYFUNCTION("""COMPUTED_VALUE"""),8.0)</f>
        <v>8</v>
      </c>
    </row>
    <row r="157">
      <c r="A157" s="6">
        <f>IFERROR(__xludf.DUMMYFUNCTION("""COMPUTED_VALUE"""),2012.0)</f>
        <v>2012</v>
      </c>
      <c r="B157" s="6" t="str">
        <f>IFERROR(__xludf.DUMMYFUNCTION("""COMPUTED_VALUE"""),"Agosto")</f>
        <v>Agosto</v>
      </c>
      <c r="C157" s="6" t="str">
        <f>IFERROR(__xludf.DUMMYFUNCTION("""COMPUTED_VALUE"""),"HOMICÍDIO CULPOSO")</f>
        <v>HOMICÍDIO CULPOSO</v>
      </c>
      <c r="D157" s="6">
        <f>IFERROR(__xludf.DUMMYFUNCTION("""COMPUTED_VALUE"""),0.0)</f>
        <v>0</v>
      </c>
      <c r="E157" s="6">
        <f>IFERROR(__xludf.DUMMYFUNCTION("""COMPUTED_VALUE"""),0.0)</f>
        <v>0</v>
      </c>
      <c r="F157" s="6">
        <f>IFERROR(__xludf.DUMMYFUNCTION("""COMPUTED_VALUE"""),0.0)</f>
        <v>0</v>
      </c>
      <c r="G157" s="6">
        <f>IFERROR(__xludf.DUMMYFUNCTION("""COMPUTED_VALUE"""),0.0)</f>
        <v>0</v>
      </c>
    </row>
    <row r="158">
      <c r="A158" s="6">
        <f>IFERROR(__xludf.DUMMYFUNCTION("""COMPUTED_VALUE"""),2012.0)</f>
        <v>2012</v>
      </c>
      <c r="B158" s="6" t="str">
        <f>IFERROR(__xludf.DUMMYFUNCTION("""COMPUTED_VALUE"""),"Agosto")</f>
        <v>Agosto</v>
      </c>
      <c r="C158" s="6" t="str">
        <f>IFERROR(__xludf.DUMMYFUNCTION("""COMPUTED_VALUE"""),"TENTATIVA DE HOMICÍDIO")</f>
        <v>TENTATIVA DE HOMICÍDIO</v>
      </c>
      <c r="D158" s="6">
        <f>IFERROR(__xludf.DUMMYFUNCTION("""COMPUTED_VALUE"""),5.0)</f>
        <v>5</v>
      </c>
      <c r="E158" s="6">
        <f>IFERROR(__xludf.DUMMYFUNCTION("""COMPUTED_VALUE"""),2.0)</f>
        <v>2</v>
      </c>
      <c r="F158" s="6">
        <f>IFERROR(__xludf.DUMMYFUNCTION("""COMPUTED_VALUE"""),19.0)</f>
        <v>19</v>
      </c>
      <c r="G158" s="6">
        <f>IFERROR(__xludf.DUMMYFUNCTION("""COMPUTED_VALUE"""),26.0)</f>
        <v>26</v>
      </c>
    </row>
    <row r="159">
      <c r="A159" s="6">
        <f>IFERROR(__xludf.DUMMYFUNCTION("""COMPUTED_VALUE"""),2012.0)</f>
        <v>2012</v>
      </c>
      <c r="B159" s="6" t="str">
        <f>IFERROR(__xludf.DUMMYFUNCTION("""COMPUTED_VALUE"""),"Agosto")</f>
        <v>Agosto</v>
      </c>
      <c r="C159" s="6" t="str">
        <f>IFERROR(__xludf.DUMMYFUNCTION("""COMPUTED_VALUE"""),"LESÃO CORPORAL DOLOSA")</f>
        <v>LESÃO CORPORAL DOLOSA</v>
      </c>
      <c r="D159" s="6">
        <f>IFERROR(__xludf.DUMMYFUNCTION("""COMPUTED_VALUE"""),1178.0)</f>
        <v>1178</v>
      </c>
      <c r="E159" s="6">
        <f>IFERROR(__xludf.DUMMYFUNCTION("""COMPUTED_VALUE"""),1039.0)</f>
        <v>1039</v>
      </c>
      <c r="F159" s="6">
        <f>IFERROR(__xludf.DUMMYFUNCTION("""COMPUTED_VALUE"""),3280.0)</f>
        <v>3280</v>
      </c>
      <c r="G159" s="6">
        <f>IFERROR(__xludf.DUMMYFUNCTION("""COMPUTED_VALUE"""),5497.0)</f>
        <v>5497</v>
      </c>
    </row>
    <row r="160">
      <c r="A160" s="6">
        <f>IFERROR(__xludf.DUMMYFUNCTION("""COMPUTED_VALUE"""),2012.0)</f>
        <v>2012</v>
      </c>
      <c r="B160" s="6" t="str">
        <f>IFERROR(__xludf.DUMMYFUNCTION("""COMPUTED_VALUE"""),"Agosto")</f>
        <v>Agosto</v>
      </c>
      <c r="C160" s="6" t="str">
        <f>IFERROR(__xludf.DUMMYFUNCTION("""COMPUTED_VALUE"""),"MAUS TRATOS")</f>
        <v>MAUS TRATOS</v>
      </c>
      <c r="D160" s="6">
        <f>IFERROR(__xludf.DUMMYFUNCTION("""COMPUTED_VALUE"""),5.0)</f>
        <v>5</v>
      </c>
      <c r="E160" s="6">
        <f>IFERROR(__xludf.DUMMYFUNCTION("""COMPUTED_VALUE"""),6.0)</f>
        <v>6</v>
      </c>
      <c r="F160" s="6">
        <f>IFERROR(__xludf.DUMMYFUNCTION("""COMPUTED_VALUE"""),50.0)</f>
        <v>50</v>
      </c>
      <c r="G160" s="6">
        <f>IFERROR(__xludf.DUMMYFUNCTION("""COMPUTED_VALUE"""),61.0)</f>
        <v>61</v>
      </c>
    </row>
    <row r="161">
      <c r="A161" s="6">
        <f>IFERROR(__xludf.DUMMYFUNCTION("""COMPUTED_VALUE"""),2012.0)</f>
        <v>2012</v>
      </c>
      <c r="B161" s="6" t="str">
        <f>IFERROR(__xludf.DUMMYFUNCTION("""COMPUTED_VALUE"""),"Agosto")</f>
        <v>Agosto</v>
      </c>
      <c r="C161" s="6" t="str">
        <f>IFERROR(__xludf.DUMMYFUNCTION("""COMPUTED_VALUE"""),"CALÚNIA - DIFAMAÇÃO - INJÚRIA")</f>
        <v>CALÚNIA - DIFAMAÇÃO - INJÚRIA</v>
      </c>
      <c r="D161" s="6">
        <f>IFERROR(__xludf.DUMMYFUNCTION("""COMPUTED_VALUE"""),259.0)</f>
        <v>259</v>
      </c>
      <c r="E161" s="6">
        <f>IFERROR(__xludf.DUMMYFUNCTION("""COMPUTED_VALUE"""),179.0)</f>
        <v>179</v>
      </c>
      <c r="F161" s="6">
        <f>IFERROR(__xludf.DUMMYFUNCTION("""COMPUTED_VALUE"""),940.0)</f>
        <v>940</v>
      </c>
      <c r="G161" s="6">
        <f>IFERROR(__xludf.DUMMYFUNCTION("""COMPUTED_VALUE"""),1378.0)</f>
        <v>1378</v>
      </c>
    </row>
    <row r="162">
      <c r="A162" s="6">
        <f>IFERROR(__xludf.DUMMYFUNCTION("""COMPUTED_VALUE"""),2012.0)</f>
        <v>2012</v>
      </c>
      <c r="B162" s="6" t="str">
        <f>IFERROR(__xludf.DUMMYFUNCTION("""COMPUTED_VALUE"""),"Agosto")</f>
        <v>Agosto</v>
      </c>
      <c r="C162" s="6" t="str">
        <f>IFERROR(__xludf.DUMMYFUNCTION("""COMPUTED_VALUE"""),"CONSTRANGIMENTO ILEGAL")</f>
        <v>CONSTRANGIMENTO ILEGAL</v>
      </c>
      <c r="D162" s="6">
        <f>IFERROR(__xludf.DUMMYFUNCTION("""COMPUTED_VALUE"""),3.0)</f>
        <v>3</v>
      </c>
      <c r="E162" s="6">
        <f>IFERROR(__xludf.DUMMYFUNCTION("""COMPUTED_VALUE"""),0.0)</f>
        <v>0</v>
      </c>
      <c r="F162" s="6">
        <f>IFERROR(__xludf.DUMMYFUNCTION("""COMPUTED_VALUE"""),15.0)</f>
        <v>15</v>
      </c>
      <c r="G162" s="6">
        <f>IFERROR(__xludf.DUMMYFUNCTION("""COMPUTED_VALUE"""),18.0)</f>
        <v>18</v>
      </c>
    </row>
    <row r="163">
      <c r="A163" s="6">
        <f>IFERROR(__xludf.DUMMYFUNCTION("""COMPUTED_VALUE"""),2012.0)</f>
        <v>2012</v>
      </c>
      <c r="B163" s="6" t="str">
        <f>IFERROR(__xludf.DUMMYFUNCTION("""COMPUTED_VALUE"""),"Agosto")</f>
        <v>Agosto</v>
      </c>
      <c r="C163" s="6" t="str">
        <f>IFERROR(__xludf.DUMMYFUNCTION("""COMPUTED_VALUE"""),"AMEAÇA")</f>
        <v>AMEAÇA</v>
      </c>
      <c r="D163" s="6">
        <f>IFERROR(__xludf.DUMMYFUNCTION("""COMPUTED_VALUE"""),1100.0)</f>
        <v>1100</v>
      </c>
      <c r="E163" s="6">
        <f>IFERROR(__xludf.DUMMYFUNCTION("""COMPUTED_VALUE"""),993.0)</f>
        <v>993</v>
      </c>
      <c r="F163" s="6">
        <f>IFERROR(__xludf.DUMMYFUNCTION("""COMPUTED_VALUE"""),3474.0)</f>
        <v>3474</v>
      </c>
      <c r="G163" s="6">
        <f>IFERROR(__xludf.DUMMYFUNCTION("""COMPUTED_VALUE"""),5567.0)</f>
        <v>5567</v>
      </c>
    </row>
    <row r="164">
      <c r="A164" s="6">
        <f>IFERROR(__xludf.DUMMYFUNCTION("""COMPUTED_VALUE"""),2012.0)</f>
        <v>2012</v>
      </c>
      <c r="B164" s="6" t="str">
        <f>IFERROR(__xludf.DUMMYFUNCTION("""COMPUTED_VALUE"""),"Agosto")</f>
        <v>Agosto</v>
      </c>
      <c r="C164" s="6" t="str">
        <f>IFERROR(__xludf.DUMMYFUNCTION("""COMPUTED_VALUE"""),"INVASÃO DE DOMICÍLIO")</f>
        <v>INVASÃO DE DOMICÍLIO</v>
      </c>
      <c r="D164" s="6">
        <f>IFERROR(__xludf.DUMMYFUNCTION("""COMPUTED_VALUE"""),4.0)</f>
        <v>4</v>
      </c>
      <c r="E164" s="6">
        <f>IFERROR(__xludf.DUMMYFUNCTION("""COMPUTED_VALUE"""),5.0)</f>
        <v>5</v>
      </c>
      <c r="F164" s="6">
        <f>IFERROR(__xludf.DUMMYFUNCTION("""COMPUTED_VALUE"""),26.0)</f>
        <v>26</v>
      </c>
      <c r="G164" s="6">
        <f>IFERROR(__xludf.DUMMYFUNCTION("""COMPUTED_VALUE"""),35.0)</f>
        <v>35</v>
      </c>
    </row>
    <row r="165">
      <c r="A165" s="6">
        <f>IFERROR(__xludf.DUMMYFUNCTION("""COMPUTED_VALUE"""),2012.0)</f>
        <v>2012</v>
      </c>
      <c r="B165" s="6" t="str">
        <f>IFERROR(__xludf.DUMMYFUNCTION("""COMPUTED_VALUE"""),"Agosto")</f>
        <v>Agosto</v>
      </c>
      <c r="C165" s="6" t="str">
        <f>IFERROR(__xludf.DUMMYFUNCTION("""COMPUTED_VALUE"""),"DANO")</f>
        <v>DANO</v>
      </c>
      <c r="D165" s="6">
        <f>IFERROR(__xludf.DUMMYFUNCTION("""COMPUTED_VALUE"""),12.0)</f>
        <v>12</v>
      </c>
      <c r="E165" s="6">
        <f>IFERROR(__xludf.DUMMYFUNCTION("""COMPUTED_VALUE"""),17.0)</f>
        <v>17</v>
      </c>
      <c r="F165" s="6">
        <f>IFERROR(__xludf.DUMMYFUNCTION("""COMPUTED_VALUE"""),78.0)</f>
        <v>78</v>
      </c>
      <c r="G165" s="6">
        <f>IFERROR(__xludf.DUMMYFUNCTION("""COMPUTED_VALUE"""),107.0)</f>
        <v>107</v>
      </c>
    </row>
    <row r="166">
      <c r="A166" s="6">
        <f>IFERROR(__xludf.DUMMYFUNCTION("""COMPUTED_VALUE"""),2012.0)</f>
        <v>2012</v>
      </c>
      <c r="B166" s="6" t="str">
        <f>IFERROR(__xludf.DUMMYFUNCTION("""COMPUTED_VALUE"""),"Agosto")</f>
        <v>Agosto</v>
      </c>
      <c r="C166" s="6" t="str">
        <f>IFERROR(__xludf.DUMMYFUNCTION("""COMPUTED_VALUE"""),"ESTUPRO CONSUMADO")</f>
        <v>ESTUPRO CONSUMADO</v>
      </c>
      <c r="D166" s="6">
        <f>IFERROR(__xludf.DUMMYFUNCTION("""COMPUTED_VALUE"""),17.0)</f>
        <v>17</v>
      </c>
      <c r="E166" s="6">
        <f>IFERROR(__xludf.DUMMYFUNCTION("""COMPUTED_VALUE"""),9.0)</f>
        <v>9</v>
      </c>
      <c r="F166" s="6">
        <f>IFERROR(__xludf.DUMMYFUNCTION("""COMPUTED_VALUE"""),19.0)</f>
        <v>19</v>
      </c>
      <c r="G166" s="6">
        <f>IFERROR(__xludf.DUMMYFUNCTION("""COMPUTED_VALUE"""),45.0)</f>
        <v>45</v>
      </c>
    </row>
    <row r="167">
      <c r="A167" s="6">
        <f>IFERROR(__xludf.DUMMYFUNCTION("""COMPUTED_VALUE"""),2012.0)</f>
        <v>2012</v>
      </c>
      <c r="B167" s="6" t="str">
        <f>IFERROR(__xludf.DUMMYFUNCTION("""COMPUTED_VALUE"""),"Agosto")</f>
        <v>Agosto</v>
      </c>
      <c r="C167" s="6" t="str">
        <f>IFERROR(__xludf.DUMMYFUNCTION("""COMPUTED_VALUE"""),"ESTUPRO TENTADO")</f>
        <v>ESTUPRO TENTADO</v>
      </c>
      <c r="D167" s="6">
        <f>IFERROR(__xludf.DUMMYFUNCTION("""COMPUTED_VALUE"""),1.0)</f>
        <v>1</v>
      </c>
      <c r="E167" s="6">
        <f>IFERROR(__xludf.DUMMYFUNCTION("""COMPUTED_VALUE"""),1.0)</f>
        <v>1</v>
      </c>
      <c r="F167" s="6">
        <f>IFERROR(__xludf.DUMMYFUNCTION("""COMPUTED_VALUE"""),1.0)</f>
        <v>1</v>
      </c>
      <c r="G167" s="6">
        <f>IFERROR(__xludf.DUMMYFUNCTION("""COMPUTED_VALUE"""),3.0)</f>
        <v>3</v>
      </c>
    </row>
    <row r="168">
      <c r="A168" s="6">
        <f>IFERROR(__xludf.DUMMYFUNCTION("""COMPUTED_VALUE"""),2012.0)</f>
        <v>2012</v>
      </c>
      <c r="B168" s="6" t="str">
        <f>IFERROR(__xludf.DUMMYFUNCTION("""COMPUTED_VALUE"""),"Agosto")</f>
        <v>Agosto</v>
      </c>
      <c r="C168" s="6" t="str">
        <f>IFERROR(__xludf.DUMMYFUNCTION("""COMPUTED_VALUE"""),"ESTUPRO DE VULNERÁVEL CONSUMADO")</f>
        <v>ESTUPRO DE VULNERÁVEL CONSUMADO</v>
      </c>
      <c r="D168" s="6">
        <f>IFERROR(__xludf.DUMMYFUNCTION("""COMPUTED_VALUE"""),7.0)</f>
        <v>7</v>
      </c>
      <c r="E168" s="6">
        <f>IFERROR(__xludf.DUMMYFUNCTION("""COMPUTED_VALUE"""),8.0)</f>
        <v>8</v>
      </c>
      <c r="F168" s="6">
        <f>IFERROR(__xludf.DUMMYFUNCTION("""COMPUTED_VALUE"""),20.0)</f>
        <v>20</v>
      </c>
      <c r="G168" s="6">
        <f>IFERROR(__xludf.DUMMYFUNCTION("""COMPUTED_VALUE"""),35.0)</f>
        <v>35</v>
      </c>
    </row>
    <row r="169">
      <c r="A169" s="6">
        <f>IFERROR(__xludf.DUMMYFUNCTION("""COMPUTED_VALUE"""),2012.0)</f>
        <v>2012</v>
      </c>
      <c r="B169" s="6" t="str">
        <f>IFERROR(__xludf.DUMMYFUNCTION("""COMPUTED_VALUE"""),"Agosto")</f>
        <v>Agosto</v>
      </c>
      <c r="C169" s="6" t="str">
        <f>IFERROR(__xludf.DUMMYFUNCTION("""COMPUTED_VALUE"""),"OUTROS C/C/ DIGNIDADE SEXUAL")</f>
        <v>OUTROS C/C/ DIGNIDADE SEXUAL</v>
      </c>
      <c r="D169" s="6">
        <f>IFERROR(__xludf.DUMMYFUNCTION("""COMPUTED_VALUE"""),2.0)</f>
        <v>2</v>
      </c>
      <c r="E169" s="6">
        <f>IFERROR(__xludf.DUMMYFUNCTION("""COMPUTED_VALUE"""),0.0)</f>
        <v>0</v>
      </c>
      <c r="F169" s="6">
        <f>IFERROR(__xludf.DUMMYFUNCTION("""COMPUTED_VALUE"""),6.0)</f>
        <v>6</v>
      </c>
      <c r="G169" s="6">
        <f>IFERROR(__xludf.DUMMYFUNCTION("""COMPUTED_VALUE"""),8.0)</f>
        <v>8</v>
      </c>
    </row>
    <row r="170">
      <c r="A170" s="6">
        <f>IFERROR(__xludf.DUMMYFUNCTION("""COMPUTED_VALUE"""),2012.0)</f>
        <v>2012</v>
      </c>
      <c r="B170" s="6" t="str">
        <f>IFERROR(__xludf.DUMMYFUNCTION("""COMPUTED_VALUE"""),"Setembro")</f>
        <v>Setembro</v>
      </c>
      <c r="C170" s="6" t="str">
        <f>IFERROR(__xludf.DUMMYFUNCTION("""COMPUTED_VALUE"""),"HOMICÍDIO DOLOSO (exclui FEMINICÍDIO)")</f>
        <v>HOMICÍDIO DOLOSO (exclui FEMINICÍDIO)</v>
      </c>
      <c r="D170" s="6">
        <f>IFERROR(__xludf.DUMMYFUNCTION("""COMPUTED_VALUE"""),1.0)</f>
        <v>1</v>
      </c>
      <c r="E170" s="6">
        <f>IFERROR(__xludf.DUMMYFUNCTION("""COMPUTED_VALUE"""),0.0)</f>
        <v>0</v>
      </c>
      <c r="F170" s="6">
        <f>IFERROR(__xludf.DUMMYFUNCTION("""COMPUTED_VALUE"""),7.0)</f>
        <v>7</v>
      </c>
      <c r="G170" s="6">
        <f>IFERROR(__xludf.DUMMYFUNCTION("""COMPUTED_VALUE"""),8.0)</f>
        <v>8</v>
      </c>
    </row>
    <row r="171">
      <c r="A171" s="6">
        <f>IFERROR(__xludf.DUMMYFUNCTION("""COMPUTED_VALUE"""),2012.0)</f>
        <v>2012</v>
      </c>
      <c r="B171" s="6" t="str">
        <f>IFERROR(__xludf.DUMMYFUNCTION("""COMPUTED_VALUE"""),"Setembro")</f>
        <v>Setembro</v>
      </c>
      <c r="C171" s="6" t="str">
        <f>IFERROR(__xludf.DUMMYFUNCTION("""COMPUTED_VALUE"""),"HOMICÍDIO CULPOSO")</f>
        <v>HOMICÍDIO CULPOSO</v>
      </c>
      <c r="D171" s="6">
        <f>IFERROR(__xludf.DUMMYFUNCTION("""COMPUTED_VALUE"""),0.0)</f>
        <v>0</v>
      </c>
      <c r="E171" s="6">
        <f>IFERROR(__xludf.DUMMYFUNCTION("""COMPUTED_VALUE"""),0.0)</f>
        <v>0</v>
      </c>
      <c r="F171" s="6">
        <f>IFERROR(__xludf.DUMMYFUNCTION("""COMPUTED_VALUE"""),0.0)</f>
        <v>0</v>
      </c>
      <c r="G171" s="6">
        <f>IFERROR(__xludf.DUMMYFUNCTION("""COMPUTED_VALUE"""),0.0)</f>
        <v>0</v>
      </c>
    </row>
    <row r="172">
      <c r="A172" s="6">
        <f>IFERROR(__xludf.DUMMYFUNCTION("""COMPUTED_VALUE"""),2012.0)</f>
        <v>2012</v>
      </c>
      <c r="B172" s="6" t="str">
        <f>IFERROR(__xludf.DUMMYFUNCTION("""COMPUTED_VALUE"""),"Setembro")</f>
        <v>Setembro</v>
      </c>
      <c r="C172" s="6" t="str">
        <f>IFERROR(__xludf.DUMMYFUNCTION("""COMPUTED_VALUE"""),"TENTATIVA DE HOMICÍDIO")</f>
        <v>TENTATIVA DE HOMICÍDIO</v>
      </c>
      <c r="D172" s="6">
        <f>IFERROR(__xludf.DUMMYFUNCTION("""COMPUTED_VALUE"""),7.0)</f>
        <v>7</v>
      </c>
      <c r="E172" s="6">
        <f>IFERROR(__xludf.DUMMYFUNCTION("""COMPUTED_VALUE"""),4.0)</f>
        <v>4</v>
      </c>
      <c r="F172" s="6">
        <f>IFERROR(__xludf.DUMMYFUNCTION("""COMPUTED_VALUE"""),18.0)</f>
        <v>18</v>
      </c>
      <c r="G172" s="6">
        <f>IFERROR(__xludf.DUMMYFUNCTION("""COMPUTED_VALUE"""),29.0)</f>
        <v>29</v>
      </c>
    </row>
    <row r="173">
      <c r="A173" s="6">
        <f>IFERROR(__xludf.DUMMYFUNCTION("""COMPUTED_VALUE"""),2012.0)</f>
        <v>2012</v>
      </c>
      <c r="B173" s="6" t="str">
        <f>IFERROR(__xludf.DUMMYFUNCTION("""COMPUTED_VALUE"""),"Setembro")</f>
        <v>Setembro</v>
      </c>
      <c r="C173" s="6" t="str">
        <f>IFERROR(__xludf.DUMMYFUNCTION("""COMPUTED_VALUE"""),"LESÃO CORPORAL DOLOSA")</f>
        <v>LESÃO CORPORAL DOLOSA</v>
      </c>
      <c r="D173" s="6">
        <f>IFERROR(__xludf.DUMMYFUNCTION("""COMPUTED_VALUE"""),1243.0)</f>
        <v>1243</v>
      </c>
      <c r="E173" s="6">
        <f>IFERROR(__xludf.DUMMYFUNCTION("""COMPUTED_VALUE"""),1121.0)</f>
        <v>1121</v>
      </c>
      <c r="F173" s="6">
        <f>IFERROR(__xludf.DUMMYFUNCTION("""COMPUTED_VALUE"""),3747.0)</f>
        <v>3747</v>
      </c>
      <c r="G173" s="6">
        <f>IFERROR(__xludf.DUMMYFUNCTION("""COMPUTED_VALUE"""),6111.0)</f>
        <v>6111</v>
      </c>
    </row>
    <row r="174">
      <c r="A174" s="6">
        <f>IFERROR(__xludf.DUMMYFUNCTION("""COMPUTED_VALUE"""),2012.0)</f>
        <v>2012</v>
      </c>
      <c r="B174" s="6" t="str">
        <f>IFERROR(__xludf.DUMMYFUNCTION("""COMPUTED_VALUE"""),"Setembro")</f>
        <v>Setembro</v>
      </c>
      <c r="C174" s="6" t="str">
        <f>IFERROR(__xludf.DUMMYFUNCTION("""COMPUTED_VALUE"""),"MAUS TRATOS")</f>
        <v>MAUS TRATOS</v>
      </c>
      <c r="D174" s="6">
        <f>IFERROR(__xludf.DUMMYFUNCTION("""COMPUTED_VALUE"""),6.0)</f>
        <v>6</v>
      </c>
      <c r="E174" s="6">
        <f>IFERROR(__xludf.DUMMYFUNCTION("""COMPUTED_VALUE"""),7.0)</f>
        <v>7</v>
      </c>
      <c r="F174" s="6">
        <f>IFERROR(__xludf.DUMMYFUNCTION("""COMPUTED_VALUE"""),42.0)</f>
        <v>42</v>
      </c>
      <c r="G174" s="6">
        <f>IFERROR(__xludf.DUMMYFUNCTION("""COMPUTED_VALUE"""),55.0)</f>
        <v>55</v>
      </c>
    </row>
    <row r="175">
      <c r="A175" s="6">
        <f>IFERROR(__xludf.DUMMYFUNCTION("""COMPUTED_VALUE"""),2012.0)</f>
        <v>2012</v>
      </c>
      <c r="B175" s="6" t="str">
        <f>IFERROR(__xludf.DUMMYFUNCTION("""COMPUTED_VALUE"""),"Setembro")</f>
        <v>Setembro</v>
      </c>
      <c r="C175" s="6" t="str">
        <f>IFERROR(__xludf.DUMMYFUNCTION("""COMPUTED_VALUE"""),"CALÚNIA - DIFAMAÇÃO - INJÚRIA")</f>
        <v>CALÚNIA - DIFAMAÇÃO - INJÚRIA</v>
      </c>
      <c r="D175" s="6">
        <f>IFERROR(__xludf.DUMMYFUNCTION("""COMPUTED_VALUE"""),237.0)</f>
        <v>237</v>
      </c>
      <c r="E175" s="6">
        <f>IFERROR(__xludf.DUMMYFUNCTION("""COMPUTED_VALUE"""),159.0)</f>
        <v>159</v>
      </c>
      <c r="F175" s="6">
        <f>IFERROR(__xludf.DUMMYFUNCTION("""COMPUTED_VALUE"""),927.0)</f>
        <v>927</v>
      </c>
      <c r="G175" s="6">
        <f>IFERROR(__xludf.DUMMYFUNCTION("""COMPUTED_VALUE"""),1323.0)</f>
        <v>1323</v>
      </c>
    </row>
    <row r="176">
      <c r="A176" s="6">
        <f>IFERROR(__xludf.DUMMYFUNCTION("""COMPUTED_VALUE"""),2012.0)</f>
        <v>2012</v>
      </c>
      <c r="B176" s="6" t="str">
        <f>IFERROR(__xludf.DUMMYFUNCTION("""COMPUTED_VALUE"""),"Setembro")</f>
        <v>Setembro</v>
      </c>
      <c r="C176" s="6" t="str">
        <f>IFERROR(__xludf.DUMMYFUNCTION("""COMPUTED_VALUE"""),"CONSTRANGIMENTO ILEGAL")</f>
        <v>CONSTRANGIMENTO ILEGAL</v>
      </c>
      <c r="D176" s="6">
        <f>IFERROR(__xludf.DUMMYFUNCTION("""COMPUTED_VALUE"""),0.0)</f>
        <v>0</v>
      </c>
      <c r="E176" s="6">
        <f>IFERROR(__xludf.DUMMYFUNCTION("""COMPUTED_VALUE"""),1.0)</f>
        <v>1</v>
      </c>
      <c r="F176" s="6">
        <f>IFERROR(__xludf.DUMMYFUNCTION("""COMPUTED_VALUE"""),13.0)</f>
        <v>13</v>
      </c>
      <c r="G176" s="6">
        <f>IFERROR(__xludf.DUMMYFUNCTION("""COMPUTED_VALUE"""),14.0)</f>
        <v>14</v>
      </c>
    </row>
    <row r="177">
      <c r="A177" s="6">
        <f>IFERROR(__xludf.DUMMYFUNCTION("""COMPUTED_VALUE"""),2012.0)</f>
        <v>2012</v>
      </c>
      <c r="B177" s="6" t="str">
        <f>IFERROR(__xludf.DUMMYFUNCTION("""COMPUTED_VALUE"""),"Setembro")</f>
        <v>Setembro</v>
      </c>
      <c r="C177" s="6" t="str">
        <f>IFERROR(__xludf.DUMMYFUNCTION("""COMPUTED_VALUE"""),"AMEAÇA")</f>
        <v>AMEAÇA</v>
      </c>
      <c r="D177" s="6">
        <f>IFERROR(__xludf.DUMMYFUNCTION("""COMPUTED_VALUE"""),1111.0)</f>
        <v>1111</v>
      </c>
      <c r="E177" s="6">
        <f>IFERROR(__xludf.DUMMYFUNCTION("""COMPUTED_VALUE"""),1047.0)</f>
        <v>1047</v>
      </c>
      <c r="F177" s="6">
        <f>IFERROR(__xludf.DUMMYFUNCTION("""COMPUTED_VALUE"""),3704.0)</f>
        <v>3704</v>
      </c>
      <c r="G177" s="6">
        <f>IFERROR(__xludf.DUMMYFUNCTION("""COMPUTED_VALUE"""),5862.0)</f>
        <v>5862</v>
      </c>
    </row>
    <row r="178">
      <c r="A178" s="6">
        <f>IFERROR(__xludf.DUMMYFUNCTION("""COMPUTED_VALUE"""),2012.0)</f>
        <v>2012</v>
      </c>
      <c r="B178" s="6" t="str">
        <f>IFERROR(__xludf.DUMMYFUNCTION("""COMPUTED_VALUE"""),"Setembro")</f>
        <v>Setembro</v>
      </c>
      <c r="C178" s="6" t="str">
        <f>IFERROR(__xludf.DUMMYFUNCTION("""COMPUTED_VALUE"""),"INVASÃO DE DOMICÍLIO")</f>
        <v>INVASÃO DE DOMICÍLIO</v>
      </c>
      <c r="D178" s="6">
        <f>IFERROR(__xludf.DUMMYFUNCTION("""COMPUTED_VALUE"""),1.0)</f>
        <v>1</v>
      </c>
      <c r="E178" s="6">
        <f>IFERROR(__xludf.DUMMYFUNCTION("""COMPUTED_VALUE"""),5.0)</f>
        <v>5</v>
      </c>
      <c r="F178" s="6">
        <f>IFERROR(__xludf.DUMMYFUNCTION("""COMPUTED_VALUE"""),24.0)</f>
        <v>24</v>
      </c>
      <c r="G178" s="6">
        <f>IFERROR(__xludf.DUMMYFUNCTION("""COMPUTED_VALUE"""),30.0)</f>
        <v>30</v>
      </c>
    </row>
    <row r="179">
      <c r="A179" s="6">
        <f>IFERROR(__xludf.DUMMYFUNCTION("""COMPUTED_VALUE"""),2012.0)</f>
        <v>2012</v>
      </c>
      <c r="B179" s="6" t="str">
        <f>IFERROR(__xludf.DUMMYFUNCTION("""COMPUTED_VALUE"""),"Setembro")</f>
        <v>Setembro</v>
      </c>
      <c r="C179" s="6" t="str">
        <f>IFERROR(__xludf.DUMMYFUNCTION("""COMPUTED_VALUE"""),"DANO")</f>
        <v>DANO</v>
      </c>
      <c r="D179" s="6">
        <f>IFERROR(__xludf.DUMMYFUNCTION("""COMPUTED_VALUE"""),16.0)</f>
        <v>16</v>
      </c>
      <c r="E179" s="6">
        <f>IFERROR(__xludf.DUMMYFUNCTION("""COMPUTED_VALUE"""),13.0)</f>
        <v>13</v>
      </c>
      <c r="F179" s="6">
        <f>IFERROR(__xludf.DUMMYFUNCTION("""COMPUTED_VALUE"""),70.0)</f>
        <v>70</v>
      </c>
      <c r="G179" s="6">
        <f>IFERROR(__xludf.DUMMYFUNCTION("""COMPUTED_VALUE"""),99.0)</f>
        <v>99</v>
      </c>
    </row>
    <row r="180">
      <c r="A180" s="6">
        <f>IFERROR(__xludf.DUMMYFUNCTION("""COMPUTED_VALUE"""),2012.0)</f>
        <v>2012</v>
      </c>
      <c r="B180" s="6" t="str">
        <f>IFERROR(__xludf.DUMMYFUNCTION("""COMPUTED_VALUE"""),"Setembro")</f>
        <v>Setembro</v>
      </c>
      <c r="C180" s="6" t="str">
        <f>IFERROR(__xludf.DUMMYFUNCTION("""COMPUTED_VALUE"""),"ESTUPRO CONSUMADO")</f>
        <v>ESTUPRO CONSUMADO</v>
      </c>
      <c r="D180" s="6">
        <f>IFERROR(__xludf.DUMMYFUNCTION("""COMPUTED_VALUE"""),15.0)</f>
        <v>15</v>
      </c>
      <c r="E180" s="6">
        <f>IFERROR(__xludf.DUMMYFUNCTION("""COMPUTED_VALUE"""),15.0)</f>
        <v>15</v>
      </c>
      <c r="F180" s="6">
        <f>IFERROR(__xludf.DUMMYFUNCTION("""COMPUTED_VALUE"""),27.0)</f>
        <v>27</v>
      </c>
      <c r="G180" s="6">
        <f>IFERROR(__xludf.DUMMYFUNCTION("""COMPUTED_VALUE"""),57.0)</f>
        <v>57</v>
      </c>
    </row>
    <row r="181">
      <c r="A181" s="6">
        <f>IFERROR(__xludf.DUMMYFUNCTION("""COMPUTED_VALUE"""),2012.0)</f>
        <v>2012</v>
      </c>
      <c r="B181" s="6" t="str">
        <f>IFERROR(__xludf.DUMMYFUNCTION("""COMPUTED_VALUE"""),"Setembro")</f>
        <v>Setembro</v>
      </c>
      <c r="C181" s="6" t="str">
        <f>IFERROR(__xludf.DUMMYFUNCTION("""COMPUTED_VALUE"""),"ESTUPRO TENTADO")</f>
        <v>ESTUPRO TENTADO</v>
      </c>
      <c r="D181" s="6">
        <f>IFERROR(__xludf.DUMMYFUNCTION("""COMPUTED_VALUE"""),0.0)</f>
        <v>0</v>
      </c>
      <c r="E181" s="6">
        <f>IFERROR(__xludf.DUMMYFUNCTION("""COMPUTED_VALUE"""),0.0)</f>
        <v>0</v>
      </c>
      <c r="F181" s="6">
        <f>IFERROR(__xludf.DUMMYFUNCTION("""COMPUTED_VALUE"""),0.0)</f>
        <v>0</v>
      </c>
      <c r="G181" s="6">
        <f>IFERROR(__xludf.DUMMYFUNCTION("""COMPUTED_VALUE"""),0.0)</f>
        <v>0</v>
      </c>
    </row>
    <row r="182">
      <c r="A182" s="6">
        <f>IFERROR(__xludf.DUMMYFUNCTION("""COMPUTED_VALUE"""),2012.0)</f>
        <v>2012</v>
      </c>
      <c r="B182" s="6" t="str">
        <f>IFERROR(__xludf.DUMMYFUNCTION("""COMPUTED_VALUE"""),"Setembro")</f>
        <v>Setembro</v>
      </c>
      <c r="C182" s="6" t="str">
        <f>IFERROR(__xludf.DUMMYFUNCTION("""COMPUTED_VALUE"""),"ESTUPRO DE VULNERÁVEL CONSUMADO")</f>
        <v>ESTUPRO DE VULNERÁVEL CONSUMADO</v>
      </c>
      <c r="D182" s="6">
        <f>IFERROR(__xludf.DUMMYFUNCTION("""COMPUTED_VALUE"""),3.0)</f>
        <v>3</v>
      </c>
      <c r="E182" s="6">
        <f>IFERROR(__xludf.DUMMYFUNCTION("""COMPUTED_VALUE"""),5.0)</f>
        <v>5</v>
      </c>
      <c r="F182" s="6">
        <f>IFERROR(__xludf.DUMMYFUNCTION("""COMPUTED_VALUE"""),16.0)</f>
        <v>16</v>
      </c>
      <c r="G182" s="6">
        <f>IFERROR(__xludf.DUMMYFUNCTION("""COMPUTED_VALUE"""),24.0)</f>
        <v>24</v>
      </c>
    </row>
    <row r="183">
      <c r="A183" s="6">
        <f>IFERROR(__xludf.DUMMYFUNCTION("""COMPUTED_VALUE"""),2012.0)</f>
        <v>2012</v>
      </c>
      <c r="B183" s="6" t="str">
        <f>IFERROR(__xludf.DUMMYFUNCTION("""COMPUTED_VALUE"""),"Setembro")</f>
        <v>Setembro</v>
      </c>
      <c r="C183" s="6" t="str">
        <f>IFERROR(__xludf.DUMMYFUNCTION("""COMPUTED_VALUE"""),"OUTROS C/C/ DIGNIDADE SEXUAL")</f>
        <v>OUTROS C/C/ DIGNIDADE SEXUAL</v>
      </c>
      <c r="D183" s="6">
        <f>IFERROR(__xludf.DUMMYFUNCTION("""COMPUTED_VALUE"""),5.0)</f>
        <v>5</v>
      </c>
      <c r="E183" s="6">
        <f>IFERROR(__xludf.DUMMYFUNCTION("""COMPUTED_VALUE"""),0.0)</f>
        <v>0</v>
      </c>
      <c r="F183" s="6">
        <f>IFERROR(__xludf.DUMMYFUNCTION("""COMPUTED_VALUE"""),5.0)</f>
        <v>5</v>
      </c>
      <c r="G183" s="6">
        <f>IFERROR(__xludf.DUMMYFUNCTION("""COMPUTED_VALUE"""),10.0)</f>
        <v>10</v>
      </c>
    </row>
    <row r="184">
      <c r="A184" s="6">
        <f>IFERROR(__xludf.DUMMYFUNCTION("""COMPUTED_VALUE"""),2012.0)</f>
        <v>2012</v>
      </c>
      <c r="B184" s="6" t="str">
        <f>IFERROR(__xludf.DUMMYFUNCTION("""COMPUTED_VALUE"""),"Outubro")</f>
        <v>Outubro</v>
      </c>
      <c r="C184" s="6" t="str">
        <f>IFERROR(__xludf.DUMMYFUNCTION("""COMPUTED_VALUE"""),"HOMICÍDIO DOLOSO (exclui FEMINICÍDIO)")</f>
        <v>HOMICÍDIO DOLOSO (exclui FEMINICÍDIO)</v>
      </c>
      <c r="D184" s="6">
        <f>IFERROR(__xludf.DUMMYFUNCTION("""COMPUTED_VALUE"""),2.0)</f>
        <v>2</v>
      </c>
      <c r="E184" s="6">
        <f>IFERROR(__xludf.DUMMYFUNCTION("""COMPUTED_VALUE"""),1.0)</f>
        <v>1</v>
      </c>
      <c r="F184" s="6">
        <f>IFERROR(__xludf.DUMMYFUNCTION("""COMPUTED_VALUE"""),5.0)</f>
        <v>5</v>
      </c>
      <c r="G184" s="6">
        <f>IFERROR(__xludf.DUMMYFUNCTION("""COMPUTED_VALUE"""),8.0)</f>
        <v>8</v>
      </c>
    </row>
    <row r="185">
      <c r="A185" s="6">
        <f>IFERROR(__xludf.DUMMYFUNCTION("""COMPUTED_VALUE"""),2012.0)</f>
        <v>2012</v>
      </c>
      <c r="B185" s="6" t="str">
        <f>IFERROR(__xludf.DUMMYFUNCTION("""COMPUTED_VALUE"""),"Outubro")</f>
        <v>Outubro</v>
      </c>
      <c r="C185" s="6" t="str">
        <f>IFERROR(__xludf.DUMMYFUNCTION("""COMPUTED_VALUE"""),"HOMICÍDIO CULPOSO")</f>
        <v>HOMICÍDIO CULPOSO</v>
      </c>
      <c r="D185" s="6">
        <f>IFERROR(__xludf.DUMMYFUNCTION("""COMPUTED_VALUE"""),0.0)</f>
        <v>0</v>
      </c>
      <c r="E185" s="6">
        <f>IFERROR(__xludf.DUMMYFUNCTION("""COMPUTED_VALUE"""),0.0)</f>
        <v>0</v>
      </c>
      <c r="F185" s="6">
        <f>IFERROR(__xludf.DUMMYFUNCTION("""COMPUTED_VALUE"""),0.0)</f>
        <v>0</v>
      </c>
      <c r="G185" s="6">
        <f>IFERROR(__xludf.DUMMYFUNCTION("""COMPUTED_VALUE"""),0.0)</f>
        <v>0</v>
      </c>
    </row>
    <row r="186">
      <c r="A186" s="6">
        <f>IFERROR(__xludf.DUMMYFUNCTION("""COMPUTED_VALUE"""),2012.0)</f>
        <v>2012</v>
      </c>
      <c r="B186" s="6" t="str">
        <f>IFERROR(__xludf.DUMMYFUNCTION("""COMPUTED_VALUE"""),"Outubro")</f>
        <v>Outubro</v>
      </c>
      <c r="C186" s="6" t="str">
        <f>IFERROR(__xludf.DUMMYFUNCTION("""COMPUTED_VALUE"""),"TENTATIVA DE HOMICÍDIO")</f>
        <v>TENTATIVA DE HOMICÍDIO</v>
      </c>
      <c r="D186" s="6">
        <f>IFERROR(__xludf.DUMMYFUNCTION("""COMPUTED_VALUE"""),3.0)</f>
        <v>3</v>
      </c>
      <c r="E186" s="6">
        <f>IFERROR(__xludf.DUMMYFUNCTION("""COMPUTED_VALUE"""),5.0)</f>
        <v>5</v>
      </c>
      <c r="F186" s="6">
        <f>IFERROR(__xludf.DUMMYFUNCTION("""COMPUTED_VALUE"""),14.0)</f>
        <v>14</v>
      </c>
      <c r="G186" s="6">
        <f>IFERROR(__xludf.DUMMYFUNCTION("""COMPUTED_VALUE"""),22.0)</f>
        <v>22</v>
      </c>
    </row>
    <row r="187">
      <c r="A187" s="6">
        <f>IFERROR(__xludf.DUMMYFUNCTION("""COMPUTED_VALUE"""),2012.0)</f>
        <v>2012</v>
      </c>
      <c r="B187" s="6" t="str">
        <f>IFERROR(__xludf.DUMMYFUNCTION("""COMPUTED_VALUE"""),"Outubro")</f>
        <v>Outubro</v>
      </c>
      <c r="C187" s="6" t="str">
        <f>IFERROR(__xludf.DUMMYFUNCTION("""COMPUTED_VALUE"""),"LESÃO CORPORAL DOLOSA")</f>
        <v>LESÃO CORPORAL DOLOSA</v>
      </c>
      <c r="D187" s="6">
        <f>IFERROR(__xludf.DUMMYFUNCTION("""COMPUTED_VALUE"""),1294.0)</f>
        <v>1294</v>
      </c>
      <c r="E187" s="6">
        <f>IFERROR(__xludf.DUMMYFUNCTION("""COMPUTED_VALUE"""),1146.0)</f>
        <v>1146</v>
      </c>
      <c r="F187" s="6">
        <f>IFERROR(__xludf.DUMMYFUNCTION("""COMPUTED_VALUE"""),3634.0)</f>
        <v>3634</v>
      </c>
      <c r="G187" s="6">
        <f>IFERROR(__xludf.DUMMYFUNCTION("""COMPUTED_VALUE"""),6074.0)</f>
        <v>6074</v>
      </c>
    </row>
    <row r="188">
      <c r="A188" s="6">
        <f>IFERROR(__xludf.DUMMYFUNCTION("""COMPUTED_VALUE"""),2012.0)</f>
        <v>2012</v>
      </c>
      <c r="B188" s="6" t="str">
        <f>IFERROR(__xludf.DUMMYFUNCTION("""COMPUTED_VALUE"""),"Outubro")</f>
        <v>Outubro</v>
      </c>
      <c r="C188" s="6" t="str">
        <f>IFERROR(__xludf.DUMMYFUNCTION("""COMPUTED_VALUE"""),"MAUS TRATOS")</f>
        <v>MAUS TRATOS</v>
      </c>
      <c r="D188" s="6">
        <f>IFERROR(__xludf.DUMMYFUNCTION("""COMPUTED_VALUE"""),10.0)</f>
        <v>10</v>
      </c>
      <c r="E188" s="6">
        <f>IFERROR(__xludf.DUMMYFUNCTION("""COMPUTED_VALUE"""),7.0)</f>
        <v>7</v>
      </c>
      <c r="F188" s="6">
        <f>IFERROR(__xludf.DUMMYFUNCTION("""COMPUTED_VALUE"""),39.0)</f>
        <v>39</v>
      </c>
      <c r="G188" s="6">
        <f>IFERROR(__xludf.DUMMYFUNCTION("""COMPUTED_VALUE"""),56.0)</f>
        <v>56</v>
      </c>
    </row>
    <row r="189">
      <c r="A189" s="6">
        <f>IFERROR(__xludf.DUMMYFUNCTION("""COMPUTED_VALUE"""),2012.0)</f>
        <v>2012</v>
      </c>
      <c r="B189" s="6" t="str">
        <f>IFERROR(__xludf.DUMMYFUNCTION("""COMPUTED_VALUE"""),"Outubro")</f>
        <v>Outubro</v>
      </c>
      <c r="C189" s="6" t="str">
        <f>IFERROR(__xludf.DUMMYFUNCTION("""COMPUTED_VALUE"""),"CALÚNIA - DIFAMAÇÃO - INJÚRIA")</f>
        <v>CALÚNIA - DIFAMAÇÃO - INJÚRIA</v>
      </c>
      <c r="D189" s="6">
        <f>IFERROR(__xludf.DUMMYFUNCTION("""COMPUTED_VALUE"""),285.0)</f>
        <v>285</v>
      </c>
      <c r="E189" s="6">
        <f>IFERROR(__xludf.DUMMYFUNCTION("""COMPUTED_VALUE"""),185.0)</f>
        <v>185</v>
      </c>
      <c r="F189" s="6">
        <f>IFERROR(__xludf.DUMMYFUNCTION("""COMPUTED_VALUE"""),963.0)</f>
        <v>963</v>
      </c>
      <c r="G189" s="6">
        <f>IFERROR(__xludf.DUMMYFUNCTION("""COMPUTED_VALUE"""),1433.0)</f>
        <v>1433</v>
      </c>
    </row>
    <row r="190">
      <c r="A190" s="6">
        <f>IFERROR(__xludf.DUMMYFUNCTION("""COMPUTED_VALUE"""),2012.0)</f>
        <v>2012</v>
      </c>
      <c r="B190" s="6" t="str">
        <f>IFERROR(__xludf.DUMMYFUNCTION("""COMPUTED_VALUE"""),"Outubro")</f>
        <v>Outubro</v>
      </c>
      <c r="C190" s="6" t="str">
        <f>IFERROR(__xludf.DUMMYFUNCTION("""COMPUTED_VALUE"""),"CONSTRANGIMENTO ILEGAL")</f>
        <v>CONSTRANGIMENTO ILEGAL</v>
      </c>
      <c r="D190" s="6">
        <f>IFERROR(__xludf.DUMMYFUNCTION("""COMPUTED_VALUE"""),1.0)</f>
        <v>1</v>
      </c>
      <c r="E190" s="6">
        <f>IFERROR(__xludf.DUMMYFUNCTION("""COMPUTED_VALUE"""),0.0)</f>
        <v>0</v>
      </c>
      <c r="F190" s="6">
        <f>IFERROR(__xludf.DUMMYFUNCTION("""COMPUTED_VALUE"""),12.0)</f>
        <v>12</v>
      </c>
      <c r="G190" s="6">
        <f>IFERROR(__xludf.DUMMYFUNCTION("""COMPUTED_VALUE"""),13.0)</f>
        <v>13</v>
      </c>
    </row>
    <row r="191">
      <c r="A191" s="6">
        <f>IFERROR(__xludf.DUMMYFUNCTION("""COMPUTED_VALUE"""),2012.0)</f>
        <v>2012</v>
      </c>
      <c r="B191" s="6" t="str">
        <f>IFERROR(__xludf.DUMMYFUNCTION("""COMPUTED_VALUE"""),"Outubro")</f>
        <v>Outubro</v>
      </c>
      <c r="C191" s="6" t="str">
        <f>IFERROR(__xludf.DUMMYFUNCTION("""COMPUTED_VALUE"""),"AMEAÇA")</f>
        <v>AMEAÇA</v>
      </c>
      <c r="D191" s="6">
        <f>IFERROR(__xludf.DUMMYFUNCTION("""COMPUTED_VALUE"""),1118.0)</f>
        <v>1118</v>
      </c>
      <c r="E191" s="6">
        <f>IFERROR(__xludf.DUMMYFUNCTION("""COMPUTED_VALUE"""),1032.0)</f>
        <v>1032</v>
      </c>
      <c r="F191" s="6">
        <f>IFERROR(__xludf.DUMMYFUNCTION("""COMPUTED_VALUE"""),3443.0)</f>
        <v>3443</v>
      </c>
      <c r="G191" s="6">
        <f>IFERROR(__xludf.DUMMYFUNCTION("""COMPUTED_VALUE"""),5593.0)</f>
        <v>5593</v>
      </c>
    </row>
    <row r="192">
      <c r="A192" s="6">
        <f>IFERROR(__xludf.DUMMYFUNCTION("""COMPUTED_VALUE"""),2012.0)</f>
        <v>2012</v>
      </c>
      <c r="B192" s="6" t="str">
        <f>IFERROR(__xludf.DUMMYFUNCTION("""COMPUTED_VALUE"""),"Outubro")</f>
        <v>Outubro</v>
      </c>
      <c r="C192" s="6" t="str">
        <f>IFERROR(__xludf.DUMMYFUNCTION("""COMPUTED_VALUE"""),"INVASÃO DE DOMICÍLIO")</f>
        <v>INVASÃO DE DOMICÍLIO</v>
      </c>
      <c r="D192" s="6">
        <f>IFERROR(__xludf.DUMMYFUNCTION("""COMPUTED_VALUE"""),3.0)</f>
        <v>3</v>
      </c>
      <c r="E192" s="6">
        <f>IFERROR(__xludf.DUMMYFUNCTION("""COMPUTED_VALUE"""),4.0)</f>
        <v>4</v>
      </c>
      <c r="F192" s="6">
        <f>IFERROR(__xludf.DUMMYFUNCTION("""COMPUTED_VALUE"""),21.0)</f>
        <v>21</v>
      </c>
      <c r="G192" s="6">
        <f>IFERROR(__xludf.DUMMYFUNCTION("""COMPUTED_VALUE"""),28.0)</f>
        <v>28</v>
      </c>
    </row>
    <row r="193">
      <c r="A193" s="6">
        <f>IFERROR(__xludf.DUMMYFUNCTION("""COMPUTED_VALUE"""),2012.0)</f>
        <v>2012</v>
      </c>
      <c r="B193" s="6" t="str">
        <f>IFERROR(__xludf.DUMMYFUNCTION("""COMPUTED_VALUE"""),"Outubro")</f>
        <v>Outubro</v>
      </c>
      <c r="C193" s="6" t="str">
        <f>IFERROR(__xludf.DUMMYFUNCTION("""COMPUTED_VALUE"""),"DANO")</f>
        <v>DANO</v>
      </c>
      <c r="D193" s="6">
        <f>IFERROR(__xludf.DUMMYFUNCTION("""COMPUTED_VALUE"""),10.0)</f>
        <v>10</v>
      </c>
      <c r="E193" s="6">
        <f>IFERROR(__xludf.DUMMYFUNCTION("""COMPUTED_VALUE"""),16.0)</f>
        <v>16</v>
      </c>
      <c r="F193" s="6">
        <f>IFERROR(__xludf.DUMMYFUNCTION("""COMPUTED_VALUE"""),82.0)</f>
        <v>82</v>
      </c>
      <c r="G193" s="6">
        <f>IFERROR(__xludf.DUMMYFUNCTION("""COMPUTED_VALUE"""),108.0)</f>
        <v>108</v>
      </c>
    </row>
    <row r="194">
      <c r="A194" s="6">
        <f>IFERROR(__xludf.DUMMYFUNCTION("""COMPUTED_VALUE"""),2012.0)</f>
        <v>2012</v>
      </c>
      <c r="B194" s="6" t="str">
        <f>IFERROR(__xludf.DUMMYFUNCTION("""COMPUTED_VALUE"""),"Outubro")</f>
        <v>Outubro</v>
      </c>
      <c r="C194" s="6" t="str">
        <f>IFERROR(__xludf.DUMMYFUNCTION("""COMPUTED_VALUE"""),"ESTUPRO CONSUMADO")</f>
        <v>ESTUPRO CONSUMADO</v>
      </c>
      <c r="D194" s="6">
        <f>IFERROR(__xludf.DUMMYFUNCTION("""COMPUTED_VALUE"""),16.0)</f>
        <v>16</v>
      </c>
      <c r="E194" s="6">
        <f>IFERROR(__xludf.DUMMYFUNCTION("""COMPUTED_VALUE"""),10.0)</f>
        <v>10</v>
      </c>
      <c r="F194" s="6">
        <f>IFERROR(__xludf.DUMMYFUNCTION("""COMPUTED_VALUE"""),22.0)</f>
        <v>22</v>
      </c>
      <c r="G194" s="6">
        <f>IFERROR(__xludf.DUMMYFUNCTION("""COMPUTED_VALUE"""),48.0)</f>
        <v>48</v>
      </c>
    </row>
    <row r="195">
      <c r="A195" s="6">
        <f>IFERROR(__xludf.DUMMYFUNCTION("""COMPUTED_VALUE"""),2012.0)</f>
        <v>2012</v>
      </c>
      <c r="B195" s="6" t="str">
        <f>IFERROR(__xludf.DUMMYFUNCTION("""COMPUTED_VALUE"""),"Outubro")</f>
        <v>Outubro</v>
      </c>
      <c r="C195" s="6" t="str">
        <f>IFERROR(__xludf.DUMMYFUNCTION("""COMPUTED_VALUE"""),"ESTUPRO TENTADO")</f>
        <v>ESTUPRO TENTADO</v>
      </c>
      <c r="D195" s="6">
        <f>IFERROR(__xludf.DUMMYFUNCTION("""COMPUTED_VALUE"""),1.0)</f>
        <v>1</v>
      </c>
      <c r="E195" s="6">
        <f>IFERROR(__xludf.DUMMYFUNCTION("""COMPUTED_VALUE"""),1.0)</f>
        <v>1</v>
      </c>
      <c r="F195" s="6">
        <f>IFERROR(__xludf.DUMMYFUNCTION("""COMPUTED_VALUE"""),2.0)</f>
        <v>2</v>
      </c>
      <c r="G195" s="6">
        <f>IFERROR(__xludf.DUMMYFUNCTION("""COMPUTED_VALUE"""),4.0)</f>
        <v>4</v>
      </c>
    </row>
    <row r="196">
      <c r="A196" s="6">
        <f>IFERROR(__xludf.DUMMYFUNCTION("""COMPUTED_VALUE"""),2012.0)</f>
        <v>2012</v>
      </c>
      <c r="B196" s="6" t="str">
        <f>IFERROR(__xludf.DUMMYFUNCTION("""COMPUTED_VALUE"""),"Outubro")</f>
        <v>Outubro</v>
      </c>
      <c r="C196" s="6" t="str">
        <f>IFERROR(__xludf.DUMMYFUNCTION("""COMPUTED_VALUE"""),"ESTUPRO DE VULNERÁVEL CONSUMADO")</f>
        <v>ESTUPRO DE VULNERÁVEL CONSUMADO</v>
      </c>
      <c r="D196" s="6">
        <f>IFERROR(__xludf.DUMMYFUNCTION("""COMPUTED_VALUE"""),5.0)</f>
        <v>5</v>
      </c>
      <c r="E196" s="6">
        <f>IFERROR(__xludf.DUMMYFUNCTION("""COMPUTED_VALUE"""),9.0)</f>
        <v>9</v>
      </c>
      <c r="F196" s="6">
        <f>IFERROR(__xludf.DUMMYFUNCTION("""COMPUTED_VALUE"""),19.0)</f>
        <v>19</v>
      </c>
      <c r="G196" s="6">
        <f>IFERROR(__xludf.DUMMYFUNCTION("""COMPUTED_VALUE"""),33.0)</f>
        <v>33</v>
      </c>
    </row>
    <row r="197">
      <c r="A197" s="6">
        <f>IFERROR(__xludf.DUMMYFUNCTION("""COMPUTED_VALUE"""),2012.0)</f>
        <v>2012</v>
      </c>
      <c r="B197" s="6" t="str">
        <f>IFERROR(__xludf.DUMMYFUNCTION("""COMPUTED_VALUE"""),"Outubro")</f>
        <v>Outubro</v>
      </c>
      <c r="C197" s="6" t="str">
        <f>IFERROR(__xludf.DUMMYFUNCTION("""COMPUTED_VALUE"""),"OUTROS C/C/ DIGNIDADE SEXUAL")</f>
        <v>OUTROS C/C/ DIGNIDADE SEXUAL</v>
      </c>
      <c r="D197" s="6">
        <f>IFERROR(__xludf.DUMMYFUNCTION("""COMPUTED_VALUE"""),1.0)</f>
        <v>1</v>
      </c>
      <c r="E197" s="6">
        <f>IFERROR(__xludf.DUMMYFUNCTION("""COMPUTED_VALUE"""),1.0)</f>
        <v>1</v>
      </c>
      <c r="F197" s="6">
        <f>IFERROR(__xludf.DUMMYFUNCTION("""COMPUTED_VALUE"""),5.0)</f>
        <v>5</v>
      </c>
      <c r="G197" s="6">
        <f>IFERROR(__xludf.DUMMYFUNCTION("""COMPUTED_VALUE"""),7.0)</f>
        <v>7</v>
      </c>
    </row>
    <row r="198">
      <c r="A198" s="6">
        <f>IFERROR(__xludf.DUMMYFUNCTION("""COMPUTED_VALUE"""),2012.0)</f>
        <v>2012</v>
      </c>
      <c r="B198" s="6" t="str">
        <f>IFERROR(__xludf.DUMMYFUNCTION("""COMPUTED_VALUE"""),"11")</f>
        <v>11</v>
      </c>
      <c r="C198" s="6" t="str">
        <f>IFERROR(__xludf.DUMMYFUNCTION("""COMPUTED_VALUE"""),"HOMICÍDIO DOLOSO (exclui FEMINICÍDIO)")</f>
        <v>HOMICÍDIO DOLOSO (exclui FEMINICÍDIO)</v>
      </c>
      <c r="D198" s="6">
        <f>IFERROR(__xludf.DUMMYFUNCTION("""COMPUTED_VALUE"""),0.0)</f>
        <v>0</v>
      </c>
      <c r="E198" s="6">
        <f>IFERROR(__xludf.DUMMYFUNCTION("""COMPUTED_VALUE"""),1.0)</f>
        <v>1</v>
      </c>
      <c r="F198" s="6">
        <f>IFERROR(__xludf.DUMMYFUNCTION("""COMPUTED_VALUE"""),3.0)</f>
        <v>3</v>
      </c>
      <c r="G198" s="6">
        <f>IFERROR(__xludf.DUMMYFUNCTION("""COMPUTED_VALUE"""),4.0)</f>
        <v>4</v>
      </c>
    </row>
    <row r="199">
      <c r="A199" s="6">
        <f>IFERROR(__xludf.DUMMYFUNCTION("""COMPUTED_VALUE"""),2012.0)</f>
        <v>2012</v>
      </c>
      <c r="B199" s="6" t="str">
        <f>IFERROR(__xludf.DUMMYFUNCTION("""COMPUTED_VALUE"""),"11")</f>
        <v>11</v>
      </c>
      <c r="C199" s="6" t="str">
        <f>IFERROR(__xludf.DUMMYFUNCTION("""COMPUTED_VALUE"""),"HOMICÍDIO CULPOSO")</f>
        <v>HOMICÍDIO CULPOSO</v>
      </c>
      <c r="D199" s="6">
        <f>IFERROR(__xludf.DUMMYFUNCTION("""COMPUTED_VALUE"""),0.0)</f>
        <v>0</v>
      </c>
      <c r="E199" s="6">
        <f>IFERROR(__xludf.DUMMYFUNCTION("""COMPUTED_VALUE"""),0.0)</f>
        <v>0</v>
      </c>
      <c r="F199" s="6">
        <f>IFERROR(__xludf.DUMMYFUNCTION("""COMPUTED_VALUE"""),0.0)</f>
        <v>0</v>
      </c>
      <c r="G199" s="6">
        <f>IFERROR(__xludf.DUMMYFUNCTION("""COMPUTED_VALUE"""),0.0)</f>
        <v>0</v>
      </c>
    </row>
    <row r="200">
      <c r="A200" s="6">
        <f>IFERROR(__xludf.DUMMYFUNCTION("""COMPUTED_VALUE"""),2012.0)</f>
        <v>2012</v>
      </c>
      <c r="B200" s="6" t="str">
        <f>IFERROR(__xludf.DUMMYFUNCTION("""COMPUTED_VALUE"""),"11")</f>
        <v>11</v>
      </c>
      <c r="C200" s="6" t="str">
        <f>IFERROR(__xludf.DUMMYFUNCTION("""COMPUTED_VALUE"""),"TENTATIVA DE HOMICÍDIO")</f>
        <v>TENTATIVA DE HOMICÍDIO</v>
      </c>
      <c r="D200" s="6">
        <f>IFERROR(__xludf.DUMMYFUNCTION("""COMPUTED_VALUE"""),0.0)</f>
        <v>0</v>
      </c>
      <c r="E200" s="6">
        <f>IFERROR(__xludf.DUMMYFUNCTION("""COMPUTED_VALUE"""),5.0)</f>
        <v>5</v>
      </c>
      <c r="F200" s="6">
        <f>IFERROR(__xludf.DUMMYFUNCTION("""COMPUTED_VALUE"""),14.0)</f>
        <v>14</v>
      </c>
      <c r="G200" s="6">
        <f>IFERROR(__xludf.DUMMYFUNCTION("""COMPUTED_VALUE"""),19.0)</f>
        <v>19</v>
      </c>
    </row>
    <row r="201">
      <c r="A201" s="6">
        <f>IFERROR(__xludf.DUMMYFUNCTION("""COMPUTED_VALUE"""),2012.0)</f>
        <v>2012</v>
      </c>
      <c r="B201" s="6" t="str">
        <f>IFERROR(__xludf.DUMMYFUNCTION("""COMPUTED_VALUE"""),"11")</f>
        <v>11</v>
      </c>
      <c r="C201" s="6" t="str">
        <f>IFERROR(__xludf.DUMMYFUNCTION("""COMPUTED_VALUE"""),"LESÃO CORPORAL DOLOSA")</f>
        <v>LESÃO CORPORAL DOLOSA</v>
      </c>
      <c r="D201" s="6">
        <f>IFERROR(__xludf.DUMMYFUNCTION("""COMPUTED_VALUE"""),940.0)</f>
        <v>940</v>
      </c>
      <c r="E201" s="6">
        <f>IFERROR(__xludf.DUMMYFUNCTION("""COMPUTED_VALUE"""),770.0)</f>
        <v>770</v>
      </c>
      <c r="F201" s="6">
        <f>IFERROR(__xludf.DUMMYFUNCTION("""COMPUTED_VALUE"""),3155.0)</f>
        <v>3155</v>
      </c>
      <c r="G201" s="6">
        <f>IFERROR(__xludf.DUMMYFUNCTION("""COMPUTED_VALUE"""),4865.0)</f>
        <v>4865</v>
      </c>
    </row>
    <row r="202">
      <c r="A202" s="6">
        <f>IFERROR(__xludf.DUMMYFUNCTION("""COMPUTED_VALUE"""),2012.0)</f>
        <v>2012</v>
      </c>
      <c r="B202" s="6" t="str">
        <f>IFERROR(__xludf.DUMMYFUNCTION("""COMPUTED_VALUE"""),"11")</f>
        <v>11</v>
      </c>
      <c r="C202" s="6" t="str">
        <f>IFERROR(__xludf.DUMMYFUNCTION("""COMPUTED_VALUE"""),"MAUS TRATOS")</f>
        <v>MAUS TRATOS</v>
      </c>
      <c r="D202" s="6">
        <f>IFERROR(__xludf.DUMMYFUNCTION("""COMPUTED_VALUE"""),2.0)</f>
        <v>2</v>
      </c>
      <c r="E202" s="6">
        <f>IFERROR(__xludf.DUMMYFUNCTION("""COMPUTED_VALUE"""),9.0)</f>
        <v>9</v>
      </c>
      <c r="F202" s="6">
        <f>IFERROR(__xludf.DUMMYFUNCTION("""COMPUTED_VALUE"""),19.0)</f>
        <v>19</v>
      </c>
      <c r="G202" s="6">
        <f>IFERROR(__xludf.DUMMYFUNCTION("""COMPUTED_VALUE"""),30.0)</f>
        <v>30</v>
      </c>
    </row>
    <row r="203">
      <c r="A203" s="6">
        <f>IFERROR(__xludf.DUMMYFUNCTION("""COMPUTED_VALUE"""),2012.0)</f>
        <v>2012</v>
      </c>
      <c r="B203" s="6" t="str">
        <f>IFERROR(__xludf.DUMMYFUNCTION("""COMPUTED_VALUE"""),"11")</f>
        <v>11</v>
      </c>
      <c r="C203" s="6" t="str">
        <f>IFERROR(__xludf.DUMMYFUNCTION("""COMPUTED_VALUE"""),"CALÚNIA - DIFAMAÇÃO - INJÚRIA")</f>
        <v>CALÚNIA - DIFAMAÇÃO - INJÚRIA</v>
      </c>
      <c r="D203" s="6">
        <f>IFERROR(__xludf.DUMMYFUNCTION("""COMPUTED_VALUE"""),198.0)</f>
        <v>198</v>
      </c>
      <c r="E203" s="6">
        <f>IFERROR(__xludf.DUMMYFUNCTION("""COMPUTED_VALUE"""),199.0)</f>
        <v>199</v>
      </c>
      <c r="F203" s="6">
        <f>IFERROR(__xludf.DUMMYFUNCTION("""COMPUTED_VALUE"""),708.0)</f>
        <v>708</v>
      </c>
      <c r="G203" s="6">
        <f>IFERROR(__xludf.DUMMYFUNCTION("""COMPUTED_VALUE"""),1105.0)</f>
        <v>1105</v>
      </c>
    </row>
    <row r="204">
      <c r="A204" s="6">
        <f>IFERROR(__xludf.DUMMYFUNCTION("""COMPUTED_VALUE"""),2012.0)</f>
        <v>2012</v>
      </c>
      <c r="B204" s="6" t="str">
        <f>IFERROR(__xludf.DUMMYFUNCTION("""COMPUTED_VALUE"""),"11")</f>
        <v>11</v>
      </c>
      <c r="C204" s="6" t="str">
        <f>IFERROR(__xludf.DUMMYFUNCTION("""COMPUTED_VALUE"""),"CONSTRANGIMENTO ILEGAL")</f>
        <v>CONSTRANGIMENTO ILEGAL</v>
      </c>
      <c r="D204" s="6">
        <f>IFERROR(__xludf.DUMMYFUNCTION("""COMPUTED_VALUE"""),7.0)</f>
        <v>7</v>
      </c>
      <c r="E204" s="6">
        <f>IFERROR(__xludf.DUMMYFUNCTION("""COMPUTED_VALUE"""),0.0)</f>
        <v>0</v>
      </c>
      <c r="F204" s="6">
        <f>IFERROR(__xludf.DUMMYFUNCTION("""COMPUTED_VALUE"""),6.0)</f>
        <v>6</v>
      </c>
      <c r="G204" s="6">
        <f>IFERROR(__xludf.DUMMYFUNCTION("""COMPUTED_VALUE"""),13.0)</f>
        <v>13</v>
      </c>
    </row>
    <row r="205">
      <c r="A205" s="6">
        <f>IFERROR(__xludf.DUMMYFUNCTION("""COMPUTED_VALUE"""),2012.0)</f>
        <v>2012</v>
      </c>
      <c r="B205" s="6" t="str">
        <f>IFERROR(__xludf.DUMMYFUNCTION("""COMPUTED_VALUE"""),"11")</f>
        <v>11</v>
      </c>
      <c r="C205" s="6" t="str">
        <f>IFERROR(__xludf.DUMMYFUNCTION("""COMPUTED_VALUE"""),"AMEAÇA")</f>
        <v>AMEAÇA</v>
      </c>
      <c r="D205" s="6">
        <f>IFERROR(__xludf.DUMMYFUNCTION("""COMPUTED_VALUE"""),911.0)</f>
        <v>911</v>
      </c>
      <c r="E205" s="6">
        <f>IFERROR(__xludf.DUMMYFUNCTION("""COMPUTED_VALUE"""),916.0)</f>
        <v>916</v>
      </c>
      <c r="F205" s="6">
        <f>IFERROR(__xludf.DUMMYFUNCTION("""COMPUTED_VALUE"""),3432.0)</f>
        <v>3432</v>
      </c>
      <c r="G205" s="6">
        <f>IFERROR(__xludf.DUMMYFUNCTION("""COMPUTED_VALUE"""),5259.0)</f>
        <v>5259</v>
      </c>
    </row>
    <row r="206">
      <c r="A206" s="6">
        <f>IFERROR(__xludf.DUMMYFUNCTION("""COMPUTED_VALUE"""),2012.0)</f>
        <v>2012</v>
      </c>
      <c r="B206" s="6" t="str">
        <f>IFERROR(__xludf.DUMMYFUNCTION("""COMPUTED_VALUE"""),"11")</f>
        <v>11</v>
      </c>
      <c r="C206" s="6" t="str">
        <f>IFERROR(__xludf.DUMMYFUNCTION("""COMPUTED_VALUE"""),"INVASÃO DE DOMICÍLIO")</f>
        <v>INVASÃO DE DOMICÍLIO</v>
      </c>
      <c r="D206" s="6">
        <f>IFERROR(__xludf.DUMMYFUNCTION("""COMPUTED_VALUE"""),2.0)</f>
        <v>2</v>
      </c>
      <c r="E206" s="6">
        <f>IFERROR(__xludf.DUMMYFUNCTION("""COMPUTED_VALUE"""),43.0)</f>
        <v>43</v>
      </c>
      <c r="F206" s="6">
        <f>IFERROR(__xludf.DUMMYFUNCTION("""COMPUTED_VALUE"""),9.0)</f>
        <v>9</v>
      </c>
      <c r="G206" s="6">
        <f>IFERROR(__xludf.DUMMYFUNCTION("""COMPUTED_VALUE"""),54.0)</f>
        <v>54</v>
      </c>
    </row>
    <row r="207">
      <c r="A207" s="6">
        <f>IFERROR(__xludf.DUMMYFUNCTION("""COMPUTED_VALUE"""),2012.0)</f>
        <v>2012</v>
      </c>
      <c r="B207" s="6" t="str">
        <f>IFERROR(__xludf.DUMMYFUNCTION("""COMPUTED_VALUE"""),"11")</f>
        <v>11</v>
      </c>
      <c r="C207" s="6" t="str">
        <f>IFERROR(__xludf.DUMMYFUNCTION("""COMPUTED_VALUE"""),"DANO")</f>
        <v>DANO</v>
      </c>
      <c r="D207" s="6">
        <f>IFERROR(__xludf.DUMMYFUNCTION("""COMPUTED_VALUE"""),13.0)</f>
        <v>13</v>
      </c>
      <c r="E207" s="6">
        <f>IFERROR(__xludf.DUMMYFUNCTION("""COMPUTED_VALUE"""),12.0)</f>
        <v>12</v>
      </c>
      <c r="F207" s="6">
        <f>IFERROR(__xludf.DUMMYFUNCTION("""COMPUTED_VALUE"""),70.0)</f>
        <v>70</v>
      </c>
      <c r="G207" s="6">
        <f>IFERROR(__xludf.DUMMYFUNCTION("""COMPUTED_VALUE"""),95.0)</f>
        <v>95</v>
      </c>
    </row>
    <row r="208">
      <c r="A208" s="6">
        <f>IFERROR(__xludf.DUMMYFUNCTION("""COMPUTED_VALUE"""),2012.0)</f>
        <v>2012</v>
      </c>
      <c r="B208" s="6" t="str">
        <f>IFERROR(__xludf.DUMMYFUNCTION("""COMPUTED_VALUE"""),"11")</f>
        <v>11</v>
      </c>
      <c r="C208" s="6" t="str">
        <f>IFERROR(__xludf.DUMMYFUNCTION("""COMPUTED_VALUE"""),"ESTUPRO CONSUMADO")</f>
        <v>ESTUPRO CONSUMADO</v>
      </c>
      <c r="D208" s="6">
        <f>IFERROR(__xludf.DUMMYFUNCTION("""COMPUTED_VALUE"""),10.0)</f>
        <v>10</v>
      </c>
      <c r="E208" s="6">
        <f>IFERROR(__xludf.DUMMYFUNCTION("""COMPUTED_VALUE"""),6.0)</f>
        <v>6</v>
      </c>
      <c r="F208" s="6">
        <f>IFERROR(__xludf.DUMMYFUNCTION("""COMPUTED_VALUE"""),20.0)</f>
        <v>20</v>
      </c>
      <c r="G208" s="6">
        <f>IFERROR(__xludf.DUMMYFUNCTION("""COMPUTED_VALUE"""),36.0)</f>
        <v>36</v>
      </c>
    </row>
    <row r="209">
      <c r="A209" s="6">
        <f>IFERROR(__xludf.DUMMYFUNCTION("""COMPUTED_VALUE"""),2012.0)</f>
        <v>2012</v>
      </c>
      <c r="B209" s="6" t="str">
        <f>IFERROR(__xludf.DUMMYFUNCTION("""COMPUTED_VALUE"""),"11")</f>
        <v>11</v>
      </c>
      <c r="C209" s="6" t="str">
        <f>IFERROR(__xludf.DUMMYFUNCTION("""COMPUTED_VALUE"""),"ESTUPRO TENTADO")</f>
        <v>ESTUPRO TENTADO</v>
      </c>
      <c r="D209" s="6">
        <f>IFERROR(__xludf.DUMMYFUNCTION("""COMPUTED_VALUE"""),0.0)</f>
        <v>0</v>
      </c>
      <c r="E209" s="6">
        <f>IFERROR(__xludf.DUMMYFUNCTION("""COMPUTED_VALUE"""),0.0)</f>
        <v>0</v>
      </c>
      <c r="F209" s="6">
        <f>IFERROR(__xludf.DUMMYFUNCTION("""COMPUTED_VALUE"""),3.0)</f>
        <v>3</v>
      </c>
      <c r="G209" s="6">
        <f>IFERROR(__xludf.DUMMYFUNCTION("""COMPUTED_VALUE"""),3.0)</f>
        <v>3</v>
      </c>
    </row>
    <row r="210">
      <c r="A210" s="6">
        <f>IFERROR(__xludf.DUMMYFUNCTION("""COMPUTED_VALUE"""),2012.0)</f>
        <v>2012</v>
      </c>
      <c r="B210" s="6" t="str">
        <f>IFERROR(__xludf.DUMMYFUNCTION("""COMPUTED_VALUE"""),"11")</f>
        <v>11</v>
      </c>
      <c r="C210" s="6" t="str">
        <f>IFERROR(__xludf.DUMMYFUNCTION("""COMPUTED_VALUE"""),"ESTUPRO DE VULNERÁVEL CONSUMADO")</f>
        <v>ESTUPRO DE VULNERÁVEL CONSUMADO</v>
      </c>
      <c r="D210" s="6">
        <f>IFERROR(__xludf.DUMMYFUNCTION("""COMPUTED_VALUE"""),2.0)</f>
        <v>2</v>
      </c>
      <c r="E210" s="6">
        <f>IFERROR(__xludf.DUMMYFUNCTION("""COMPUTED_VALUE"""),11.0)</f>
        <v>11</v>
      </c>
      <c r="F210" s="6">
        <f>IFERROR(__xludf.DUMMYFUNCTION("""COMPUTED_VALUE"""),14.0)</f>
        <v>14</v>
      </c>
      <c r="G210" s="6">
        <f>IFERROR(__xludf.DUMMYFUNCTION("""COMPUTED_VALUE"""),27.0)</f>
        <v>27</v>
      </c>
    </row>
    <row r="211">
      <c r="A211" s="6">
        <f>IFERROR(__xludf.DUMMYFUNCTION("""COMPUTED_VALUE"""),2012.0)</f>
        <v>2012</v>
      </c>
      <c r="B211" s="6" t="str">
        <f>IFERROR(__xludf.DUMMYFUNCTION("""COMPUTED_VALUE"""),"11")</f>
        <v>11</v>
      </c>
      <c r="C211" s="6" t="str">
        <f>IFERROR(__xludf.DUMMYFUNCTION("""COMPUTED_VALUE"""),"OUTROS C/C/ DIGNIDADE SEXUAL")</f>
        <v>OUTROS C/C/ DIGNIDADE SEXUAL</v>
      </c>
      <c r="D211" s="6">
        <f>IFERROR(__xludf.DUMMYFUNCTION("""COMPUTED_VALUE"""),2.0)</f>
        <v>2</v>
      </c>
      <c r="E211" s="6">
        <f>IFERROR(__xludf.DUMMYFUNCTION("""COMPUTED_VALUE"""),0.0)</f>
        <v>0</v>
      </c>
      <c r="F211" s="6">
        <f>IFERROR(__xludf.DUMMYFUNCTION("""COMPUTED_VALUE"""),4.0)</f>
        <v>4</v>
      </c>
      <c r="G211" s="6">
        <f>IFERROR(__xludf.DUMMYFUNCTION("""COMPUTED_VALUE"""),6.0)</f>
        <v>6</v>
      </c>
    </row>
    <row r="212">
      <c r="A212" s="6">
        <f>IFERROR(__xludf.DUMMYFUNCTION("""COMPUTED_VALUE"""),2012.0)</f>
        <v>2012</v>
      </c>
      <c r="B212" s="6" t="str">
        <f>IFERROR(__xludf.DUMMYFUNCTION("""COMPUTED_VALUE"""),"12")</f>
        <v>12</v>
      </c>
      <c r="C212" s="6" t="str">
        <f>IFERROR(__xludf.DUMMYFUNCTION("""COMPUTED_VALUE"""),"HOMICÍDIO DOLOSO (exclui FEMINICÍDIO)")</f>
        <v>HOMICÍDIO DOLOSO (exclui FEMINICÍDIO)</v>
      </c>
      <c r="D212" s="6">
        <f>IFERROR(__xludf.DUMMYFUNCTION("""COMPUTED_VALUE"""),1.0)</f>
        <v>1</v>
      </c>
      <c r="E212" s="6">
        <f>IFERROR(__xludf.DUMMYFUNCTION("""COMPUTED_VALUE"""),0.0)</f>
        <v>0</v>
      </c>
      <c r="F212" s="6">
        <f>IFERROR(__xludf.DUMMYFUNCTION("""COMPUTED_VALUE"""),11.0)</f>
        <v>11</v>
      </c>
      <c r="G212" s="6">
        <f>IFERROR(__xludf.DUMMYFUNCTION("""COMPUTED_VALUE"""),12.0)</f>
        <v>12</v>
      </c>
    </row>
    <row r="213">
      <c r="A213" s="6">
        <f>IFERROR(__xludf.DUMMYFUNCTION("""COMPUTED_VALUE"""),2012.0)</f>
        <v>2012</v>
      </c>
      <c r="B213" s="6" t="str">
        <f>IFERROR(__xludf.DUMMYFUNCTION("""COMPUTED_VALUE"""),"12")</f>
        <v>12</v>
      </c>
      <c r="C213" s="6" t="str">
        <f>IFERROR(__xludf.DUMMYFUNCTION("""COMPUTED_VALUE"""),"HOMICÍDIO CULPOSO")</f>
        <v>HOMICÍDIO CULPOSO</v>
      </c>
      <c r="D213" s="6">
        <f>IFERROR(__xludf.DUMMYFUNCTION("""COMPUTED_VALUE"""),0.0)</f>
        <v>0</v>
      </c>
      <c r="E213" s="6">
        <f>IFERROR(__xludf.DUMMYFUNCTION("""COMPUTED_VALUE"""),0.0)</f>
        <v>0</v>
      </c>
      <c r="F213" s="6">
        <f>IFERROR(__xludf.DUMMYFUNCTION("""COMPUTED_VALUE"""),0.0)</f>
        <v>0</v>
      </c>
      <c r="G213" s="6">
        <f>IFERROR(__xludf.DUMMYFUNCTION("""COMPUTED_VALUE"""),0.0)</f>
        <v>0</v>
      </c>
    </row>
    <row r="214">
      <c r="A214" s="6">
        <f>IFERROR(__xludf.DUMMYFUNCTION("""COMPUTED_VALUE"""),2012.0)</f>
        <v>2012</v>
      </c>
      <c r="B214" s="6" t="str">
        <f>IFERROR(__xludf.DUMMYFUNCTION("""COMPUTED_VALUE"""),"12")</f>
        <v>12</v>
      </c>
      <c r="C214" s="6" t="str">
        <f>IFERROR(__xludf.DUMMYFUNCTION("""COMPUTED_VALUE"""),"TENTATIVA DE HOMICÍDIO")</f>
        <v>TENTATIVA DE HOMICÍDIO</v>
      </c>
      <c r="D214" s="6">
        <f>IFERROR(__xludf.DUMMYFUNCTION("""COMPUTED_VALUE"""),0.0)</f>
        <v>0</v>
      </c>
      <c r="E214" s="6">
        <f>IFERROR(__xludf.DUMMYFUNCTION("""COMPUTED_VALUE"""),7.0)</f>
        <v>7</v>
      </c>
      <c r="F214" s="6">
        <f>IFERROR(__xludf.DUMMYFUNCTION("""COMPUTED_VALUE"""),23.0)</f>
        <v>23</v>
      </c>
      <c r="G214" s="6">
        <f>IFERROR(__xludf.DUMMYFUNCTION("""COMPUTED_VALUE"""),30.0)</f>
        <v>30</v>
      </c>
    </row>
    <row r="215">
      <c r="A215" s="6">
        <f>IFERROR(__xludf.DUMMYFUNCTION("""COMPUTED_VALUE"""),2012.0)</f>
        <v>2012</v>
      </c>
      <c r="B215" s="6" t="str">
        <f>IFERROR(__xludf.DUMMYFUNCTION("""COMPUTED_VALUE"""),"12")</f>
        <v>12</v>
      </c>
      <c r="C215" s="6" t="str">
        <f>IFERROR(__xludf.DUMMYFUNCTION("""COMPUTED_VALUE"""),"LESÃO CORPORAL DOLOSA")</f>
        <v>LESÃO CORPORAL DOLOSA</v>
      </c>
      <c r="D215" s="6">
        <f>IFERROR(__xludf.DUMMYFUNCTION("""COMPUTED_VALUE"""),997.0)</f>
        <v>997</v>
      </c>
      <c r="E215" s="6">
        <f>IFERROR(__xludf.DUMMYFUNCTION("""COMPUTED_VALUE"""),921.0)</f>
        <v>921</v>
      </c>
      <c r="F215" s="6">
        <f>IFERROR(__xludf.DUMMYFUNCTION("""COMPUTED_VALUE"""),3735.0)</f>
        <v>3735</v>
      </c>
      <c r="G215" s="6">
        <f>IFERROR(__xludf.DUMMYFUNCTION("""COMPUTED_VALUE"""),5653.0)</f>
        <v>5653</v>
      </c>
    </row>
    <row r="216">
      <c r="A216" s="6">
        <f>IFERROR(__xludf.DUMMYFUNCTION("""COMPUTED_VALUE"""),2012.0)</f>
        <v>2012</v>
      </c>
      <c r="B216" s="6" t="str">
        <f>IFERROR(__xludf.DUMMYFUNCTION("""COMPUTED_VALUE"""),"12")</f>
        <v>12</v>
      </c>
      <c r="C216" s="6" t="str">
        <f>IFERROR(__xludf.DUMMYFUNCTION("""COMPUTED_VALUE"""),"MAUS TRATOS")</f>
        <v>MAUS TRATOS</v>
      </c>
      <c r="D216" s="6">
        <f>IFERROR(__xludf.DUMMYFUNCTION("""COMPUTED_VALUE"""),3.0)</f>
        <v>3</v>
      </c>
      <c r="E216" s="6">
        <f>IFERROR(__xludf.DUMMYFUNCTION("""COMPUTED_VALUE"""),6.0)</f>
        <v>6</v>
      </c>
      <c r="F216" s="6">
        <f>IFERROR(__xludf.DUMMYFUNCTION("""COMPUTED_VALUE"""),20.0)</f>
        <v>20</v>
      </c>
      <c r="G216" s="6">
        <f>IFERROR(__xludf.DUMMYFUNCTION("""COMPUTED_VALUE"""),29.0)</f>
        <v>29</v>
      </c>
    </row>
    <row r="217">
      <c r="A217" s="6">
        <f>IFERROR(__xludf.DUMMYFUNCTION("""COMPUTED_VALUE"""),2012.0)</f>
        <v>2012</v>
      </c>
      <c r="B217" s="6" t="str">
        <f>IFERROR(__xludf.DUMMYFUNCTION("""COMPUTED_VALUE"""),"12")</f>
        <v>12</v>
      </c>
      <c r="C217" s="6" t="str">
        <f>IFERROR(__xludf.DUMMYFUNCTION("""COMPUTED_VALUE"""),"CALÚNIA - DIFAMAÇÃO - INJÚRIA")</f>
        <v>CALÚNIA - DIFAMAÇÃO - INJÚRIA</v>
      </c>
      <c r="D217" s="6">
        <f>IFERROR(__xludf.DUMMYFUNCTION("""COMPUTED_VALUE"""),176.0)</f>
        <v>176</v>
      </c>
      <c r="E217" s="6">
        <f>IFERROR(__xludf.DUMMYFUNCTION("""COMPUTED_VALUE"""),239.0)</f>
        <v>239</v>
      </c>
      <c r="F217" s="6">
        <f>IFERROR(__xludf.DUMMYFUNCTION("""COMPUTED_VALUE"""),793.0)</f>
        <v>793</v>
      </c>
      <c r="G217" s="6">
        <f>IFERROR(__xludf.DUMMYFUNCTION("""COMPUTED_VALUE"""),1208.0)</f>
        <v>1208</v>
      </c>
    </row>
    <row r="218">
      <c r="A218" s="6">
        <f>IFERROR(__xludf.DUMMYFUNCTION("""COMPUTED_VALUE"""),2012.0)</f>
        <v>2012</v>
      </c>
      <c r="B218" s="6" t="str">
        <f>IFERROR(__xludf.DUMMYFUNCTION("""COMPUTED_VALUE"""),"12")</f>
        <v>12</v>
      </c>
      <c r="C218" s="6" t="str">
        <f>IFERROR(__xludf.DUMMYFUNCTION("""COMPUTED_VALUE"""),"CONSTRANGIMENTO ILEGAL")</f>
        <v>CONSTRANGIMENTO ILEGAL</v>
      </c>
      <c r="D218" s="6">
        <f>IFERROR(__xludf.DUMMYFUNCTION("""COMPUTED_VALUE"""),0.0)</f>
        <v>0</v>
      </c>
      <c r="E218" s="6">
        <f>IFERROR(__xludf.DUMMYFUNCTION("""COMPUTED_VALUE"""),1.0)</f>
        <v>1</v>
      </c>
      <c r="F218" s="6">
        <f>IFERROR(__xludf.DUMMYFUNCTION("""COMPUTED_VALUE"""),9.0)</f>
        <v>9</v>
      </c>
      <c r="G218" s="6">
        <f>IFERROR(__xludf.DUMMYFUNCTION("""COMPUTED_VALUE"""),10.0)</f>
        <v>10</v>
      </c>
    </row>
    <row r="219">
      <c r="A219" s="6">
        <f>IFERROR(__xludf.DUMMYFUNCTION("""COMPUTED_VALUE"""),2012.0)</f>
        <v>2012</v>
      </c>
      <c r="B219" s="6" t="str">
        <f>IFERROR(__xludf.DUMMYFUNCTION("""COMPUTED_VALUE"""),"12")</f>
        <v>12</v>
      </c>
      <c r="C219" s="6" t="str">
        <f>IFERROR(__xludf.DUMMYFUNCTION("""COMPUTED_VALUE"""),"AMEAÇA")</f>
        <v>AMEAÇA</v>
      </c>
      <c r="D219" s="6">
        <f>IFERROR(__xludf.DUMMYFUNCTION("""COMPUTED_VALUE"""),935.0)</f>
        <v>935</v>
      </c>
      <c r="E219" s="6">
        <f>IFERROR(__xludf.DUMMYFUNCTION("""COMPUTED_VALUE"""),995.0)</f>
        <v>995</v>
      </c>
      <c r="F219" s="6">
        <f>IFERROR(__xludf.DUMMYFUNCTION("""COMPUTED_VALUE"""),3479.0)</f>
        <v>3479</v>
      </c>
      <c r="G219" s="6">
        <f>IFERROR(__xludf.DUMMYFUNCTION("""COMPUTED_VALUE"""),5409.0)</f>
        <v>5409</v>
      </c>
    </row>
    <row r="220">
      <c r="A220" s="6">
        <f>IFERROR(__xludf.DUMMYFUNCTION("""COMPUTED_VALUE"""),2012.0)</f>
        <v>2012</v>
      </c>
      <c r="B220" s="6" t="str">
        <f>IFERROR(__xludf.DUMMYFUNCTION("""COMPUTED_VALUE"""),"12")</f>
        <v>12</v>
      </c>
      <c r="C220" s="6" t="str">
        <f>IFERROR(__xludf.DUMMYFUNCTION("""COMPUTED_VALUE"""),"INVASÃO DE DOMICÍLIO")</f>
        <v>INVASÃO DE DOMICÍLIO</v>
      </c>
      <c r="D220" s="6">
        <f>IFERROR(__xludf.DUMMYFUNCTION("""COMPUTED_VALUE"""),0.0)</f>
        <v>0</v>
      </c>
      <c r="E220" s="6">
        <f>IFERROR(__xludf.DUMMYFUNCTION("""COMPUTED_VALUE"""),2.0)</f>
        <v>2</v>
      </c>
      <c r="F220" s="6">
        <f>IFERROR(__xludf.DUMMYFUNCTION("""COMPUTED_VALUE"""),25.0)</f>
        <v>25</v>
      </c>
      <c r="G220" s="6">
        <f>IFERROR(__xludf.DUMMYFUNCTION("""COMPUTED_VALUE"""),27.0)</f>
        <v>27</v>
      </c>
    </row>
    <row r="221">
      <c r="A221" s="6">
        <f>IFERROR(__xludf.DUMMYFUNCTION("""COMPUTED_VALUE"""),2012.0)</f>
        <v>2012</v>
      </c>
      <c r="B221" s="6" t="str">
        <f>IFERROR(__xludf.DUMMYFUNCTION("""COMPUTED_VALUE"""),"12")</f>
        <v>12</v>
      </c>
      <c r="C221" s="6" t="str">
        <f>IFERROR(__xludf.DUMMYFUNCTION("""COMPUTED_VALUE"""),"DANO")</f>
        <v>DANO</v>
      </c>
      <c r="D221" s="6">
        <f>IFERROR(__xludf.DUMMYFUNCTION("""COMPUTED_VALUE"""),7.0)</f>
        <v>7</v>
      </c>
      <c r="E221" s="6">
        <f>IFERROR(__xludf.DUMMYFUNCTION("""COMPUTED_VALUE"""),15.0)</f>
        <v>15</v>
      </c>
      <c r="F221" s="6">
        <f>IFERROR(__xludf.DUMMYFUNCTION("""COMPUTED_VALUE"""),67.0)</f>
        <v>67</v>
      </c>
      <c r="G221" s="6">
        <f>IFERROR(__xludf.DUMMYFUNCTION("""COMPUTED_VALUE"""),89.0)</f>
        <v>89</v>
      </c>
    </row>
    <row r="222">
      <c r="A222" s="6">
        <f>IFERROR(__xludf.DUMMYFUNCTION("""COMPUTED_VALUE"""),2012.0)</f>
        <v>2012</v>
      </c>
      <c r="B222" s="6" t="str">
        <f>IFERROR(__xludf.DUMMYFUNCTION("""COMPUTED_VALUE"""),"12")</f>
        <v>12</v>
      </c>
      <c r="C222" s="6" t="str">
        <f>IFERROR(__xludf.DUMMYFUNCTION("""COMPUTED_VALUE"""),"ESTUPRO CONSUMADO")</f>
        <v>ESTUPRO CONSUMADO</v>
      </c>
      <c r="D222" s="6">
        <f>IFERROR(__xludf.DUMMYFUNCTION("""COMPUTED_VALUE"""),8.0)</f>
        <v>8</v>
      </c>
      <c r="E222" s="6">
        <f>IFERROR(__xludf.DUMMYFUNCTION("""COMPUTED_VALUE"""),5.0)</f>
        <v>5</v>
      </c>
      <c r="F222" s="6">
        <f>IFERROR(__xludf.DUMMYFUNCTION("""COMPUTED_VALUE"""),23.0)</f>
        <v>23</v>
      </c>
      <c r="G222" s="6">
        <f>IFERROR(__xludf.DUMMYFUNCTION("""COMPUTED_VALUE"""),36.0)</f>
        <v>36</v>
      </c>
    </row>
    <row r="223">
      <c r="A223" s="6">
        <f>IFERROR(__xludf.DUMMYFUNCTION("""COMPUTED_VALUE"""),2012.0)</f>
        <v>2012</v>
      </c>
      <c r="B223" s="6" t="str">
        <f>IFERROR(__xludf.DUMMYFUNCTION("""COMPUTED_VALUE"""),"12")</f>
        <v>12</v>
      </c>
      <c r="C223" s="6" t="str">
        <f>IFERROR(__xludf.DUMMYFUNCTION("""COMPUTED_VALUE"""),"ESTUPRO TENTADO")</f>
        <v>ESTUPRO TENTADO</v>
      </c>
      <c r="D223" s="6">
        <f>IFERROR(__xludf.DUMMYFUNCTION("""COMPUTED_VALUE"""),0.0)</f>
        <v>0</v>
      </c>
      <c r="E223" s="6">
        <f>IFERROR(__xludf.DUMMYFUNCTION("""COMPUTED_VALUE"""),0.0)</f>
        <v>0</v>
      </c>
      <c r="F223" s="6">
        <f>IFERROR(__xludf.DUMMYFUNCTION("""COMPUTED_VALUE"""),0.0)</f>
        <v>0</v>
      </c>
      <c r="G223" s="6">
        <f>IFERROR(__xludf.DUMMYFUNCTION("""COMPUTED_VALUE"""),0.0)</f>
        <v>0</v>
      </c>
    </row>
    <row r="224">
      <c r="A224" s="6">
        <f>IFERROR(__xludf.DUMMYFUNCTION("""COMPUTED_VALUE"""),2012.0)</f>
        <v>2012</v>
      </c>
      <c r="B224" s="6" t="str">
        <f>IFERROR(__xludf.DUMMYFUNCTION("""COMPUTED_VALUE"""),"12")</f>
        <v>12</v>
      </c>
      <c r="C224" s="6" t="str">
        <f>IFERROR(__xludf.DUMMYFUNCTION("""COMPUTED_VALUE"""),"ESTUPRO DE VULNERÁVEL CONSUMADO")</f>
        <v>ESTUPRO DE VULNERÁVEL CONSUMADO</v>
      </c>
      <c r="D224" s="6">
        <f>IFERROR(__xludf.DUMMYFUNCTION("""COMPUTED_VALUE"""),4.0)</f>
        <v>4</v>
      </c>
      <c r="E224" s="6">
        <f>IFERROR(__xludf.DUMMYFUNCTION("""COMPUTED_VALUE"""),7.0)</f>
        <v>7</v>
      </c>
      <c r="F224" s="6">
        <f>IFERROR(__xludf.DUMMYFUNCTION("""COMPUTED_VALUE"""),13.0)</f>
        <v>13</v>
      </c>
      <c r="G224" s="6">
        <f>IFERROR(__xludf.DUMMYFUNCTION("""COMPUTED_VALUE"""),24.0)</f>
        <v>24</v>
      </c>
    </row>
    <row r="225">
      <c r="A225" s="6">
        <f>IFERROR(__xludf.DUMMYFUNCTION("""COMPUTED_VALUE"""),2012.0)</f>
        <v>2012</v>
      </c>
      <c r="B225" s="6" t="str">
        <f>IFERROR(__xludf.DUMMYFUNCTION("""COMPUTED_VALUE"""),"12")</f>
        <v>12</v>
      </c>
      <c r="C225" s="6" t="str">
        <f>IFERROR(__xludf.DUMMYFUNCTION("""COMPUTED_VALUE"""),"OUTROS C/C/ DIGNIDADE SEXUAL")</f>
        <v>OUTROS C/C/ DIGNIDADE SEXUAL</v>
      </c>
      <c r="D225" s="6">
        <f>IFERROR(__xludf.DUMMYFUNCTION("""COMPUTED_VALUE"""),0.0)</f>
        <v>0</v>
      </c>
      <c r="E225" s="6">
        <f>IFERROR(__xludf.DUMMYFUNCTION("""COMPUTED_VALUE"""),0.0)</f>
        <v>0</v>
      </c>
      <c r="F225" s="6">
        <f>IFERROR(__xludf.DUMMYFUNCTION("""COMPUTED_VALUE"""),2.0)</f>
        <v>2</v>
      </c>
      <c r="G225" s="6">
        <f>IFERROR(__xludf.DUMMYFUNCTION("""COMPUTED_VALUE"""),2.0)</f>
        <v>2</v>
      </c>
    </row>
    <row r="226">
      <c r="A226" s="6">
        <f>IFERROR(__xludf.DUMMYFUNCTION("""COMPUTED_VALUE"""),2013.0)</f>
        <v>2013</v>
      </c>
      <c r="B226" s="6" t="str">
        <f>IFERROR(__xludf.DUMMYFUNCTION("""COMPUTED_VALUE"""),"1")</f>
        <v>1</v>
      </c>
      <c r="C226" s="6" t="str">
        <f>IFERROR(__xludf.DUMMYFUNCTION("""COMPUTED_VALUE"""),"HOMICÍDIO DOLOSO (exclui FEMINICÍDIO)")</f>
        <v>HOMICÍDIO DOLOSO (exclui FEMINICÍDIO)</v>
      </c>
      <c r="D226" s="6">
        <f>IFERROR(__xludf.DUMMYFUNCTION("""COMPUTED_VALUE"""),0.0)</f>
        <v>0</v>
      </c>
      <c r="E226" s="6">
        <f>IFERROR(__xludf.DUMMYFUNCTION("""COMPUTED_VALUE"""),0.0)</f>
        <v>0</v>
      </c>
      <c r="F226" s="6">
        <f>IFERROR(__xludf.DUMMYFUNCTION("""COMPUTED_VALUE"""),8.0)</f>
        <v>8</v>
      </c>
      <c r="G226" s="6">
        <f>IFERROR(__xludf.DUMMYFUNCTION("""COMPUTED_VALUE"""),8.0)</f>
        <v>8</v>
      </c>
    </row>
    <row r="227">
      <c r="A227" s="6">
        <f>IFERROR(__xludf.DUMMYFUNCTION("""COMPUTED_VALUE"""),2013.0)</f>
        <v>2013</v>
      </c>
      <c r="B227" s="6" t="str">
        <f>IFERROR(__xludf.DUMMYFUNCTION("""COMPUTED_VALUE"""),"1")</f>
        <v>1</v>
      </c>
      <c r="C227" s="6" t="str">
        <f>IFERROR(__xludf.DUMMYFUNCTION("""COMPUTED_VALUE"""),"HOMICÍDIO CULPOSO")</f>
        <v>HOMICÍDIO CULPOSO</v>
      </c>
      <c r="D227" s="6">
        <f>IFERROR(__xludf.DUMMYFUNCTION("""COMPUTED_VALUE"""),0.0)</f>
        <v>0</v>
      </c>
      <c r="E227" s="6">
        <f>IFERROR(__xludf.DUMMYFUNCTION("""COMPUTED_VALUE"""),0.0)</f>
        <v>0</v>
      </c>
      <c r="F227" s="6">
        <f>IFERROR(__xludf.DUMMYFUNCTION("""COMPUTED_VALUE"""),0.0)</f>
        <v>0</v>
      </c>
      <c r="G227" s="6">
        <f>IFERROR(__xludf.DUMMYFUNCTION("""COMPUTED_VALUE"""),0.0)</f>
        <v>0</v>
      </c>
    </row>
    <row r="228">
      <c r="A228" s="6">
        <f>IFERROR(__xludf.DUMMYFUNCTION("""COMPUTED_VALUE"""),2013.0)</f>
        <v>2013</v>
      </c>
      <c r="B228" s="6" t="str">
        <f>IFERROR(__xludf.DUMMYFUNCTION("""COMPUTED_VALUE"""),"1")</f>
        <v>1</v>
      </c>
      <c r="C228" s="6" t="str">
        <f>IFERROR(__xludf.DUMMYFUNCTION("""COMPUTED_VALUE"""),"TENTATIVA DE HOMICÍDIO")</f>
        <v>TENTATIVA DE HOMICÍDIO</v>
      </c>
      <c r="D228" s="6">
        <f>IFERROR(__xludf.DUMMYFUNCTION("""COMPUTED_VALUE"""),0.0)</f>
        <v>0</v>
      </c>
      <c r="E228" s="6">
        <f>IFERROR(__xludf.DUMMYFUNCTION("""COMPUTED_VALUE"""),4.0)</f>
        <v>4</v>
      </c>
      <c r="F228" s="6">
        <f>IFERROR(__xludf.DUMMYFUNCTION("""COMPUTED_VALUE"""),14.0)</f>
        <v>14</v>
      </c>
      <c r="G228" s="6">
        <f>IFERROR(__xludf.DUMMYFUNCTION("""COMPUTED_VALUE"""),18.0)</f>
        <v>18</v>
      </c>
    </row>
    <row r="229">
      <c r="A229" s="6">
        <f>IFERROR(__xludf.DUMMYFUNCTION("""COMPUTED_VALUE"""),2013.0)</f>
        <v>2013</v>
      </c>
      <c r="B229" s="6" t="str">
        <f>IFERROR(__xludf.DUMMYFUNCTION("""COMPUTED_VALUE"""),"1")</f>
        <v>1</v>
      </c>
      <c r="C229" s="6" t="str">
        <f>IFERROR(__xludf.DUMMYFUNCTION("""COMPUTED_VALUE"""),"LESÃO CORPORAL DOLOSA")</f>
        <v>LESÃO CORPORAL DOLOSA</v>
      </c>
      <c r="D229" s="6">
        <f>IFERROR(__xludf.DUMMYFUNCTION("""COMPUTED_VALUE"""),973.0)</f>
        <v>973</v>
      </c>
      <c r="E229" s="6">
        <f>IFERROR(__xludf.DUMMYFUNCTION("""COMPUTED_VALUE"""),916.0)</f>
        <v>916</v>
      </c>
      <c r="F229" s="6">
        <f>IFERROR(__xludf.DUMMYFUNCTION("""COMPUTED_VALUE"""),3636.0)</f>
        <v>3636</v>
      </c>
      <c r="G229" s="6">
        <f>IFERROR(__xludf.DUMMYFUNCTION("""COMPUTED_VALUE"""),5525.0)</f>
        <v>5525</v>
      </c>
    </row>
    <row r="230">
      <c r="A230" s="6">
        <f>IFERROR(__xludf.DUMMYFUNCTION("""COMPUTED_VALUE"""),2013.0)</f>
        <v>2013</v>
      </c>
      <c r="B230" s="6" t="str">
        <f>IFERROR(__xludf.DUMMYFUNCTION("""COMPUTED_VALUE"""),"1")</f>
        <v>1</v>
      </c>
      <c r="C230" s="6" t="str">
        <f>IFERROR(__xludf.DUMMYFUNCTION("""COMPUTED_VALUE"""),"MAUS TRATOS")</f>
        <v>MAUS TRATOS</v>
      </c>
      <c r="D230" s="6">
        <f>IFERROR(__xludf.DUMMYFUNCTION("""COMPUTED_VALUE"""),2.0)</f>
        <v>2</v>
      </c>
      <c r="E230" s="6">
        <f>IFERROR(__xludf.DUMMYFUNCTION("""COMPUTED_VALUE"""),7.0)</f>
        <v>7</v>
      </c>
      <c r="F230" s="6">
        <f>IFERROR(__xludf.DUMMYFUNCTION("""COMPUTED_VALUE"""),12.0)</f>
        <v>12</v>
      </c>
      <c r="G230" s="6">
        <f>IFERROR(__xludf.DUMMYFUNCTION("""COMPUTED_VALUE"""),21.0)</f>
        <v>21</v>
      </c>
    </row>
    <row r="231">
      <c r="A231" s="6">
        <f>IFERROR(__xludf.DUMMYFUNCTION("""COMPUTED_VALUE"""),2013.0)</f>
        <v>2013</v>
      </c>
      <c r="B231" s="6" t="str">
        <f>IFERROR(__xludf.DUMMYFUNCTION("""COMPUTED_VALUE"""),"1")</f>
        <v>1</v>
      </c>
      <c r="C231" s="6" t="str">
        <f>IFERROR(__xludf.DUMMYFUNCTION("""COMPUTED_VALUE"""),"CALÚNIA - DIFAMAÇÃO - INJÚRIA")</f>
        <v>CALÚNIA - DIFAMAÇÃO - INJÚRIA</v>
      </c>
      <c r="D231" s="6">
        <f>IFERROR(__xludf.DUMMYFUNCTION("""COMPUTED_VALUE"""),163.0)</f>
        <v>163</v>
      </c>
      <c r="E231" s="6">
        <f>IFERROR(__xludf.DUMMYFUNCTION("""COMPUTED_VALUE"""),240.0)</f>
        <v>240</v>
      </c>
      <c r="F231" s="6">
        <f>IFERROR(__xludf.DUMMYFUNCTION("""COMPUTED_VALUE"""),809.0)</f>
        <v>809</v>
      </c>
      <c r="G231" s="6">
        <f>IFERROR(__xludf.DUMMYFUNCTION("""COMPUTED_VALUE"""),1212.0)</f>
        <v>1212</v>
      </c>
    </row>
    <row r="232">
      <c r="A232" s="6">
        <f>IFERROR(__xludf.DUMMYFUNCTION("""COMPUTED_VALUE"""),2013.0)</f>
        <v>2013</v>
      </c>
      <c r="B232" s="6" t="str">
        <f>IFERROR(__xludf.DUMMYFUNCTION("""COMPUTED_VALUE"""),"1")</f>
        <v>1</v>
      </c>
      <c r="C232" s="6" t="str">
        <f>IFERROR(__xludf.DUMMYFUNCTION("""COMPUTED_VALUE"""),"CONSTRANGIMENTO ILEGAL")</f>
        <v>CONSTRANGIMENTO ILEGAL</v>
      </c>
      <c r="D232" s="6">
        <f>IFERROR(__xludf.DUMMYFUNCTION("""COMPUTED_VALUE"""),2.0)</f>
        <v>2</v>
      </c>
      <c r="E232" s="6">
        <f>IFERROR(__xludf.DUMMYFUNCTION("""COMPUTED_VALUE"""),1.0)</f>
        <v>1</v>
      </c>
      <c r="F232" s="6">
        <f>IFERROR(__xludf.DUMMYFUNCTION("""COMPUTED_VALUE"""),8.0)</f>
        <v>8</v>
      </c>
      <c r="G232" s="6">
        <f>IFERROR(__xludf.DUMMYFUNCTION("""COMPUTED_VALUE"""),11.0)</f>
        <v>11</v>
      </c>
    </row>
    <row r="233">
      <c r="A233" s="6">
        <f>IFERROR(__xludf.DUMMYFUNCTION("""COMPUTED_VALUE"""),2013.0)</f>
        <v>2013</v>
      </c>
      <c r="B233" s="6" t="str">
        <f>IFERROR(__xludf.DUMMYFUNCTION("""COMPUTED_VALUE"""),"1")</f>
        <v>1</v>
      </c>
      <c r="C233" s="6" t="str">
        <f>IFERROR(__xludf.DUMMYFUNCTION("""COMPUTED_VALUE"""),"AMEAÇA")</f>
        <v>AMEAÇA</v>
      </c>
      <c r="D233" s="6">
        <f>IFERROR(__xludf.DUMMYFUNCTION("""COMPUTED_VALUE"""),903.0)</f>
        <v>903</v>
      </c>
      <c r="E233" s="6">
        <f>IFERROR(__xludf.DUMMYFUNCTION("""COMPUTED_VALUE"""),1025.0)</f>
        <v>1025</v>
      </c>
      <c r="F233" s="6">
        <f>IFERROR(__xludf.DUMMYFUNCTION("""COMPUTED_VALUE"""),3704.0)</f>
        <v>3704</v>
      </c>
      <c r="G233" s="6">
        <f>IFERROR(__xludf.DUMMYFUNCTION("""COMPUTED_VALUE"""),5632.0)</f>
        <v>5632</v>
      </c>
    </row>
    <row r="234">
      <c r="A234" s="6">
        <f>IFERROR(__xludf.DUMMYFUNCTION("""COMPUTED_VALUE"""),2013.0)</f>
        <v>2013</v>
      </c>
      <c r="B234" s="6" t="str">
        <f>IFERROR(__xludf.DUMMYFUNCTION("""COMPUTED_VALUE"""),"1")</f>
        <v>1</v>
      </c>
      <c r="C234" s="6" t="str">
        <f>IFERROR(__xludf.DUMMYFUNCTION("""COMPUTED_VALUE"""),"INVASÃO DE DOMICÍLIO")</f>
        <v>INVASÃO DE DOMICÍLIO</v>
      </c>
      <c r="D234" s="6">
        <f>IFERROR(__xludf.DUMMYFUNCTION("""COMPUTED_VALUE"""),1.0)</f>
        <v>1</v>
      </c>
      <c r="E234" s="6">
        <f>IFERROR(__xludf.DUMMYFUNCTION("""COMPUTED_VALUE"""),3.0)</f>
        <v>3</v>
      </c>
      <c r="F234" s="6">
        <f>IFERROR(__xludf.DUMMYFUNCTION("""COMPUTED_VALUE"""),13.0)</f>
        <v>13</v>
      </c>
      <c r="G234" s="6">
        <f>IFERROR(__xludf.DUMMYFUNCTION("""COMPUTED_VALUE"""),17.0)</f>
        <v>17</v>
      </c>
    </row>
    <row r="235">
      <c r="A235" s="6">
        <f>IFERROR(__xludf.DUMMYFUNCTION("""COMPUTED_VALUE"""),2013.0)</f>
        <v>2013</v>
      </c>
      <c r="B235" s="6" t="str">
        <f>IFERROR(__xludf.DUMMYFUNCTION("""COMPUTED_VALUE"""),"1")</f>
        <v>1</v>
      </c>
      <c r="C235" s="6" t="str">
        <f>IFERROR(__xludf.DUMMYFUNCTION("""COMPUTED_VALUE"""),"DANO")</f>
        <v>DANO</v>
      </c>
      <c r="D235" s="6">
        <f>IFERROR(__xludf.DUMMYFUNCTION("""COMPUTED_VALUE"""),14.0)</f>
        <v>14</v>
      </c>
      <c r="E235" s="6">
        <f>IFERROR(__xludf.DUMMYFUNCTION("""COMPUTED_VALUE"""),19.0)</f>
        <v>19</v>
      </c>
      <c r="F235" s="6">
        <f>IFERROR(__xludf.DUMMYFUNCTION("""COMPUTED_VALUE"""),80.0)</f>
        <v>80</v>
      </c>
      <c r="G235" s="6">
        <f>IFERROR(__xludf.DUMMYFUNCTION("""COMPUTED_VALUE"""),113.0)</f>
        <v>113</v>
      </c>
    </row>
    <row r="236">
      <c r="A236" s="6">
        <f>IFERROR(__xludf.DUMMYFUNCTION("""COMPUTED_VALUE"""),2013.0)</f>
        <v>2013</v>
      </c>
      <c r="B236" s="6" t="str">
        <f>IFERROR(__xludf.DUMMYFUNCTION("""COMPUTED_VALUE"""),"1")</f>
        <v>1</v>
      </c>
      <c r="C236" s="6" t="str">
        <f>IFERROR(__xludf.DUMMYFUNCTION("""COMPUTED_VALUE"""),"ESTUPRO CONSUMADO")</f>
        <v>ESTUPRO CONSUMADO</v>
      </c>
      <c r="D236" s="6">
        <f>IFERROR(__xludf.DUMMYFUNCTION("""COMPUTED_VALUE"""),12.0)</f>
        <v>12</v>
      </c>
      <c r="E236" s="6">
        <f>IFERROR(__xludf.DUMMYFUNCTION("""COMPUTED_VALUE"""),6.0)</f>
        <v>6</v>
      </c>
      <c r="F236" s="6">
        <f>IFERROR(__xludf.DUMMYFUNCTION("""COMPUTED_VALUE"""),21.0)</f>
        <v>21</v>
      </c>
      <c r="G236" s="6">
        <f>IFERROR(__xludf.DUMMYFUNCTION("""COMPUTED_VALUE"""),39.0)</f>
        <v>39</v>
      </c>
    </row>
    <row r="237">
      <c r="A237" s="6">
        <f>IFERROR(__xludf.DUMMYFUNCTION("""COMPUTED_VALUE"""),2013.0)</f>
        <v>2013</v>
      </c>
      <c r="B237" s="6" t="str">
        <f>IFERROR(__xludf.DUMMYFUNCTION("""COMPUTED_VALUE"""),"1")</f>
        <v>1</v>
      </c>
      <c r="C237" s="6" t="str">
        <f>IFERROR(__xludf.DUMMYFUNCTION("""COMPUTED_VALUE"""),"ESTUPRO TENTADO")</f>
        <v>ESTUPRO TENTADO</v>
      </c>
      <c r="D237" s="6">
        <f>IFERROR(__xludf.DUMMYFUNCTION("""COMPUTED_VALUE"""),0.0)</f>
        <v>0</v>
      </c>
      <c r="E237" s="6">
        <f>IFERROR(__xludf.DUMMYFUNCTION("""COMPUTED_VALUE"""),0.0)</f>
        <v>0</v>
      </c>
      <c r="F237" s="6">
        <f>IFERROR(__xludf.DUMMYFUNCTION("""COMPUTED_VALUE"""),2.0)</f>
        <v>2</v>
      </c>
      <c r="G237" s="6">
        <f>IFERROR(__xludf.DUMMYFUNCTION("""COMPUTED_VALUE"""),2.0)</f>
        <v>2</v>
      </c>
    </row>
    <row r="238">
      <c r="A238" s="6">
        <f>IFERROR(__xludf.DUMMYFUNCTION("""COMPUTED_VALUE"""),2013.0)</f>
        <v>2013</v>
      </c>
      <c r="B238" s="6" t="str">
        <f>IFERROR(__xludf.DUMMYFUNCTION("""COMPUTED_VALUE"""),"1")</f>
        <v>1</v>
      </c>
      <c r="C238" s="6" t="str">
        <f>IFERROR(__xludf.DUMMYFUNCTION("""COMPUTED_VALUE"""),"ESTUPRO DE VULNERÁVEL CONSUMADO")</f>
        <v>ESTUPRO DE VULNERÁVEL CONSUMADO</v>
      </c>
      <c r="D238" s="6">
        <f>IFERROR(__xludf.DUMMYFUNCTION("""COMPUTED_VALUE"""),1.0)</f>
        <v>1</v>
      </c>
      <c r="E238" s="6">
        <f>IFERROR(__xludf.DUMMYFUNCTION("""COMPUTED_VALUE"""),4.0)</f>
        <v>4</v>
      </c>
      <c r="F238" s="6">
        <f>IFERROR(__xludf.DUMMYFUNCTION("""COMPUTED_VALUE"""),18.0)</f>
        <v>18</v>
      </c>
      <c r="G238" s="6">
        <f>IFERROR(__xludf.DUMMYFUNCTION("""COMPUTED_VALUE"""),23.0)</f>
        <v>23</v>
      </c>
    </row>
    <row r="239">
      <c r="A239" s="6">
        <f>IFERROR(__xludf.DUMMYFUNCTION("""COMPUTED_VALUE"""),2013.0)</f>
        <v>2013</v>
      </c>
      <c r="B239" s="6" t="str">
        <f>IFERROR(__xludf.DUMMYFUNCTION("""COMPUTED_VALUE"""),"1")</f>
        <v>1</v>
      </c>
      <c r="C239" s="6" t="str">
        <f>IFERROR(__xludf.DUMMYFUNCTION("""COMPUTED_VALUE"""),"OUTROS C/C/ DIGNIDADE SEXUAL")</f>
        <v>OUTROS C/C/ DIGNIDADE SEXUAL</v>
      </c>
      <c r="D239" s="6">
        <f>IFERROR(__xludf.DUMMYFUNCTION("""COMPUTED_VALUE"""),2.0)</f>
        <v>2</v>
      </c>
      <c r="E239" s="6">
        <f>IFERROR(__xludf.DUMMYFUNCTION("""COMPUTED_VALUE"""),1.0)</f>
        <v>1</v>
      </c>
      <c r="F239" s="6">
        <f>IFERROR(__xludf.DUMMYFUNCTION("""COMPUTED_VALUE"""),2.0)</f>
        <v>2</v>
      </c>
      <c r="G239" s="6">
        <f>IFERROR(__xludf.DUMMYFUNCTION("""COMPUTED_VALUE"""),5.0)</f>
        <v>5</v>
      </c>
    </row>
    <row r="240">
      <c r="A240" s="6">
        <f>IFERROR(__xludf.DUMMYFUNCTION("""COMPUTED_VALUE"""),2013.0)</f>
        <v>2013</v>
      </c>
      <c r="B240" s="6" t="str">
        <f>IFERROR(__xludf.DUMMYFUNCTION("""COMPUTED_VALUE"""),"2")</f>
        <v>2</v>
      </c>
      <c r="C240" s="6" t="str">
        <f>IFERROR(__xludf.DUMMYFUNCTION("""COMPUTED_VALUE"""),"HOMICÍDIO DOLOSO (exclui FEMINICÍDIO)")</f>
        <v>HOMICÍDIO DOLOSO (exclui FEMINICÍDIO)</v>
      </c>
      <c r="D240" s="6">
        <f>IFERROR(__xludf.DUMMYFUNCTION("""COMPUTED_VALUE"""),2.0)</f>
        <v>2</v>
      </c>
      <c r="E240" s="6">
        <f>IFERROR(__xludf.DUMMYFUNCTION("""COMPUTED_VALUE"""),1.0)</f>
        <v>1</v>
      </c>
      <c r="F240" s="6">
        <f>IFERROR(__xludf.DUMMYFUNCTION("""COMPUTED_VALUE"""),1.0)</f>
        <v>1</v>
      </c>
      <c r="G240" s="6">
        <f>IFERROR(__xludf.DUMMYFUNCTION("""COMPUTED_VALUE"""),4.0)</f>
        <v>4</v>
      </c>
    </row>
    <row r="241">
      <c r="A241" s="6">
        <f>IFERROR(__xludf.DUMMYFUNCTION("""COMPUTED_VALUE"""),2013.0)</f>
        <v>2013</v>
      </c>
      <c r="B241" s="6" t="str">
        <f>IFERROR(__xludf.DUMMYFUNCTION("""COMPUTED_VALUE"""),"2")</f>
        <v>2</v>
      </c>
      <c r="C241" s="6" t="str">
        <f>IFERROR(__xludf.DUMMYFUNCTION("""COMPUTED_VALUE"""),"HOMICÍDIO CULPOSO")</f>
        <v>HOMICÍDIO CULPOSO</v>
      </c>
      <c r="D241" s="6">
        <f>IFERROR(__xludf.DUMMYFUNCTION("""COMPUTED_VALUE"""),0.0)</f>
        <v>0</v>
      </c>
      <c r="E241" s="6">
        <f>IFERROR(__xludf.DUMMYFUNCTION("""COMPUTED_VALUE"""),0.0)</f>
        <v>0</v>
      </c>
      <c r="F241" s="6">
        <f>IFERROR(__xludf.DUMMYFUNCTION("""COMPUTED_VALUE"""),0.0)</f>
        <v>0</v>
      </c>
      <c r="G241" s="6">
        <f>IFERROR(__xludf.DUMMYFUNCTION("""COMPUTED_VALUE"""),0.0)</f>
        <v>0</v>
      </c>
    </row>
    <row r="242">
      <c r="A242" s="6">
        <f>IFERROR(__xludf.DUMMYFUNCTION("""COMPUTED_VALUE"""),2013.0)</f>
        <v>2013</v>
      </c>
      <c r="B242" s="6" t="str">
        <f>IFERROR(__xludf.DUMMYFUNCTION("""COMPUTED_VALUE"""),"2")</f>
        <v>2</v>
      </c>
      <c r="C242" s="6" t="str">
        <f>IFERROR(__xludf.DUMMYFUNCTION("""COMPUTED_VALUE"""),"TENTATIVA DE HOMICÍDIO")</f>
        <v>TENTATIVA DE HOMICÍDIO</v>
      </c>
      <c r="D242" s="6">
        <f>IFERROR(__xludf.DUMMYFUNCTION("""COMPUTED_VALUE"""),0.0)</f>
        <v>0</v>
      </c>
      <c r="E242" s="6">
        <f>IFERROR(__xludf.DUMMYFUNCTION("""COMPUTED_VALUE"""),4.0)</f>
        <v>4</v>
      </c>
      <c r="F242" s="6">
        <f>IFERROR(__xludf.DUMMYFUNCTION("""COMPUTED_VALUE"""),11.0)</f>
        <v>11</v>
      </c>
      <c r="G242" s="6">
        <f>IFERROR(__xludf.DUMMYFUNCTION("""COMPUTED_VALUE"""),15.0)</f>
        <v>15</v>
      </c>
    </row>
    <row r="243">
      <c r="A243" s="6">
        <f>IFERROR(__xludf.DUMMYFUNCTION("""COMPUTED_VALUE"""),2013.0)</f>
        <v>2013</v>
      </c>
      <c r="B243" s="6" t="str">
        <f>IFERROR(__xludf.DUMMYFUNCTION("""COMPUTED_VALUE"""),"2")</f>
        <v>2</v>
      </c>
      <c r="C243" s="6" t="str">
        <f>IFERROR(__xludf.DUMMYFUNCTION("""COMPUTED_VALUE"""),"LESÃO CORPORAL DOLOSA")</f>
        <v>LESÃO CORPORAL DOLOSA</v>
      </c>
      <c r="D243" s="6">
        <f>IFERROR(__xludf.DUMMYFUNCTION("""COMPUTED_VALUE"""),823.0)</f>
        <v>823</v>
      </c>
      <c r="E243" s="6">
        <f>IFERROR(__xludf.DUMMYFUNCTION("""COMPUTED_VALUE"""),741.0)</f>
        <v>741</v>
      </c>
      <c r="F243" s="6">
        <f>IFERROR(__xludf.DUMMYFUNCTION("""COMPUTED_VALUE"""),3037.0)</f>
        <v>3037</v>
      </c>
      <c r="G243" s="6">
        <f>IFERROR(__xludf.DUMMYFUNCTION("""COMPUTED_VALUE"""),4601.0)</f>
        <v>4601</v>
      </c>
    </row>
    <row r="244">
      <c r="A244" s="6">
        <f>IFERROR(__xludf.DUMMYFUNCTION("""COMPUTED_VALUE"""),2013.0)</f>
        <v>2013</v>
      </c>
      <c r="B244" s="6" t="str">
        <f>IFERROR(__xludf.DUMMYFUNCTION("""COMPUTED_VALUE"""),"2")</f>
        <v>2</v>
      </c>
      <c r="C244" s="6" t="str">
        <f>IFERROR(__xludf.DUMMYFUNCTION("""COMPUTED_VALUE"""),"MAUS TRATOS")</f>
        <v>MAUS TRATOS</v>
      </c>
      <c r="D244" s="6">
        <f>IFERROR(__xludf.DUMMYFUNCTION("""COMPUTED_VALUE"""),0.0)</f>
        <v>0</v>
      </c>
      <c r="E244" s="6">
        <f>IFERROR(__xludf.DUMMYFUNCTION("""COMPUTED_VALUE"""),5.0)</f>
        <v>5</v>
      </c>
      <c r="F244" s="6">
        <f>IFERROR(__xludf.DUMMYFUNCTION("""COMPUTED_VALUE"""),11.0)</f>
        <v>11</v>
      </c>
      <c r="G244" s="6">
        <f>IFERROR(__xludf.DUMMYFUNCTION("""COMPUTED_VALUE"""),16.0)</f>
        <v>16</v>
      </c>
    </row>
    <row r="245">
      <c r="A245" s="6">
        <f>IFERROR(__xludf.DUMMYFUNCTION("""COMPUTED_VALUE"""),2013.0)</f>
        <v>2013</v>
      </c>
      <c r="B245" s="6" t="str">
        <f>IFERROR(__xludf.DUMMYFUNCTION("""COMPUTED_VALUE"""),"2")</f>
        <v>2</v>
      </c>
      <c r="C245" s="6" t="str">
        <f>IFERROR(__xludf.DUMMYFUNCTION("""COMPUTED_VALUE"""),"CALÚNIA - DIFAMAÇÃO - INJÚRIA")</f>
        <v>CALÚNIA - DIFAMAÇÃO - INJÚRIA</v>
      </c>
      <c r="D245" s="6">
        <f>IFERROR(__xludf.DUMMYFUNCTION("""COMPUTED_VALUE"""),174.0)</f>
        <v>174</v>
      </c>
      <c r="E245" s="6">
        <f>IFERROR(__xludf.DUMMYFUNCTION("""COMPUTED_VALUE"""),200.0)</f>
        <v>200</v>
      </c>
      <c r="F245" s="6">
        <f>IFERROR(__xludf.DUMMYFUNCTION("""COMPUTED_VALUE"""),664.0)</f>
        <v>664</v>
      </c>
      <c r="G245" s="6">
        <f>IFERROR(__xludf.DUMMYFUNCTION("""COMPUTED_VALUE"""),1038.0)</f>
        <v>1038</v>
      </c>
    </row>
    <row r="246">
      <c r="A246" s="6">
        <f>IFERROR(__xludf.DUMMYFUNCTION("""COMPUTED_VALUE"""),2013.0)</f>
        <v>2013</v>
      </c>
      <c r="B246" s="6" t="str">
        <f>IFERROR(__xludf.DUMMYFUNCTION("""COMPUTED_VALUE"""),"2")</f>
        <v>2</v>
      </c>
      <c r="C246" s="6" t="str">
        <f>IFERROR(__xludf.DUMMYFUNCTION("""COMPUTED_VALUE"""),"CONSTRANGIMENTO ILEGAL")</f>
        <v>CONSTRANGIMENTO ILEGAL</v>
      </c>
      <c r="D246" s="6">
        <f>IFERROR(__xludf.DUMMYFUNCTION("""COMPUTED_VALUE"""),2.0)</f>
        <v>2</v>
      </c>
      <c r="E246" s="6">
        <f>IFERROR(__xludf.DUMMYFUNCTION("""COMPUTED_VALUE"""),0.0)</f>
        <v>0</v>
      </c>
      <c r="F246" s="6">
        <f>IFERROR(__xludf.DUMMYFUNCTION("""COMPUTED_VALUE"""),3.0)</f>
        <v>3</v>
      </c>
      <c r="G246" s="6">
        <f>IFERROR(__xludf.DUMMYFUNCTION("""COMPUTED_VALUE"""),5.0)</f>
        <v>5</v>
      </c>
    </row>
    <row r="247">
      <c r="A247" s="6">
        <f>IFERROR(__xludf.DUMMYFUNCTION("""COMPUTED_VALUE"""),2013.0)</f>
        <v>2013</v>
      </c>
      <c r="B247" s="6" t="str">
        <f>IFERROR(__xludf.DUMMYFUNCTION("""COMPUTED_VALUE"""),"2")</f>
        <v>2</v>
      </c>
      <c r="C247" s="6" t="str">
        <f>IFERROR(__xludf.DUMMYFUNCTION("""COMPUTED_VALUE"""),"AMEAÇA")</f>
        <v>AMEAÇA</v>
      </c>
      <c r="D247" s="6">
        <f>IFERROR(__xludf.DUMMYFUNCTION("""COMPUTED_VALUE"""),813.0)</f>
        <v>813</v>
      </c>
      <c r="E247" s="6">
        <f>IFERROR(__xludf.DUMMYFUNCTION("""COMPUTED_VALUE"""),820.0)</f>
        <v>820</v>
      </c>
      <c r="F247" s="6">
        <f>IFERROR(__xludf.DUMMYFUNCTION("""COMPUTED_VALUE"""),2911.0)</f>
        <v>2911</v>
      </c>
      <c r="G247" s="6">
        <f>IFERROR(__xludf.DUMMYFUNCTION("""COMPUTED_VALUE"""),4544.0)</f>
        <v>4544</v>
      </c>
    </row>
    <row r="248">
      <c r="A248" s="6">
        <f>IFERROR(__xludf.DUMMYFUNCTION("""COMPUTED_VALUE"""),2013.0)</f>
        <v>2013</v>
      </c>
      <c r="B248" s="6" t="str">
        <f>IFERROR(__xludf.DUMMYFUNCTION("""COMPUTED_VALUE"""),"2")</f>
        <v>2</v>
      </c>
      <c r="C248" s="6" t="str">
        <f>IFERROR(__xludf.DUMMYFUNCTION("""COMPUTED_VALUE"""),"INVASÃO DE DOMICÍLIO")</f>
        <v>INVASÃO DE DOMICÍLIO</v>
      </c>
      <c r="D248" s="6">
        <f>IFERROR(__xludf.DUMMYFUNCTION("""COMPUTED_VALUE"""),0.0)</f>
        <v>0</v>
      </c>
      <c r="E248" s="6">
        <f>IFERROR(__xludf.DUMMYFUNCTION("""COMPUTED_VALUE"""),2.0)</f>
        <v>2</v>
      </c>
      <c r="F248" s="6">
        <f>IFERROR(__xludf.DUMMYFUNCTION("""COMPUTED_VALUE"""),10.0)</f>
        <v>10</v>
      </c>
      <c r="G248" s="6">
        <f>IFERROR(__xludf.DUMMYFUNCTION("""COMPUTED_VALUE"""),12.0)</f>
        <v>12</v>
      </c>
    </row>
    <row r="249">
      <c r="A249" s="6">
        <f>IFERROR(__xludf.DUMMYFUNCTION("""COMPUTED_VALUE"""),2013.0)</f>
        <v>2013</v>
      </c>
      <c r="B249" s="6" t="str">
        <f>IFERROR(__xludf.DUMMYFUNCTION("""COMPUTED_VALUE"""),"2")</f>
        <v>2</v>
      </c>
      <c r="C249" s="6" t="str">
        <f>IFERROR(__xludf.DUMMYFUNCTION("""COMPUTED_VALUE"""),"DANO")</f>
        <v>DANO</v>
      </c>
      <c r="D249" s="6">
        <f>IFERROR(__xludf.DUMMYFUNCTION("""COMPUTED_VALUE"""),10.0)</f>
        <v>10</v>
      </c>
      <c r="E249" s="6">
        <f>IFERROR(__xludf.DUMMYFUNCTION("""COMPUTED_VALUE"""),11.0)</f>
        <v>11</v>
      </c>
      <c r="F249" s="6">
        <f>IFERROR(__xludf.DUMMYFUNCTION("""COMPUTED_VALUE"""),63.0)</f>
        <v>63</v>
      </c>
      <c r="G249" s="6">
        <f>IFERROR(__xludf.DUMMYFUNCTION("""COMPUTED_VALUE"""),84.0)</f>
        <v>84</v>
      </c>
    </row>
    <row r="250">
      <c r="A250" s="6">
        <f>IFERROR(__xludf.DUMMYFUNCTION("""COMPUTED_VALUE"""),2013.0)</f>
        <v>2013</v>
      </c>
      <c r="B250" s="6" t="str">
        <f>IFERROR(__xludf.DUMMYFUNCTION("""COMPUTED_VALUE"""),"2")</f>
        <v>2</v>
      </c>
      <c r="C250" s="6" t="str">
        <f>IFERROR(__xludf.DUMMYFUNCTION("""COMPUTED_VALUE"""),"ESTUPRO CONSUMADO")</f>
        <v>ESTUPRO CONSUMADO</v>
      </c>
      <c r="D250" s="6">
        <f>IFERROR(__xludf.DUMMYFUNCTION("""COMPUTED_VALUE"""),11.0)</f>
        <v>11</v>
      </c>
      <c r="E250" s="6">
        <f>IFERROR(__xludf.DUMMYFUNCTION("""COMPUTED_VALUE"""),7.0)</f>
        <v>7</v>
      </c>
      <c r="F250" s="6">
        <f>IFERROR(__xludf.DUMMYFUNCTION("""COMPUTED_VALUE"""),23.0)</f>
        <v>23</v>
      </c>
      <c r="G250" s="6">
        <f>IFERROR(__xludf.DUMMYFUNCTION("""COMPUTED_VALUE"""),41.0)</f>
        <v>41</v>
      </c>
    </row>
    <row r="251">
      <c r="A251" s="6">
        <f>IFERROR(__xludf.DUMMYFUNCTION("""COMPUTED_VALUE"""),2013.0)</f>
        <v>2013</v>
      </c>
      <c r="B251" s="6" t="str">
        <f>IFERROR(__xludf.DUMMYFUNCTION("""COMPUTED_VALUE"""),"2")</f>
        <v>2</v>
      </c>
      <c r="C251" s="6" t="str">
        <f>IFERROR(__xludf.DUMMYFUNCTION("""COMPUTED_VALUE"""),"ESTUPRO TENTADO")</f>
        <v>ESTUPRO TENTADO</v>
      </c>
      <c r="D251" s="6">
        <f>IFERROR(__xludf.DUMMYFUNCTION("""COMPUTED_VALUE"""),1.0)</f>
        <v>1</v>
      </c>
      <c r="E251" s="6">
        <f>IFERROR(__xludf.DUMMYFUNCTION("""COMPUTED_VALUE"""),1.0)</f>
        <v>1</v>
      </c>
      <c r="F251" s="6">
        <f>IFERROR(__xludf.DUMMYFUNCTION("""COMPUTED_VALUE"""),1.0)</f>
        <v>1</v>
      </c>
      <c r="G251" s="6">
        <f>IFERROR(__xludf.DUMMYFUNCTION("""COMPUTED_VALUE"""),3.0)</f>
        <v>3</v>
      </c>
    </row>
    <row r="252">
      <c r="A252" s="6">
        <f>IFERROR(__xludf.DUMMYFUNCTION("""COMPUTED_VALUE"""),2013.0)</f>
        <v>2013</v>
      </c>
      <c r="B252" s="6" t="str">
        <f>IFERROR(__xludf.DUMMYFUNCTION("""COMPUTED_VALUE"""),"2")</f>
        <v>2</v>
      </c>
      <c r="C252" s="6" t="str">
        <f>IFERROR(__xludf.DUMMYFUNCTION("""COMPUTED_VALUE"""),"ESTUPRO DE VULNERÁVEL CONSUMADO")</f>
        <v>ESTUPRO DE VULNERÁVEL CONSUMADO</v>
      </c>
      <c r="D252" s="6">
        <f>IFERROR(__xludf.DUMMYFUNCTION("""COMPUTED_VALUE"""),0.0)</f>
        <v>0</v>
      </c>
      <c r="E252" s="6">
        <f>IFERROR(__xludf.DUMMYFUNCTION("""COMPUTED_VALUE"""),3.0)</f>
        <v>3</v>
      </c>
      <c r="F252" s="6">
        <f>IFERROR(__xludf.DUMMYFUNCTION("""COMPUTED_VALUE"""),11.0)</f>
        <v>11</v>
      </c>
      <c r="G252" s="6">
        <f>IFERROR(__xludf.DUMMYFUNCTION("""COMPUTED_VALUE"""),14.0)</f>
        <v>14</v>
      </c>
    </row>
    <row r="253">
      <c r="A253" s="6">
        <f>IFERROR(__xludf.DUMMYFUNCTION("""COMPUTED_VALUE"""),2013.0)</f>
        <v>2013</v>
      </c>
      <c r="B253" s="6" t="str">
        <f>IFERROR(__xludf.DUMMYFUNCTION("""COMPUTED_VALUE"""),"2")</f>
        <v>2</v>
      </c>
      <c r="C253" s="6" t="str">
        <f>IFERROR(__xludf.DUMMYFUNCTION("""COMPUTED_VALUE"""),"OUTROS C/C/ DIGNIDADE SEXUAL")</f>
        <v>OUTROS C/C/ DIGNIDADE SEXUAL</v>
      </c>
      <c r="D253" s="6">
        <f>IFERROR(__xludf.DUMMYFUNCTION("""COMPUTED_VALUE"""),2.0)</f>
        <v>2</v>
      </c>
      <c r="E253" s="6">
        <f>IFERROR(__xludf.DUMMYFUNCTION("""COMPUTED_VALUE"""),0.0)</f>
        <v>0</v>
      </c>
      <c r="F253" s="6">
        <f>IFERROR(__xludf.DUMMYFUNCTION("""COMPUTED_VALUE"""),3.0)</f>
        <v>3</v>
      </c>
      <c r="G253" s="6">
        <f>IFERROR(__xludf.DUMMYFUNCTION("""COMPUTED_VALUE"""),5.0)</f>
        <v>5</v>
      </c>
    </row>
    <row r="254">
      <c r="A254" s="6">
        <f>IFERROR(__xludf.DUMMYFUNCTION("""COMPUTED_VALUE"""),2013.0)</f>
        <v>2013</v>
      </c>
      <c r="B254" s="6" t="str">
        <f>IFERROR(__xludf.DUMMYFUNCTION("""COMPUTED_VALUE"""),"3")</f>
        <v>3</v>
      </c>
      <c r="C254" s="6" t="str">
        <f>IFERROR(__xludf.DUMMYFUNCTION("""COMPUTED_VALUE"""),"HOMICÍDIO DOLOSO (exclui FEMINICÍDIO)")</f>
        <v>HOMICÍDIO DOLOSO (exclui FEMINICÍDIO)</v>
      </c>
      <c r="D254" s="6">
        <f>IFERROR(__xludf.DUMMYFUNCTION("""COMPUTED_VALUE"""),1.0)</f>
        <v>1</v>
      </c>
      <c r="E254" s="6">
        <f>IFERROR(__xludf.DUMMYFUNCTION("""COMPUTED_VALUE"""),1.0)</f>
        <v>1</v>
      </c>
      <c r="F254" s="6">
        <f>IFERROR(__xludf.DUMMYFUNCTION("""COMPUTED_VALUE"""),5.0)</f>
        <v>5</v>
      </c>
      <c r="G254" s="6">
        <f>IFERROR(__xludf.DUMMYFUNCTION("""COMPUTED_VALUE"""),7.0)</f>
        <v>7</v>
      </c>
    </row>
    <row r="255">
      <c r="A255" s="6">
        <f>IFERROR(__xludf.DUMMYFUNCTION("""COMPUTED_VALUE"""),2013.0)</f>
        <v>2013</v>
      </c>
      <c r="B255" s="6" t="str">
        <f>IFERROR(__xludf.DUMMYFUNCTION("""COMPUTED_VALUE"""),"3")</f>
        <v>3</v>
      </c>
      <c r="C255" s="6" t="str">
        <f>IFERROR(__xludf.DUMMYFUNCTION("""COMPUTED_VALUE"""),"HOMICÍDIO CULPOSO")</f>
        <v>HOMICÍDIO CULPOSO</v>
      </c>
      <c r="D255" s="6">
        <f>IFERROR(__xludf.DUMMYFUNCTION("""COMPUTED_VALUE"""),0.0)</f>
        <v>0</v>
      </c>
      <c r="E255" s="6">
        <f>IFERROR(__xludf.DUMMYFUNCTION("""COMPUTED_VALUE"""),0.0)</f>
        <v>0</v>
      </c>
      <c r="F255" s="6">
        <f>IFERROR(__xludf.DUMMYFUNCTION("""COMPUTED_VALUE"""),0.0)</f>
        <v>0</v>
      </c>
      <c r="G255" s="6">
        <f>IFERROR(__xludf.DUMMYFUNCTION("""COMPUTED_VALUE"""),0.0)</f>
        <v>0</v>
      </c>
    </row>
    <row r="256">
      <c r="A256" s="6">
        <f>IFERROR(__xludf.DUMMYFUNCTION("""COMPUTED_VALUE"""),2013.0)</f>
        <v>2013</v>
      </c>
      <c r="B256" s="6" t="str">
        <f>IFERROR(__xludf.DUMMYFUNCTION("""COMPUTED_VALUE"""),"3")</f>
        <v>3</v>
      </c>
      <c r="C256" s="6" t="str">
        <f>IFERROR(__xludf.DUMMYFUNCTION("""COMPUTED_VALUE"""),"TENTATIVA DE HOMICÍDIO")</f>
        <v>TENTATIVA DE HOMICÍDIO</v>
      </c>
      <c r="D256" s="6">
        <f>IFERROR(__xludf.DUMMYFUNCTION("""COMPUTED_VALUE"""),0.0)</f>
        <v>0</v>
      </c>
      <c r="E256" s="6">
        <f>IFERROR(__xludf.DUMMYFUNCTION("""COMPUTED_VALUE"""),7.0)</f>
        <v>7</v>
      </c>
      <c r="F256" s="6">
        <f>IFERROR(__xludf.DUMMYFUNCTION("""COMPUTED_VALUE"""),15.0)</f>
        <v>15</v>
      </c>
      <c r="G256" s="6">
        <f>IFERROR(__xludf.DUMMYFUNCTION("""COMPUTED_VALUE"""),22.0)</f>
        <v>22</v>
      </c>
    </row>
    <row r="257">
      <c r="A257" s="6">
        <f>IFERROR(__xludf.DUMMYFUNCTION("""COMPUTED_VALUE"""),2013.0)</f>
        <v>2013</v>
      </c>
      <c r="B257" s="6" t="str">
        <f>IFERROR(__xludf.DUMMYFUNCTION("""COMPUTED_VALUE"""),"3")</f>
        <v>3</v>
      </c>
      <c r="C257" s="6" t="str">
        <f>IFERROR(__xludf.DUMMYFUNCTION("""COMPUTED_VALUE"""),"LESÃO CORPORAL DOLOSA")</f>
        <v>LESÃO CORPORAL DOLOSA</v>
      </c>
      <c r="D257" s="6">
        <f>IFERROR(__xludf.DUMMYFUNCTION("""COMPUTED_VALUE"""),929.0)</f>
        <v>929</v>
      </c>
      <c r="E257" s="6">
        <f>IFERROR(__xludf.DUMMYFUNCTION("""COMPUTED_VALUE"""),837.0)</f>
        <v>837</v>
      </c>
      <c r="F257" s="6">
        <f>IFERROR(__xludf.DUMMYFUNCTION("""COMPUTED_VALUE"""),3524.0)</f>
        <v>3524</v>
      </c>
      <c r="G257" s="6">
        <f>IFERROR(__xludf.DUMMYFUNCTION("""COMPUTED_VALUE"""),5290.0)</f>
        <v>5290</v>
      </c>
    </row>
    <row r="258">
      <c r="A258" s="6">
        <f>IFERROR(__xludf.DUMMYFUNCTION("""COMPUTED_VALUE"""),2013.0)</f>
        <v>2013</v>
      </c>
      <c r="B258" s="6" t="str">
        <f>IFERROR(__xludf.DUMMYFUNCTION("""COMPUTED_VALUE"""),"3")</f>
        <v>3</v>
      </c>
      <c r="C258" s="6" t="str">
        <f>IFERROR(__xludf.DUMMYFUNCTION("""COMPUTED_VALUE"""),"MAUS TRATOS")</f>
        <v>MAUS TRATOS</v>
      </c>
      <c r="D258" s="6">
        <f>IFERROR(__xludf.DUMMYFUNCTION("""COMPUTED_VALUE"""),3.0)</f>
        <v>3</v>
      </c>
      <c r="E258" s="6">
        <f>IFERROR(__xludf.DUMMYFUNCTION("""COMPUTED_VALUE"""),6.0)</f>
        <v>6</v>
      </c>
      <c r="F258" s="6">
        <f>IFERROR(__xludf.DUMMYFUNCTION("""COMPUTED_VALUE"""),21.0)</f>
        <v>21</v>
      </c>
      <c r="G258" s="6">
        <f>IFERROR(__xludf.DUMMYFUNCTION("""COMPUTED_VALUE"""),30.0)</f>
        <v>30</v>
      </c>
    </row>
    <row r="259">
      <c r="A259" s="6">
        <f>IFERROR(__xludf.DUMMYFUNCTION("""COMPUTED_VALUE"""),2013.0)</f>
        <v>2013</v>
      </c>
      <c r="B259" s="6" t="str">
        <f>IFERROR(__xludf.DUMMYFUNCTION("""COMPUTED_VALUE"""),"3")</f>
        <v>3</v>
      </c>
      <c r="C259" s="6" t="str">
        <f>IFERROR(__xludf.DUMMYFUNCTION("""COMPUTED_VALUE"""),"CALÚNIA - DIFAMAÇÃO - INJÚRIA")</f>
        <v>CALÚNIA - DIFAMAÇÃO - INJÚRIA</v>
      </c>
      <c r="D259" s="6">
        <f>IFERROR(__xludf.DUMMYFUNCTION("""COMPUTED_VALUE"""),185.0)</f>
        <v>185</v>
      </c>
      <c r="E259" s="6">
        <f>IFERROR(__xludf.DUMMYFUNCTION("""COMPUTED_VALUE"""),216.0)</f>
        <v>216</v>
      </c>
      <c r="F259" s="6">
        <f>IFERROR(__xludf.DUMMYFUNCTION("""COMPUTED_VALUE"""),771.0)</f>
        <v>771</v>
      </c>
      <c r="G259" s="6">
        <f>IFERROR(__xludf.DUMMYFUNCTION("""COMPUTED_VALUE"""),1172.0)</f>
        <v>1172</v>
      </c>
    </row>
    <row r="260">
      <c r="A260" s="6">
        <f>IFERROR(__xludf.DUMMYFUNCTION("""COMPUTED_VALUE"""),2013.0)</f>
        <v>2013</v>
      </c>
      <c r="B260" s="6" t="str">
        <f>IFERROR(__xludf.DUMMYFUNCTION("""COMPUTED_VALUE"""),"3")</f>
        <v>3</v>
      </c>
      <c r="C260" s="6" t="str">
        <f>IFERROR(__xludf.DUMMYFUNCTION("""COMPUTED_VALUE"""),"CONSTRANGIMENTO ILEGAL")</f>
        <v>CONSTRANGIMENTO ILEGAL</v>
      </c>
      <c r="D260" s="6">
        <f>IFERROR(__xludf.DUMMYFUNCTION("""COMPUTED_VALUE"""),1.0)</f>
        <v>1</v>
      </c>
      <c r="E260" s="6">
        <f>IFERROR(__xludf.DUMMYFUNCTION("""COMPUTED_VALUE"""),1.0)</f>
        <v>1</v>
      </c>
      <c r="F260" s="6">
        <f>IFERROR(__xludf.DUMMYFUNCTION("""COMPUTED_VALUE"""),10.0)</f>
        <v>10</v>
      </c>
      <c r="G260" s="6">
        <f>IFERROR(__xludf.DUMMYFUNCTION("""COMPUTED_VALUE"""),12.0)</f>
        <v>12</v>
      </c>
    </row>
    <row r="261">
      <c r="A261" s="6">
        <f>IFERROR(__xludf.DUMMYFUNCTION("""COMPUTED_VALUE"""),2013.0)</f>
        <v>2013</v>
      </c>
      <c r="B261" s="6" t="str">
        <f>IFERROR(__xludf.DUMMYFUNCTION("""COMPUTED_VALUE"""),"3")</f>
        <v>3</v>
      </c>
      <c r="C261" s="6" t="str">
        <f>IFERROR(__xludf.DUMMYFUNCTION("""COMPUTED_VALUE"""),"AMEAÇA")</f>
        <v>AMEAÇA</v>
      </c>
      <c r="D261" s="6">
        <f>IFERROR(__xludf.DUMMYFUNCTION("""COMPUTED_VALUE"""),884.0)</f>
        <v>884</v>
      </c>
      <c r="E261" s="6">
        <f>IFERROR(__xludf.DUMMYFUNCTION("""COMPUTED_VALUE"""),933.0)</f>
        <v>933</v>
      </c>
      <c r="F261" s="6">
        <f>IFERROR(__xludf.DUMMYFUNCTION("""COMPUTED_VALUE"""),3449.0)</f>
        <v>3449</v>
      </c>
      <c r="G261" s="6">
        <f>IFERROR(__xludf.DUMMYFUNCTION("""COMPUTED_VALUE"""),5266.0)</f>
        <v>5266</v>
      </c>
    </row>
    <row r="262">
      <c r="A262" s="6">
        <f>IFERROR(__xludf.DUMMYFUNCTION("""COMPUTED_VALUE"""),2013.0)</f>
        <v>2013</v>
      </c>
      <c r="B262" s="6" t="str">
        <f>IFERROR(__xludf.DUMMYFUNCTION("""COMPUTED_VALUE"""),"3")</f>
        <v>3</v>
      </c>
      <c r="C262" s="6" t="str">
        <f>IFERROR(__xludf.DUMMYFUNCTION("""COMPUTED_VALUE"""),"INVASÃO DE DOMICÍLIO")</f>
        <v>INVASÃO DE DOMICÍLIO</v>
      </c>
      <c r="D262" s="6">
        <f>IFERROR(__xludf.DUMMYFUNCTION("""COMPUTED_VALUE"""),1.0)</f>
        <v>1</v>
      </c>
      <c r="E262" s="6">
        <f>IFERROR(__xludf.DUMMYFUNCTION("""COMPUTED_VALUE"""),3.0)</f>
        <v>3</v>
      </c>
      <c r="F262" s="6">
        <f>IFERROR(__xludf.DUMMYFUNCTION("""COMPUTED_VALUE"""),20.0)</f>
        <v>20</v>
      </c>
      <c r="G262" s="6">
        <f>IFERROR(__xludf.DUMMYFUNCTION("""COMPUTED_VALUE"""),24.0)</f>
        <v>24</v>
      </c>
    </row>
    <row r="263">
      <c r="A263" s="6">
        <f>IFERROR(__xludf.DUMMYFUNCTION("""COMPUTED_VALUE"""),2013.0)</f>
        <v>2013</v>
      </c>
      <c r="B263" s="6" t="str">
        <f>IFERROR(__xludf.DUMMYFUNCTION("""COMPUTED_VALUE"""),"3")</f>
        <v>3</v>
      </c>
      <c r="C263" s="6" t="str">
        <f>IFERROR(__xludf.DUMMYFUNCTION("""COMPUTED_VALUE"""),"DANO")</f>
        <v>DANO</v>
      </c>
      <c r="D263" s="6">
        <f>IFERROR(__xludf.DUMMYFUNCTION("""COMPUTED_VALUE"""),9.0)</f>
        <v>9</v>
      </c>
      <c r="E263" s="6">
        <f>IFERROR(__xludf.DUMMYFUNCTION("""COMPUTED_VALUE"""),15.0)</f>
        <v>15</v>
      </c>
      <c r="F263" s="6">
        <f>IFERROR(__xludf.DUMMYFUNCTION("""COMPUTED_VALUE"""),74.0)</f>
        <v>74</v>
      </c>
      <c r="G263" s="6">
        <f>IFERROR(__xludf.DUMMYFUNCTION("""COMPUTED_VALUE"""),98.0)</f>
        <v>98</v>
      </c>
    </row>
    <row r="264">
      <c r="A264" s="6">
        <f>IFERROR(__xludf.DUMMYFUNCTION("""COMPUTED_VALUE"""),2013.0)</f>
        <v>2013</v>
      </c>
      <c r="B264" s="6" t="str">
        <f>IFERROR(__xludf.DUMMYFUNCTION("""COMPUTED_VALUE"""),"3")</f>
        <v>3</v>
      </c>
      <c r="C264" s="6" t="str">
        <f>IFERROR(__xludf.DUMMYFUNCTION("""COMPUTED_VALUE"""),"ESTUPRO CONSUMADO")</f>
        <v>ESTUPRO CONSUMADO</v>
      </c>
      <c r="D264" s="6">
        <f>IFERROR(__xludf.DUMMYFUNCTION("""COMPUTED_VALUE"""),11.0)</f>
        <v>11</v>
      </c>
      <c r="E264" s="6">
        <f>IFERROR(__xludf.DUMMYFUNCTION("""COMPUTED_VALUE"""),6.0)</f>
        <v>6</v>
      </c>
      <c r="F264" s="6">
        <f>IFERROR(__xludf.DUMMYFUNCTION("""COMPUTED_VALUE"""),13.0)</f>
        <v>13</v>
      </c>
      <c r="G264" s="6">
        <f>IFERROR(__xludf.DUMMYFUNCTION("""COMPUTED_VALUE"""),30.0)</f>
        <v>30</v>
      </c>
    </row>
    <row r="265">
      <c r="A265" s="6">
        <f>IFERROR(__xludf.DUMMYFUNCTION("""COMPUTED_VALUE"""),2013.0)</f>
        <v>2013</v>
      </c>
      <c r="B265" s="6" t="str">
        <f>IFERROR(__xludf.DUMMYFUNCTION("""COMPUTED_VALUE"""),"3")</f>
        <v>3</v>
      </c>
      <c r="C265" s="6" t="str">
        <f>IFERROR(__xludf.DUMMYFUNCTION("""COMPUTED_VALUE"""),"ESTUPRO TENTADO")</f>
        <v>ESTUPRO TENTADO</v>
      </c>
      <c r="D265" s="6">
        <f>IFERROR(__xludf.DUMMYFUNCTION("""COMPUTED_VALUE"""),1.0)</f>
        <v>1</v>
      </c>
      <c r="E265" s="6">
        <f>IFERROR(__xludf.DUMMYFUNCTION("""COMPUTED_VALUE"""),0.0)</f>
        <v>0</v>
      </c>
      <c r="F265" s="6">
        <f>IFERROR(__xludf.DUMMYFUNCTION("""COMPUTED_VALUE"""),1.0)</f>
        <v>1</v>
      </c>
      <c r="G265" s="6">
        <f>IFERROR(__xludf.DUMMYFUNCTION("""COMPUTED_VALUE"""),2.0)</f>
        <v>2</v>
      </c>
    </row>
    <row r="266">
      <c r="A266" s="6">
        <f>IFERROR(__xludf.DUMMYFUNCTION("""COMPUTED_VALUE"""),2013.0)</f>
        <v>2013</v>
      </c>
      <c r="B266" s="6" t="str">
        <f>IFERROR(__xludf.DUMMYFUNCTION("""COMPUTED_VALUE"""),"3")</f>
        <v>3</v>
      </c>
      <c r="C266" s="6" t="str">
        <f>IFERROR(__xludf.DUMMYFUNCTION("""COMPUTED_VALUE"""),"ESTUPRO DE VULNERÁVEL CONSUMADO")</f>
        <v>ESTUPRO DE VULNERÁVEL CONSUMADO</v>
      </c>
      <c r="D266" s="6">
        <f>IFERROR(__xludf.DUMMYFUNCTION("""COMPUTED_VALUE"""),1.0)</f>
        <v>1</v>
      </c>
      <c r="E266" s="6">
        <f>IFERROR(__xludf.DUMMYFUNCTION("""COMPUTED_VALUE"""),7.0)</f>
        <v>7</v>
      </c>
      <c r="F266" s="6">
        <f>IFERROR(__xludf.DUMMYFUNCTION("""COMPUTED_VALUE"""),20.0)</f>
        <v>20</v>
      </c>
      <c r="G266" s="6">
        <f>IFERROR(__xludf.DUMMYFUNCTION("""COMPUTED_VALUE"""),28.0)</f>
        <v>28</v>
      </c>
    </row>
    <row r="267">
      <c r="A267" s="6">
        <f>IFERROR(__xludf.DUMMYFUNCTION("""COMPUTED_VALUE"""),2013.0)</f>
        <v>2013</v>
      </c>
      <c r="B267" s="6" t="str">
        <f>IFERROR(__xludf.DUMMYFUNCTION("""COMPUTED_VALUE"""),"3")</f>
        <v>3</v>
      </c>
      <c r="C267" s="6" t="str">
        <f>IFERROR(__xludf.DUMMYFUNCTION("""COMPUTED_VALUE"""),"OUTROS C/C/ DIGNIDADE SEXUAL")</f>
        <v>OUTROS C/C/ DIGNIDADE SEXUAL</v>
      </c>
      <c r="D267" s="6">
        <f>IFERROR(__xludf.DUMMYFUNCTION("""COMPUTED_VALUE"""),0.0)</f>
        <v>0</v>
      </c>
      <c r="E267" s="6">
        <f>IFERROR(__xludf.DUMMYFUNCTION("""COMPUTED_VALUE"""),0.0)</f>
        <v>0</v>
      </c>
      <c r="F267" s="6">
        <f>IFERROR(__xludf.DUMMYFUNCTION("""COMPUTED_VALUE"""),5.0)</f>
        <v>5</v>
      </c>
      <c r="G267" s="6">
        <f>IFERROR(__xludf.DUMMYFUNCTION("""COMPUTED_VALUE"""),5.0)</f>
        <v>5</v>
      </c>
    </row>
    <row r="268">
      <c r="A268" s="6">
        <f>IFERROR(__xludf.DUMMYFUNCTION("""COMPUTED_VALUE"""),2013.0)</f>
        <v>2013</v>
      </c>
      <c r="B268" s="6" t="str">
        <f>IFERROR(__xludf.DUMMYFUNCTION("""COMPUTED_VALUE"""),"4")</f>
        <v>4</v>
      </c>
      <c r="C268" s="6" t="str">
        <f>IFERROR(__xludf.DUMMYFUNCTION("""COMPUTED_VALUE"""),"HOMICÍDIO DOLOSO (exclui FEMINICÍDIO)")</f>
        <v>HOMICÍDIO DOLOSO (exclui FEMINICÍDIO)</v>
      </c>
      <c r="D268" s="6">
        <f>IFERROR(__xludf.DUMMYFUNCTION("""COMPUTED_VALUE"""),1.0)</f>
        <v>1</v>
      </c>
      <c r="E268" s="6">
        <f>IFERROR(__xludf.DUMMYFUNCTION("""COMPUTED_VALUE"""),0.0)</f>
        <v>0</v>
      </c>
      <c r="F268" s="6">
        <f>IFERROR(__xludf.DUMMYFUNCTION("""COMPUTED_VALUE"""),5.0)</f>
        <v>5</v>
      </c>
      <c r="G268" s="6">
        <f>IFERROR(__xludf.DUMMYFUNCTION("""COMPUTED_VALUE"""),6.0)</f>
        <v>6</v>
      </c>
    </row>
    <row r="269">
      <c r="A269" s="6">
        <f>IFERROR(__xludf.DUMMYFUNCTION("""COMPUTED_VALUE"""),2013.0)</f>
        <v>2013</v>
      </c>
      <c r="B269" s="6" t="str">
        <f>IFERROR(__xludf.DUMMYFUNCTION("""COMPUTED_VALUE"""),"4")</f>
        <v>4</v>
      </c>
      <c r="C269" s="6" t="str">
        <f>IFERROR(__xludf.DUMMYFUNCTION("""COMPUTED_VALUE"""),"HOMICÍDIO CULPOSO")</f>
        <v>HOMICÍDIO CULPOSO</v>
      </c>
      <c r="D269" s="6">
        <f>IFERROR(__xludf.DUMMYFUNCTION("""COMPUTED_VALUE"""),0.0)</f>
        <v>0</v>
      </c>
      <c r="E269" s="6">
        <f>IFERROR(__xludf.DUMMYFUNCTION("""COMPUTED_VALUE"""),0.0)</f>
        <v>0</v>
      </c>
      <c r="F269" s="6">
        <f>IFERROR(__xludf.DUMMYFUNCTION("""COMPUTED_VALUE"""),0.0)</f>
        <v>0</v>
      </c>
      <c r="G269" s="6">
        <f>IFERROR(__xludf.DUMMYFUNCTION("""COMPUTED_VALUE"""),0.0)</f>
        <v>0</v>
      </c>
    </row>
    <row r="270">
      <c r="A270" s="6">
        <f>IFERROR(__xludf.DUMMYFUNCTION("""COMPUTED_VALUE"""),2013.0)</f>
        <v>2013</v>
      </c>
      <c r="B270" s="6" t="str">
        <f>IFERROR(__xludf.DUMMYFUNCTION("""COMPUTED_VALUE"""),"4")</f>
        <v>4</v>
      </c>
      <c r="C270" s="6" t="str">
        <f>IFERROR(__xludf.DUMMYFUNCTION("""COMPUTED_VALUE"""),"TENTATIVA DE HOMICÍDIO")</f>
        <v>TENTATIVA DE HOMICÍDIO</v>
      </c>
      <c r="D270" s="6">
        <f>IFERROR(__xludf.DUMMYFUNCTION("""COMPUTED_VALUE"""),0.0)</f>
        <v>0</v>
      </c>
      <c r="E270" s="6">
        <f>IFERROR(__xludf.DUMMYFUNCTION("""COMPUTED_VALUE"""),3.0)</f>
        <v>3</v>
      </c>
      <c r="F270" s="6">
        <f>IFERROR(__xludf.DUMMYFUNCTION("""COMPUTED_VALUE"""),9.0)</f>
        <v>9</v>
      </c>
      <c r="G270" s="6">
        <f>IFERROR(__xludf.DUMMYFUNCTION("""COMPUTED_VALUE"""),12.0)</f>
        <v>12</v>
      </c>
    </row>
    <row r="271">
      <c r="A271" s="6">
        <f>IFERROR(__xludf.DUMMYFUNCTION("""COMPUTED_VALUE"""),2013.0)</f>
        <v>2013</v>
      </c>
      <c r="B271" s="6" t="str">
        <f>IFERROR(__xludf.DUMMYFUNCTION("""COMPUTED_VALUE"""),"4")</f>
        <v>4</v>
      </c>
      <c r="C271" s="6" t="str">
        <f>IFERROR(__xludf.DUMMYFUNCTION("""COMPUTED_VALUE"""),"LESÃO CORPORAL DOLOSA")</f>
        <v>LESÃO CORPORAL DOLOSA</v>
      </c>
      <c r="D271" s="6">
        <f>IFERROR(__xludf.DUMMYFUNCTION("""COMPUTED_VALUE"""),811.0)</f>
        <v>811</v>
      </c>
      <c r="E271" s="6">
        <f>IFERROR(__xludf.DUMMYFUNCTION("""COMPUTED_VALUE"""),711.0)</f>
        <v>711</v>
      </c>
      <c r="F271" s="6">
        <f>IFERROR(__xludf.DUMMYFUNCTION("""COMPUTED_VALUE"""),2911.0)</f>
        <v>2911</v>
      </c>
      <c r="G271" s="6">
        <f>IFERROR(__xludf.DUMMYFUNCTION("""COMPUTED_VALUE"""),4433.0)</f>
        <v>4433</v>
      </c>
    </row>
    <row r="272">
      <c r="A272" s="6">
        <f>IFERROR(__xludf.DUMMYFUNCTION("""COMPUTED_VALUE"""),2013.0)</f>
        <v>2013</v>
      </c>
      <c r="B272" s="6" t="str">
        <f>IFERROR(__xludf.DUMMYFUNCTION("""COMPUTED_VALUE"""),"4")</f>
        <v>4</v>
      </c>
      <c r="C272" s="6" t="str">
        <f>IFERROR(__xludf.DUMMYFUNCTION("""COMPUTED_VALUE"""),"MAUS TRATOS")</f>
        <v>MAUS TRATOS</v>
      </c>
      <c r="D272" s="6">
        <f>IFERROR(__xludf.DUMMYFUNCTION("""COMPUTED_VALUE"""),1.0)</f>
        <v>1</v>
      </c>
      <c r="E272" s="6">
        <f>IFERROR(__xludf.DUMMYFUNCTION("""COMPUTED_VALUE"""),4.0)</f>
        <v>4</v>
      </c>
      <c r="F272" s="6">
        <f>IFERROR(__xludf.DUMMYFUNCTION("""COMPUTED_VALUE"""),21.0)</f>
        <v>21</v>
      </c>
      <c r="G272" s="6">
        <f>IFERROR(__xludf.DUMMYFUNCTION("""COMPUTED_VALUE"""),26.0)</f>
        <v>26</v>
      </c>
    </row>
    <row r="273">
      <c r="A273" s="6">
        <f>IFERROR(__xludf.DUMMYFUNCTION("""COMPUTED_VALUE"""),2013.0)</f>
        <v>2013</v>
      </c>
      <c r="B273" s="6" t="str">
        <f>IFERROR(__xludf.DUMMYFUNCTION("""COMPUTED_VALUE"""),"4")</f>
        <v>4</v>
      </c>
      <c r="C273" s="6" t="str">
        <f>IFERROR(__xludf.DUMMYFUNCTION("""COMPUTED_VALUE"""),"CALÚNIA - DIFAMAÇÃO - INJÚRIA")</f>
        <v>CALÚNIA - DIFAMAÇÃO - INJÚRIA</v>
      </c>
      <c r="D273" s="6">
        <f>IFERROR(__xludf.DUMMYFUNCTION("""COMPUTED_VALUE"""),179.0)</f>
        <v>179</v>
      </c>
      <c r="E273" s="6">
        <f>IFERROR(__xludf.DUMMYFUNCTION("""COMPUTED_VALUE"""),228.0)</f>
        <v>228</v>
      </c>
      <c r="F273" s="6">
        <f>IFERROR(__xludf.DUMMYFUNCTION("""COMPUTED_VALUE"""),796.0)</f>
        <v>796</v>
      </c>
      <c r="G273" s="6">
        <f>IFERROR(__xludf.DUMMYFUNCTION("""COMPUTED_VALUE"""),1203.0)</f>
        <v>1203</v>
      </c>
    </row>
    <row r="274">
      <c r="A274" s="6">
        <f>IFERROR(__xludf.DUMMYFUNCTION("""COMPUTED_VALUE"""),2013.0)</f>
        <v>2013</v>
      </c>
      <c r="B274" s="6" t="str">
        <f>IFERROR(__xludf.DUMMYFUNCTION("""COMPUTED_VALUE"""),"4")</f>
        <v>4</v>
      </c>
      <c r="C274" s="6" t="str">
        <f>IFERROR(__xludf.DUMMYFUNCTION("""COMPUTED_VALUE"""),"CONSTRANGIMENTO ILEGAL")</f>
        <v>CONSTRANGIMENTO ILEGAL</v>
      </c>
      <c r="D274" s="6">
        <f>IFERROR(__xludf.DUMMYFUNCTION("""COMPUTED_VALUE"""),0.0)</f>
        <v>0</v>
      </c>
      <c r="E274" s="6">
        <f>IFERROR(__xludf.DUMMYFUNCTION("""COMPUTED_VALUE"""),1.0)</f>
        <v>1</v>
      </c>
      <c r="F274" s="6">
        <f>IFERROR(__xludf.DUMMYFUNCTION("""COMPUTED_VALUE"""),4.0)</f>
        <v>4</v>
      </c>
      <c r="G274" s="6">
        <f>IFERROR(__xludf.DUMMYFUNCTION("""COMPUTED_VALUE"""),5.0)</f>
        <v>5</v>
      </c>
    </row>
    <row r="275">
      <c r="A275" s="6">
        <f>IFERROR(__xludf.DUMMYFUNCTION("""COMPUTED_VALUE"""),2013.0)</f>
        <v>2013</v>
      </c>
      <c r="B275" s="6" t="str">
        <f>IFERROR(__xludf.DUMMYFUNCTION("""COMPUTED_VALUE"""),"4")</f>
        <v>4</v>
      </c>
      <c r="C275" s="6" t="str">
        <f>IFERROR(__xludf.DUMMYFUNCTION("""COMPUTED_VALUE"""),"AMEAÇA")</f>
        <v>AMEAÇA</v>
      </c>
      <c r="D275" s="6">
        <f>IFERROR(__xludf.DUMMYFUNCTION("""COMPUTED_VALUE"""),752.0)</f>
        <v>752</v>
      </c>
      <c r="E275" s="6">
        <f>IFERROR(__xludf.DUMMYFUNCTION("""COMPUTED_VALUE"""),800.0)</f>
        <v>800</v>
      </c>
      <c r="F275" s="6">
        <f>IFERROR(__xludf.DUMMYFUNCTION("""COMPUTED_VALUE"""),2911.0)</f>
        <v>2911</v>
      </c>
      <c r="G275" s="6">
        <f>IFERROR(__xludf.DUMMYFUNCTION("""COMPUTED_VALUE"""),4463.0)</f>
        <v>4463</v>
      </c>
    </row>
    <row r="276">
      <c r="A276" s="6">
        <f>IFERROR(__xludf.DUMMYFUNCTION("""COMPUTED_VALUE"""),2013.0)</f>
        <v>2013</v>
      </c>
      <c r="B276" s="6" t="str">
        <f>IFERROR(__xludf.DUMMYFUNCTION("""COMPUTED_VALUE"""),"4")</f>
        <v>4</v>
      </c>
      <c r="C276" s="6" t="str">
        <f>IFERROR(__xludf.DUMMYFUNCTION("""COMPUTED_VALUE"""),"INVASÃO DE DOMICÍLIO")</f>
        <v>INVASÃO DE DOMICÍLIO</v>
      </c>
      <c r="D276" s="6">
        <f>IFERROR(__xludf.DUMMYFUNCTION("""COMPUTED_VALUE"""),0.0)</f>
        <v>0</v>
      </c>
      <c r="E276" s="6">
        <f>IFERROR(__xludf.DUMMYFUNCTION("""COMPUTED_VALUE"""),2.0)</f>
        <v>2</v>
      </c>
      <c r="F276" s="6">
        <f>IFERROR(__xludf.DUMMYFUNCTION("""COMPUTED_VALUE"""),10.0)</f>
        <v>10</v>
      </c>
      <c r="G276" s="6">
        <f>IFERROR(__xludf.DUMMYFUNCTION("""COMPUTED_VALUE"""),12.0)</f>
        <v>12</v>
      </c>
    </row>
    <row r="277">
      <c r="A277" s="6">
        <f>IFERROR(__xludf.DUMMYFUNCTION("""COMPUTED_VALUE"""),2013.0)</f>
        <v>2013</v>
      </c>
      <c r="B277" s="6" t="str">
        <f>IFERROR(__xludf.DUMMYFUNCTION("""COMPUTED_VALUE"""),"4")</f>
        <v>4</v>
      </c>
      <c r="C277" s="6" t="str">
        <f>IFERROR(__xludf.DUMMYFUNCTION("""COMPUTED_VALUE"""),"DANO")</f>
        <v>DANO</v>
      </c>
      <c r="D277" s="6">
        <f>IFERROR(__xludf.DUMMYFUNCTION("""COMPUTED_VALUE"""),10.0)</f>
        <v>10</v>
      </c>
      <c r="E277" s="6">
        <f>IFERROR(__xludf.DUMMYFUNCTION("""COMPUTED_VALUE"""),12.0)</f>
        <v>12</v>
      </c>
      <c r="F277" s="6">
        <f>IFERROR(__xludf.DUMMYFUNCTION("""COMPUTED_VALUE"""),53.0)</f>
        <v>53</v>
      </c>
      <c r="G277" s="6">
        <f>IFERROR(__xludf.DUMMYFUNCTION("""COMPUTED_VALUE"""),75.0)</f>
        <v>75</v>
      </c>
    </row>
    <row r="278">
      <c r="A278" s="6">
        <f>IFERROR(__xludf.DUMMYFUNCTION("""COMPUTED_VALUE"""),2013.0)</f>
        <v>2013</v>
      </c>
      <c r="B278" s="6" t="str">
        <f>IFERROR(__xludf.DUMMYFUNCTION("""COMPUTED_VALUE"""),"4")</f>
        <v>4</v>
      </c>
      <c r="C278" s="6" t="str">
        <f>IFERROR(__xludf.DUMMYFUNCTION("""COMPUTED_VALUE"""),"ESTUPRO CONSUMADO")</f>
        <v>ESTUPRO CONSUMADO</v>
      </c>
      <c r="D278" s="6">
        <f>IFERROR(__xludf.DUMMYFUNCTION("""COMPUTED_VALUE"""),6.0)</f>
        <v>6</v>
      </c>
      <c r="E278" s="6">
        <f>IFERROR(__xludf.DUMMYFUNCTION("""COMPUTED_VALUE"""),3.0)</f>
        <v>3</v>
      </c>
      <c r="F278" s="6">
        <f>IFERROR(__xludf.DUMMYFUNCTION("""COMPUTED_VALUE"""),16.0)</f>
        <v>16</v>
      </c>
      <c r="G278" s="6">
        <f>IFERROR(__xludf.DUMMYFUNCTION("""COMPUTED_VALUE"""),25.0)</f>
        <v>25</v>
      </c>
    </row>
    <row r="279">
      <c r="A279" s="6">
        <f>IFERROR(__xludf.DUMMYFUNCTION("""COMPUTED_VALUE"""),2013.0)</f>
        <v>2013</v>
      </c>
      <c r="B279" s="6" t="str">
        <f>IFERROR(__xludf.DUMMYFUNCTION("""COMPUTED_VALUE"""),"4")</f>
        <v>4</v>
      </c>
      <c r="C279" s="6" t="str">
        <f>IFERROR(__xludf.DUMMYFUNCTION("""COMPUTED_VALUE"""),"ESTUPRO TENTADO")</f>
        <v>ESTUPRO TENTADO</v>
      </c>
      <c r="D279" s="6">
        <f>IFERROR(__xludf.DUMMYFUNCTION("""COMPUTED_VALUE"""),0.0)</f>
        <v>0</v>
      </c>
      <c r="E279" s="6">
        <f>IFERROR(__xludf.DUMMYFUNCTION("""COMPUTED_VALUE"""),0.0)</f>
        <v>0</v>
      </c>
      <c r="F279" s="6">
        <f>IFERROR(__xludf.DUMMYFUNCTION("""COMPUTED_VALUE"""),1.0)</f>
        <v>1</v>
      </c>
      <c r="G279" s="6">
        <f>IFERROR(__xludf.DUMMYFUNCTION("""COMPUTED_VALUE"""),1.0)</f>
        <v>1</v>
      </c>
    </row>
    <row r="280">
      <c r="A280" s="6">
        <f>IFERROR(__xludf.DUMMYFUNCTION("""COMPUTED_VALUE"""),2013.0)</f>
        <v>2013</v>
      </c>
      <c r="B280" s="6" t="str">
        <f>IFERROR(__xludf.DUMMYFUNCTION("""COMPUTED_VALUE"""),"4")</f>
        <v>4</v>
      </c>
      <c r="C280" s="6" t="str">
        <f>IFERROR(__xludf.DUMMYFUNCTION("""COMPUTED_VALUE"""),"ESTUPRO DE VULNERÁVEL CONSUMADO")</f>
        <v>ESTUPRO DE VULNERÁVEL CONSUMADO</v>
      </c>
      <c r="D280" s="6">
        <f>IFERROR(__xludf.DUMMYFUNCTION("""COMPUTED_VALUE"""),2.0)</f>
        <v>2</v>
      </c>
      <c r="E280" s="6">
        <f>IFERROR(__xludf.DUMMYFUNCTION("""COMPUTED_VALUE"""),5.0)</f>
        <v>5</v>
      </c>
      <c r="F280" s="6">
        <f>IFERROR(__xludf.DUMMYFUNCTION("""COMPUTED_VALUE"""),11.0)</f>
        <v>11</v>
      </c>
      <c r="G280" s="6">
        <f>IFERROR(__xludf.DUMMYFUNCTION("""COMPUTED_VALUE"""),18.0)</f>
        <v>18</v>
      </c>
    </row>
    <row r="281">
      <c r="A281" s="6">
        <f>IFERROR(__xludf.DUMMYFUNCTION("""COMPUTED_VALUE"""),2013.0)</f>
        <v>2013</v>
      </c>
      <c r="B281" s="6" t="str">
        <f>IFERROR(__xludf.DUMMYFUNCTION("""COMPUTED_VALUE"""),"4")</f>
        <v>4</v>
      </c>
      <c r="C281" s="6" t="str">
        <f>IFERROR(__xludf.DUMMYFUNCTION("""COMPUTED_VALUE"""),"OUTROS C/C/ DIGNIDADE SEXUAL")</f>
        <v>OUTROS C/C/ DIGNIDADE SEXUAL</v>
      </c>
      <c r="D281" s="6">
        <f>IFERROR(__xludf.DUMMYFUNCTION("""COMPUTED_VALUE"""),0.0)</f>
        <v>0</v>
      </c>
      <c r="E281" s="6">
        <f>IFERROR(__xludf.DUMMYFUNCTION("""COMPUTED_VALUE"""),0.0)</f>
        <v>0</v>
      </c>
      <c r="F281" s="6">
        <f>IFERROR(__xludf.DUMMYFUNCTION("""COMPUTED_VALUE"""),3.0)</f>
        <v>3</v>
      </c>
      <c r="G281" s="6">
        <f>IFERROR(__xludf.DUMMYFUNCTION("""COMPUTED_VALUE"""),3.0)</f>
        <v>3</v>
      </c>
    </row>
    <row r="282">
      <c r="A282" s="6">
        <f>IFERROR(__xludf.DUMMYFUNCTION("""COMPUTED_VALUE"""),2013.0)</f>
        <v>2013</v>
      </c>
      <c r="B282" s="6" t="str">
        <f>IFERROR(__xludf.DUMMYFUNCTION("""COMPUTED_VALUE"""),"5")</f>
        <v>5</v>
      </c>
      <c r="C282" s="6" t="str">
        <f>IFERROR(__xludf.DUMMYFUNCTION("""COMPUTED_VALUE"""),"HOMICÍDIO DOLOSO (exclui FEMINICÍDIO)")</f>
        <v>HOMICÍDIO DOLOSO (exclui FEMINICÍDIO)</v>
      </c>
      <c r="D282" s="6">
        <f>IFERROR(__xludf.DUMMYFUNCTION("""COMPUTED_VALUE"""),1.0)</f>
        <v>1</v>
      </c>
      <c r="E282" s="6">
        <f>IFERROR(__xludf.DUMMYFUNCTION("""COMPUTED_VALUE"""),0.0)</f>
        <v>0</v>
      </c>
      <c r="F282" s="6">
        <f>IFERROR(__xludf.DUMMYFUNCTION("""COMPUTED_VALUE"""),1.0)</f>
        <v>1</v>
      </c>
      <c r="G282" s="6">
        <f>IFERROR(__xludf.DUMMYFUNCTION("""COMPUTED_VALUE"""),2.0)</f>
        <v>2</v>
      </c>
    </row>
    <row r="283">
      <c r="A283" s="6">
        <f>IFERROR(__xludf.DUMMYFUNCTION("""COMPUTED_VALUE"""),2013.0)</f>
        <v>2013</v>
      </c>
      <c r="B283" s="6" t="str">
        <f>IFERROR(__xludf.DUMMYFUNCTION("""COMPUTED_VALUE"""),"5")</f>
        <v>5</v>
      </c>
      <c r="C283" s="6" t="str">
        <f>IFERROR(__xludf.DUMMYFUNCTION("""COMPUTED_VALUE"""),"HOMICÍDIO CULPOSO")</f>
        <v>HOMICÍDIO CULPOSO</v>
      </c>
      <c r="D283" s="6">
        <f>IFERROR(__xludf.DUMMYFUNCTION("""COMPUTED_VALUE"""),0.0)</f>
        <v>0</v>
      </c>
      <c r="E283" s="6">
        <f>IFERROR(__xludf.DUMMYFUNCTION("""COMPUTED_VALUE"""),0.0)</f>
        <v>0</v>
      </c>
      <c r="F283" s="6">
        <f>IFERROR(__xludf.DUMMYFUNCTION("""COMPUTED_VALUE"""),0.0)</f>
        <v>0</v>
      </c>
      <c r="G283" s="6">
        <f>IFERROR(__xludf.DUMMYFUNCTION("""COMPUTED_VALUE"""),0.0)</f>
        <v>0</v>
      </c>
    </row>
    <row r="284">
      <c r="A284" s="6">
        <f>IFERROR(__xludf.DUMMYFUNCTION("""COMPUTED_VALUE"""),2013.0)</f>
        <v>2013</v>
      </c>
      <c r="B284" s="6" t="str">
        <f>IFERROR(__xludf.DUMMYFUNCTION("""COMPUTED_VALUE"""),"5")</f>
        <v>5</v>
      </c>
      <c r="C284" s="6" t="str">
        <f>IFERROR(__xludf.DUMMYFUNCTION("""COMPUTED_VALUE"""),"TENTATIVA DE HOMICÍDIO")</f>
        <v>TENTATIVA DE HOMICÍDIO</v>
      </c>
      <c r="D284" s="6">
        <f>IFERROR(__xludf.DUMMYFUNCTION("""COMPUTED_VALUE"""),0.0)</f>
        <v>0</v>
      </c>
      <c r="E284" s="6">
        <f>IFERROR(__xludf.DUMMYFUNCTION("""COMPUTED_VALUE"""),1.0)</f>
        <v>1</v>
      </c>
      <c r="F284" s="6">
        <f>IFERROR(__xludf.DUMMYFUNCTION("""COMPUTED_VALUE"""),7.0)</f>
        <v>7</v>
      </c>
      <c r="G284" s="6">
        <f>IFERROR(__xludf.DUMMYFUNCTION("""COMPUTED_VALUE"""),8.0)</f>
        <v>8</v>
      </c>
    </row>
    <row r="285">
      <c r="A285" s="6">
        <f>IFERROR(__xludf.DUMMYFUNCTION("""COMPUTED_VALUE"""),2013.0)</f>
        <v>2013</v>
      </c>
      <c r="B285" s="6" t="str">
        <f>IFERROR(__xludf.DUMMYFUNCTION("""COMPUTED_VALUE"""),"5")</f>
        <v>5</v>
      </c>
      <c r="C285" s="6" t="str">
        <f>IFERROR(__xludf.DUMMYFUNCTION("""COMPUTED_VALUE"""),"LESÃO CORPORAL DOLOSA")</f>
        <v>LESÃO CORPORAL DOLOSA</v>
      </c>
      <c r="D285" s="6">
        <f>IFERROR(__xludf.DUMMYFUNCTION("""COMPUTED_VALUE"""),811.0)</f>
        <v>811</v>
      </c>
      <c r="E285" s="6">
        <f>IFERROR(__xludf.DUMMYFUNCTION("""COMPUTED_VALUE"""),682.0)</f>
        <v>682</v>
      </c>
      <c r="F285" s="6">
        <f>IFERROR(__xludf.DUMMYFUNCTION("""COMPUTED_VALUE"""),2811.0)</f>
        <v>2811</v>
      </c>
      <c r="G285" s="6">
        <f>IFERROR(__xludf.DUMMYFUNCTION("""COMPUTED_VALUE"""),4304.0)</f>
        <v>4304</v>
      </c>
    </row>
    <row r="286">
      <c r="A286" s="6">
        <f>IFERROR(__xludf.DUMMYFUNCTION("""COMPUTED_VALUE"""),2013.0)</f>
        <v>2013</v>
      </c>
      <c r="B286" s="6" t="str">
        <f>IFERROR(__xludf.DUMMYFUNCTION("""COMPUTED_VALUE"""),"5")</f>
        <v>5</v>
      </c>
      <c r="C286" s="6" t="str">
        <f>IFERROR(__xludf.DUMMYFUNCTION("""COMPUTED_VALUE"""),"MAUS TRATOS")</f>
        <v>MAUS TRATOS</v>
      </c>
      <c r="D286" s="6">
        <f>IFERROR(__xludf.DUMMYFUNCTION("""COMPUTED_VALUE"""),1.0)</f>
        <v>1</v>
      </c>
      <c r="E286" s="6">
        <f>IFERROR(__xludf.DUMMYFUNCTION("""COMPUTED_VALUE"""),5.0)</f>
        <v>5</v>
      </c>
      <c r="F286" s="6">
        <f>IFERROR(__xludf.DUMMYFUNCTION("""COMPUTED_VALUE"""),22.0)</f>
        <v>22</v>
      </c>
      <c r="G286" s="6">
        <f>IFERROR(__xludf.DUMMYFUNCTION("""COMPUTED_VALUE"""),28.0)</f>
        <v>28</v>
      </c>
    </row>
    <row r="287">
      <c r="A287" s="6">
        <f>IFERROR(__xludf.DUMMYFUNCTION("""COMPUTED_VALUE"""),2013.0)</f>
        <v>2013</v>
      </c>
      <c r="B287" s="6" t="str">
        <f>IFERROR(__xludf.DUMMYFUNCTION("""COMPUTED_VALUE"""),"5")</f>
        <v>5</v>
      </c>
      <c r="C287" s="6" t="str">
        <f>IFERROR(__xludf.DUMMYFUNCTION("""COMPUTED_VALUE"""),"CALÚNIA - DIFAMAÇÃO - INJÚRIA")</f>
        <v>CALÚNIA - DIFAMAÇÃO - INJÚRIA</v>
      </c>
      <c r="D287" s="6">
        <f>IFERROR(__xludf.DUMMYFUNCTION("""COMPUTED_VALUE"""),175.0)</f>
        <v>175</v>
      </c>
      <c r="E287" s="6">
        <f>IFERROR(__xludf.DUMMYFUNCTION("""COMPUTED_VALUE"""),240.0)</f>
        <v>240</v>
      </c>
      <c r="F287" s="6">
        <f>IFERROR(__xludf.DUMMYFUNCTION("""COMPUTED_VALUE"""),794.0)</f>
        <v>794</v>
      </c>
      <c r="G287" s="6">
        <f>IFERROR(__xludf.DUMMYFUNCTION("""COMPUTED_VALUE"""),1209.0)</f>
        <v>1209</v>
      </c>
    </row>
    <row r="288">
      <c r="A288" s="6">
        <f>IFERROR(__xludf.DUMMYFUNCTION("""COMPUTED_VALUE"""),2013.0)</f>
        <v>2013</v>
      </c>
      <c r="B288" s="6" t="str">
        <f>IFERROR(__xludf.DUMMYFUNCTION("""COMPUTED_VALUE"""),"5")</f>
        <v>5</v>
      </c>
      <c r="C288" s="6" t="str">
        <f>IFERROR(__xludf.DUMMYFUNCTION("""COMPUTED_VALUE"""),"CONSTRANGIMENTO ILEGAL")</f>
        <v>CONSTRANGIMENTO ILEGAL</v>
      </c>
      <c r="D288" s="6">
        <f>IFERROR(__xludf.DUMMYFUNCTION("""COMPUTED_VALUE"""),2.0)</f>
        <v>2</v>
      </c>
      <c r="E288" s="6">
        <f>IFERROR(__xludf.DUMMYFUNCTION("""COMPUTED_VALUE"""),1.0)</f>
        <v>1</v>
      </c>
      <c r="F288" s="6">
        <f>IFERROR(__xludf.DUMMYFUNCTION("""COMPUTED_VALUE"""),2.0)</f>
        <v>2</v>
      </c>
      <c r="G288" s="6">
        <f>IFERROR(__xludf.DUMMYFUNCTION("""COMPUTED_VALUE"""),5.0)</f>
        <v>5</v>
      </c>
    </row>
    <row r="289">
      <c r="A289" s="6">
        <f>IFERROR(__xludf.DUMMYFUNCTION("""COMPUTED_VALUE"""),2013.0)</f>
        <v>2013</v>
      </c>
      <c r="B289" s="6" t="str">
        <f>IFERROR(__xludf.DUMMYFUNCTION("""COMPUTED_VALUE"""),"5")</f>
        <v>5</v>
      </c>
      <c r="C289" s="6" t="str">
        <f>IFERROR(__xludf.DUMMYFUNCTION("""COMPUTED_VALUE"""),"AMEAÇA")</f>
        <v>AMEAÇA</v>
      </c>
      <c r="D289" s="6">
        <f>IFERROR(__xludf.DUMMYFUNCTION("""COMPUTED_VALUE"""),711.0)</f>
        <v>711</v>
      </c>
      <c r="E289" s="6">
        <f>IFERROR(__xludf.DUMMYFUNCTION("""COMPUTED_VALUE"""),790.0)</f>
        <v>790</v>
      </c>
      <c r="F289" s="6">
        <f>IFERROR(__xludf.DUMMYFUNCTION("""COMPUTED_VALUE"""),2811.0)</f>
        <v>2811</v>
      </c>
      <c r="G289" s="6">
        <f>IFERROR(__xludf.DUMMYFUNCTION("""COMPUTED_VALUE"""),4312.0)</f>
        <v>4312</v>
      </c>
    </row>
    <row r="290">
      <c r="A290" s="6">
        <f>IFERROR(__xludf.DUMMYFUNCTION("""COMPUTED_VALUE"""),2013.0)</f>
        <v>2013</v>
      </c>
      <c r="B290" s="6" t="str">
        <f>IFERROR(__xludf.DUMMYFUNCTION("""COMPUTED_VALUE"""),"5")</f>
        <v>5</v>
      </c>
      <c r="C290" s="6" t="str">
        <f>IFERROR(__xludf.DUMMYFUNCTION("""COMPUTED_VALUE"""),"INVASÃO DE DOMICÍLIO")</f>
        <v>INVASÃO DE DOMICÍLIO</v>
      </c>
      <c r="D290" s="6">
        <f>IFERROR(__xludf.DUMMYFUNCTION("""COMPUTED_VALUE"""),1.0)</f>
        <v>1</v>
      </c>
      <c r="E290" s="6">
        <f>IFERROR(__xludf.DUMMYFUNCTION("""COMPUTED_VALUE"""),1.0)</f>
        <v>1</v>
      </c>
      <c r="F290" s="6">
        <f>IFERROR(__xludf.DUMMYFUNCTION("""COMPUTED_VALUE"""),6.0)</f>
        <v>6</v>
      </c>
      <c r="G290" s="6">
        <f>IFERROR(__xludf.DUMMYFUNCTION("""COMPUTED_VALUE"""),8.0)</f>
        <v>8</v>
      </c>
    </row>
    <row r="291">
      <c r="A291" s="6">
        <f>IFERROR(__xludf.DUMMYFUNCTION("""COMPUTED_VALUE"""),2013.0)</f>
        <v>2013</v>
      </c>
      <c r="B291" s="6" t="str">
        <f>IFERROR(__xludf.DUMMYFUNCTION("""COMPUTED_VALUE"""),"5")</f>
        <v>5</v>
      </c>
      <c r="C291" s="6" t="str">
        <f>IFERROR(__xludf.DUMMYFUNCTION("""COMPUTED_VALUE"""),"DANO")</f>
        <v>DANO</v>
      </c>
      <c r="D291" s="6">
        <f>IFERROR(__xludf.DUMMYFUNCTION("""COMPUTED_VALUE"""),4.0)</f>
        <v>4</v>
      </c>
      <c r="E291" s="6">
        <f>IFERROR(__xludf.DUMMYFUNCTION("""COMPUTED_VALUE"""),14.0)</f>
        <v>14</v>
      </c>
      <c r="F291" s="6">
        <f>IFERROR(__xludf.DUMMYFUNCTION("""COMPUTED_VALUE"""),59.0)</f>
        <v>59</v>
      </c>
      <c r="G291" s="6">
        <f>IFERROR(__xludf.DUMMYFUNCTION("""COMPUTED_VALUE"""),77.0)</f>
        <v>77</v>
      </c>
    </row>
    <row r="292">
      <c r="A292" s="6">
        <f>IFERROR(__xludf.DUMMYFUNCTION("""COMPUTED_VALUE"""),2013.0)</f>
        <v>2013</v>
      </c>
      <c r="B292" s="6" t="str">
        <f>IFERROR(__xludf.DUMMYFUNCTION("""COMPUTED_VALUE"""),"5")</f>
        <v>5</v>
      </c>
      <c r="C292" s="6" t="str">
        <f>IFERROR(__xludf.DUMMYFUNCTION("""COMPUTED_VALUE"""),"ESTUPRO CONSUMADO")</f>
        <v>ESTUPRO CONSUMADO</v>
      </c>
      <c r="D292" s="6">
        <f>IFERROR(__xludf.DUMMYFUNCTION("""COMPUTED_VALUE"""),14.0)</f>
        <v>14</v>
      </c>
      <c r="E292" s="6">
        <f>IFERROR(__xludf.DUMMYFUNCTION("""COMPUTED_VALUE"""),7.0)</f>
        <v>7</v>
      </c>
      <c r="F292" s="6">
        <f>IFERROR(__xludf.DUMMYFUNCTION("""COMPUTED_VALUE"""),15.0)</f>
        <v>15</v>
      </c>
      <c r="G292" s="6">
        <f>IFERROR(__xludf.DUMMYFUNCTION("""COMPUTED_VALUE"""),36.0)</f>
        <v>36</v>
      </c>
    </row>
    <row r="293">
      <c r="A293" s="6">
        <f>IFERROR(__xludf.DUMMYFUNCTION("""COMPUTED_VALUE"""),2013.0)</f>
        <v>2013</v>
      </c>
      <c r="B293" s="6" t="str">
        <f>IFERROR(__xludf.DUMMYFUNCTION("""COMPUTED_VALUE"""),"5")</f>
        <v>5</v>
      </c>
      <c r="C293" s="6" t="str">
        <f>IFERROR(__xludf.DUMMYFUNCTION("""COMPUTED_VALUE"""),"ESTUPRO TENTADO")</f>
        <v>ESTUPRO TENTADO</v>
      </c>
      <c r="D293" s="6">
        <f>IFERROR(__xludf.DUMMYFUNCTION("""COMPUTED_VALUE"""),0.0)</f>
        <v>0</v>
      </c>
      <c r="E293" s="6">
        <f>IFERROR(__xludf.DUMMYFUNCTION("""COMPUTED_VALUE"""),1.0)</f>
        <v>1</v>
      </c>
      <c r="F293" s="6">
        <f>IFERROR(__xludf.DUMMYFUNCTION("""COMPUTED_VALUE"""),1.0)</f>
        <v>1</v>
      </c>
      <c r="G293" s="6">
        <f>IFERROR(__xludf.DUMMYFUNCTION("""COMPUTED_VALUE"""),2.0)</f>
        <v>2</v>
      </c>
    </row>
    <row r="294">
      <c r="A294" s="6">
        <f>IFERROR(__xludf.DUMMYFUNCTION("""COMPUTED_VALUE"""),2013.0)</f>
        <v>2013</v>
      </c>
      <c r="B294" s="6" t="str">
        <f>IFERROR(__xludf.DUMMYFUNCTION("""COMPUTED_VALUE"""),"5")</f>
        <v>5</v>
      </c>
      <c r="C294" s="6" t="str">
        <f>IFERROR(__xludf.DUMMYFUNCTION("""COMPUTED_VALUE"""),"ESTUPRO DE VULNERÁVEL CONSUMADO")</f>
        <v>ESTUPRO DE VULNERÁVEL CONSUMADO</v>
      </c>
      <c r="D294" s="6">
        <f>IFERROR(__xludf.DUMMYFUNCTION("""COMPUTED_VALUE"""),0.0)</f>
        <v>0</v>
      </c>
      <c r="E294" s="6">
        <f>IFERROR(__xludf.DUMMYFUNCTION("""COMPUTED_VALUE"""),3.0)</f>
        <v>3</v>
      </c>
      <c r="F294" s="6">
        <f>IFERROR(__xludf.DUMMYFUNCTION("""COMPUTED_VALUE"""),12.0)</f>
        <v>12</v>
      </c>
      <c r="G294" s="6">
        <f>IFERROR(__xludf.DUMMYFUNCTION("""COMPUTED_VALUE"""),15.0)</f>
        <v>15</v>
      </c>
    </row>
    <row r="295">
      <c r="A295" s="6">
        <f>IFERROR(__xludf.DUMMYFUNCTION("""COMPUTED_VALUE"""),2013.0)</f>
        <v>2013</v>
      </c>
      <c r="B295" s="6" t="str">
        <f>IFERROR(__xludf.DUMMYFUNCTION("""COMPUTED_VALUE"""),"5")</f>
        <v>5</v>
      </c>
      <c r="C295" s="6" t="str">
        <f>IFERROR(__xludf.DUMMYFUNCTION("""COMPUTED_VALUE"""),"OUTROS C/C/ DIGNIDADE SEXUAL")</f>
        <v>OUTROS C/C/ DIGNIDADE SEXUAL</v>
      </c>
      <c r="D295" s="6">
        <f>IFERROR(__xludf.DUMMYFUNCTION("""COMPUTED_VALUE"""),1.0)</f>
        <v>1</v>
      </c>
      <c r="E295" s="6">
        <f>IFERROR(__xludf.DUMMYFUNCTION("""COMPUTED_VALUE"""),1.0)</f>
        <v>1</v>
      </c>
      <c r="F295" s="6">
        <f>IFERROR(__xludf.DUMMYFUNCTION("""COMPUTED_VALUE"""),2.0)</f>
        <v>2</v>
      </c>
      <c r="G295" s="6">
        <f>IFERROR(__xludf.DUMMYFUNCTION("""COMPUTED_VALUE"""),4.0)</f>
        <v>4</v>
      </c>
    </row>
    <row r="296">
      <c r="A296" s="6">
        <f>IFERROR(__xludf.DUMMYFUNCTION("""COMPUTED_VALUE"""),2013.0)</f>
        <v>2013</v>
      </c>
      <c r="B296" s="6" t="str">
        <f>IFERROR(__xludf.DUMMYFUNCTION("""COMPUTED_VALUE"""),"6")</f>
        <v>6</v>
      </c>
      <c r="C296" s="6" t="str">
        <f>IFERROR(__xludf.DUMMYFUNCTION("""COMPUTED_VALUE"""),"HOMICÍDIO DOLOSO (exclui FEMINICÍDIO)")</f>
        <v>HOMICÍDIO DOLOSO (exclui FEMINICÍDIO)</v>
      </c>
      <c r="D296" s="6">
        <f>IFERROR(__xludf.DUMMYFUNCTION("""COMPUTED_VALUE"""),0.0)</f>
        <v>0</v>
      </c>
      <c r="E296" s="6">
        <f>IFERROR(__xludf.DUMMYFUNCTION("""COMPUTED_VALUE"""),0.0)</f>
        <v>0</v>
      </c>
      <c r="F296" s="6">
        <f>IFERROR(__xludf.DUMMYFUNCTION("""COMPUTED_VALUE"""),3.0)</f>
        <v>3</v>
      </c>
      <c r="G296" s="6">
        <f>IFERROR(__xludf.DUMMYFUNCTION("""COMPUTED_VALUE"""),3.0)</f>
        <v>3</v>
      </c>
    </row>
    <row r="297">
      <c r="A297" s="6">
        <f>IFERROR(__xludf.DUMMYFUNCTION("""COMPUTED_VALUE"""),2013.0)</f>
        <v>2013</v>
      </c>
      <c r="B297" s="6" t="str">
        <f>IFERROR(__xludf.DUMMYFUNCTION("""COMPUTED_VALUE"""),"6")</f>
        <v>6</v>
      </c>
      <c r="C297" s="6" t="str">
        <f>IFERROR(__xludf.DUMMYFUNCTION("""COMPUTED_VALUE"""),"HOMICÍDIO CULPOSO")</f>
        <v>HOMICÍDIO CULPOSO</v>
      </c>
      <c r="D297" s="6">
        <f>IFERROR(__xludf.DUMMYFUNCTION("""COMPUTED_VALUE"""),0.0)</f>
        <v>0</v>
      </c>
      <c r="E297" s="6">
        <f>IFERROR(__xludf.DUMMYFUNCTION("""COMPUTED_VALUE"""),0.0)</f>
        <v>0</v>
      </c>
      <c r="F297" s="6">
        <f>IFERROR(__xludf.DUMMYFUNCTION("""COMPUTED_VALUE"""),0.0)</f>
        <v>0</v>
      </c>
      <c r="G297" s="6">
        <f>IFERROR(__xludf.DUMMYFUNCTION("""COMPUTED_VALUE"""),0.0)</f>
        <v>0</v>
      </c>
    </row>
    <row r="298">
      <c r="A298" s="6">
        <f>IFERROR(__xludf.DUMMYFUNCTION("""COMPUTED_VALUE"""),2013.0)</f>
        <v>2013</v>
      </c>
      <c r="B298" s="6" t="str">
        <f>IFERROR(__xludf.DUMMYFUNCTION("""COMPUTED_VALUE"""),"6")</f>
        <v>6</v>
      </c>
      <c r="C298" s="6" t="str">
        <f>IFERROR(__xludf.DUMMYFUNCTION("""COMPUTED_VALUE"""),"TENTATIVA DE HOMICÍDIO")</f>
        <v>TENTATIVA DE HOMICÍDIO</v>
      </c>
      <c r="D298" s="6">
        <f>IFERROR(__xludf.DUMMYFUNCTION("""COMPUTED_VALUE"""),0.0)</f>
        <v>0</v>
      </c>
      <c r="E298" s="6">
        <f>IFERROR(__xludf.DUMMYFUNCTION("""COMPUTED_VALUE"""),5.0)</f>
        <v>5</v>
      </c>
      <c r="F298" s="6">
        <f>IFERROR(__xludf.DUMMYFUNCTION("""COMPUTED_VALUE"""),11.0)</f>
        <v>11</v>
      </c>
      <c r="G298" s="6">
        <f>IFERROR(__xludf.DUMMYFUNCTION("""COMPUTED_VALUE"""),16.0)</f>
        <v>16</v>
      </c>
    </row>
    <row r="299">
      <c r="A299" s="6">
        <f>IFERROR(__xludf.DUMMYFUNCTION("""COMPUTED_VALUE"""),2013.0)</f>
        <v>2013</v>
      </c>
      <c r="B299" s="6" t="str">
        <f>IFERROR(__xludf.DUMMYFUNCTION("""COMPUTED_VALUE"""),"6")</f>
        <v>6</v>
      </c>
      <c r="C299" s="6" t="str">
        <f>IFERROR(__xludf.DUMMYFUNCTION("""COMPUTED_VALUE"""),"LESÃO CORPORAL DOLOSA")</f>
        <v>LESÃO CORPORAL DOLOSA</v>
      </c>
      <c r="D299" s="6">
        <f>IFERROR(__xludf.DUMMYFUNCTION("""COMPUTED_VALUE"""),790.0)</f>
        <v>790</v>
      </c>
      <c r="E299" s="6">
        <f>IFERROR(__xludf.DUMMYFUNCTION("""COMPUTED_VALUE"""),694.0)</f>
        <v>694</v>
      </c>
      <c r="F299" s="6">
        <f>IFERROR(__xludf.DUMMYFUNCTION("""COMPUTED_VALUE"""),2642.0)</f>
        <v>2642</v>
      </c>
      <c r="G299" s="6">
        <f>IFERROR(__xludf.DUMMYFUNCTION("""COMPUTED_VALUE"""),4126.0)</f>
        <v>4126</v>
      </c>
    </row>
    <row r="300">
      <c r="A300" s="6">
        <f>IFERROR(__xludf.DUMMYFUNCTION("""COMPUTED_VALUE"""),2013.0)</f>
        <v>2013</v>
      </c>
      <c r="B300" s="6" t="str">
        <f>IFERROR(__xludf.DUMMYFUNCTION("""COMPUTED_VALUE"""),"6")</f>
        <v>6</v>
      </c>
      <c r="C300" s="6" t="str">
        <f>IFERROR(__xludf.DUMMYFUNCTION("""COMPUTED_VALUE"""),"MAUS TRATOS")</f>
        <v>MAUS TRATOS</v>
      </c>
      <c r="D300" s="6">
        <f>IFERROR(__xludf.DUMMYFUNCTION("""COMPUTED_VALUE"""),1.0)</f>
        <v>1</v>
      </c>
      <c r="E300" s="6">
        <f>IFERROR(__xludf.DUMMYFUNCTION("""COMPUTED_VALUE"""),5.0)</f>
        <v>5</v>
      </c>
      <c r="F300" s="6">
        <f>IFERROR(__xludf.DUMMYFUNCTION("""COMPUTED_VALUE"""),16.0)</f>
        <v>16</v>
      </c>
      <c r="G300" s="6">
        <f>IFERROR(__xludf.DUMMYFUNCTION("""COMPUTED_VALUE"""),22.0)</f>
        <v>22</v>
      </c>
    </row>
    <row r="301">
      <c r="A301" s="6">
        <f>IFERROR(__xludf.DUMMYFUNCTION("""COMPUTED_VALUE"""),2013.0)</f>
        <v>2013</v>
      </c>
      <c r="B301" s="6" t="str">
        <f>IFERROR(__xludf.DUMMYFUNCTION("""COMPUTED_VALUE"""),"6")</f>
        <v>6</v>
      </c>
      <c r="C301" s="6" t="str">
        <f>IFERROR(__xludf.DUMMYFUNCTION("""COMPUTED_VALUE"""),"CALÚNIA - DIFAMAÇÃO - INJÚRIA")</f>
        <v>CALÚNIA - DIFAMAÇÃO - INJÚRIA</v>
      </c>
      <c r="D301" s="6">
        <f>IFERROR(__xludf.DUMMYFUNCTION("""COMPUTED_VALUE"""),196.0)</f>
        <v>196</v>
      </c>
      <c r="E301" s="6">
        <f>IFERROR(__xludf.DUMMYFUNCTION("""COMPUTED_VALUE"""),192.0)</f>
        <v>192</v>
      </c>
      <c r="F301" s="6">
        <f>IFERROR(__xludf.DUMMYFUNCTION("""COMPUTED_VALUE"""),686.0)</f>
        <v>686</v>
      </c>
      <c r="G301" s="6">
        <f>IFERROR(__xludf.DUMMYFUNCTION("""COMPUTED_VALUE"""),1074.0)</f>
        <v>1074</v>
      </c>
    </row>
    <row r="302">
      <c r="A302" s="6">
        <f>IFERROR(__xludf.DUMMYFUNCTION("""COMPUTED_VALUE"""),2013.0)</f>
        <v>2013</v>
      </c>
      <c r="B302" s="6" t="str">
        <f>IFERROR(__xludf.DUMMYFUNCTION("""COMPUTED_VALUE"""),"6")</f>
        <v>6</v>
      </c>
      <c r="C302" s="6" t="str">
        <f>IFERROR(__xludf.DUMMYFUNCTION("""COMPUTED_VALUE"""),"CONSTRANGIMENTO ILEGAL")</f>
        <v>CONSTRANGIMENTO ILEGAL</v>
      </c>
      <c r="D302" s="6">
        <f>IFERROR(__xludf.DUMMYFUNCTION("""COMPUTED_VALUE"""),2.0)</f>
        <v>2</v>
      </c>
      <c r="E302" s="6">
        <f>IFERROR(__xludf.DUMMYFUNCTION("""COMPUTED_VALUE"""),2.0)</f>
        <v>2</v>
      </c>
      <c r="F302" s="6">
        <f>IFERROR(__xludf.DUMMYFUNCTION("""COMPUTED_VALUE"""),4.0)</f>
        <v>4</v>
      </c>
      <c r="G302" s="6">
        <f>IFERROR(__xludf.DUMMYFUNCTION("""COMPUTED_VALUE"""),8.0)</f>
        <v>8</v>
      </c>
    </row>
    <row r="303">
      <c r="A303" s="6">
        <f>IFERROR(__xludf.DUMMYFUNCTION("""COMPUTED_VALUE"""),2013.0)</f>
        <v>2013</v>
      </c>
      <c r="B303" s="6" t="str">
        <f>IFERROR(__xludf.DUMMYFUNCTION("""COMPUTED_VALUE"""),"6")</f>
        <v>6</v>
      </c>
      <c r="C303" s="6" t="str">
        <f>IFERROR(__xludf.DUMMYFUNCTION("""COMPUTED_VALUE"""),"AMEAÇA")</f>
        <v>AMEAÇA</v>
      </c>
      <c r="D303" s="6">
        <f>IFERROR(__xludf.DUMMYFUNCTION("""COMPUTED_VALUE"""),702.0)</f>
        <v>702</v>
      </c>
      <c r="E303" s="6">
        <f>IFERROR(__xludf.DUMMYFUNCTION("""COMPUTED_VALUE"""),761.0)</f>
        <v>761</v>
      </c>
      <c r="F303" s="6">
        <f>IFERROR(__xludf.DUMMYFUNCTION("""COMPUTED_VALUE"""),2636.0)</f>
        <v>2636</v>
      </c>
      <c r="G303" s="6">
        <f>IFERROR(__xludf.DUMMYFUNCTION("""COMPUTED_VALUE"""),4099.0)</f>
        <v>4099</v>
      </c>
    </row>
    <row r="304">
      <c r="A304" s="6">
        <f>IFERROR(__xludf.DUMMYFUNCTION("""COMPUTED_VALUE"""),2013.0)</f>
        <v>2013</v>
      </c>
      <c r="B304" s="6" t="str">
        <f>IFERROR(__xludf.DUMMYFUNCTION("""COMPUTED_VALUE"""),"6")</f>
        <v>6</v>
      </c>
      <c r="C304" s="6" t="str">
        <f>IFERROR(__xludf.DUMMYFUNCTION("""COMPUTED_VALUE"""),"INVASÃO DE DOMICÍLIO")</f>
        <v>INVASÃO DE DOMICÍLIO</v>
      </c>
      <c r="D304" s="6">
        <f>IFERROR(__xludf.DUMMYFUNCTION("""COMPUTED_VALUE"""),0.0)</f>
        <v>0</v>
      </c>
      <c r="E304" s="6">
        <f>IFERROR(__xludf.DUMMYFUNCTION("""COMPUTED_VALUE"""),2.0)</f>
        <v>2</v>
      </c>
      <c r="F304" s="6">
        <f>IFERROR(__xludf.DUMMYFUNCTION("""COMPUTED_VALUE"""),13.0)</f>
        <v>13</v>
      </c>
      <c r="G304" s="6">
        <f>IFERROR(__xludf.DUMMYFUNCTION("""COMPUTED_VALUE"""),15.0)</f>
        <v>15</v>
      </c>
    </row>
    <row r="305">
      <c r="A305" s="6">
        <f>IFERROR(__xludf.DUMMYFUNCTION("""COMPUTED_VALUE"""),2013.0)</f>
        <v>2013</v>
      </c>
      <c r="B305" s="6" t="str">
        <f>IFERROR(__xludf.DUMMYFUNCTION("""COMPUTED_VALUE"""),"6")</f>
        <v>6</v>
      </c>
      <c r="C305" s="6" t="str">
        <f>IFERROR(__xludf.DUMMYFUNCTION("""COMPUTED_VALUE"""),"DANO")</f>
        <v>DANO</v>
      </c>
      <c r="D305" s="6">
        <f>IFERROR(__xludf.DUMMYFUNCTION("""COMPUTED_VALUE"""),7.0)</f>
        <v>7</v>
      </c>
      <c r="E305" s="6">
        <f>IFERROR(__xludf.DUMMYFUNCTION("""COMPUTED_VALUE"""),10.0)</f>
        <v>10</v>
      </c>
      <c r="F305" s="6">
        <f>IFERROR(__xludf.DUMMYFUNCTION("""COMPUTED_VALUE"""),60.0)</f>
        <v>60</v>
      </c>
      <c r="G305" s="6">
        <f>IFERROR(__xludf.DUMMYFUNCTION("""COMPUTED_VALUE"""),77.0)</f>
        <v>77</v>
      </c>
    </row>
    <row r="306">
      <c r="A306" s="6">
        <f>IFERROR(__xludf.DUMMYFUNCTION("""COMPUTED_VALUE"""),2013.0)</f>
        <v>2013</v>
      </c>
      <c r="B306" s="6" t="str">
        <f>IFERROR(__xludf.DUMMYFUNCTION("""COMPUTED_VALUE"""),"6")</f>
        <v>6</v>
      </c>
      <c r="C306" s="6" t="str">
        <f>IFERROR(__xludf.DUMMYFUNCTION("""COMPUTED_VALUE"""),"ESTUPRO CONSUMADO")</f>
        <v>ESTUPRO CONSUMADO</v>
      </c>
      <c r="D306" s="6">
        <f>IFERROR(__xludf.DUMMYFUNCTION("""COMPUTED_VALUE"""),15.0)</f>
        <v>15</v>
      </c>
      <c r="E306" s="6">
        <f>IFERROR(__xludf.DUMMYFUNCTION("""COMPUTED_VALUE"""),6.0)</f>
        <v>6</v>
      </c>
      <c r="F306" s="6">
        <f>IFERROR(__xludf.DUMMYFUNCTION("""COMPUTED_VALUE"""),16.0)</f>
        <v>16</v>
      </c>
      <c r="G306" s="6">
        <f>IFERROR(__xludf.DUMMYFUNCTION("""COMPUTED_VALUE"""),37.0)</f>
        <v>37</v>
      </c>
    </row>
    <row r="307">
      <c r="A307" s="6">
        <f>IFERROR(__xludf.DUMMYFUNCTION("""COMPUTED_VALUE"""),2013.0)</f>
        <v>2013</v>
      </c>
      <c r="B307" s="6" t="str">
        <f>IFERROR(__xludf.DUMMYFUNCTION("""COMPUTED_VALUE"""),"6")</f>
        <v>6</v>
      </c>
      <c r="C307" s="6" t="str">
        <f>IFERROR(__xludf.DUMMYFUNCTION("""COMPUTED_VALUE"""),"ESTUPRO TENTADO")</f>
        <v>ESTUPRO TENTADO</v>
      </c>
      <c r="D307" s="6">
        <f>IFERROR(__xludf.DUMMYFUNCTION("""COMPUTED_VALUE"""),1.0)</f>
        <v>1</v>
      </c>
      <c r="E307" s="6">
        <f>IFERROR(__xludf.DUMMYFUNCTION("""COMPUTED_VALUE"""),1.0)</f>
        <v>1</v>
      </c>
      <c r="F307" s="6">
        <f>IFERROR(__xludf.DUMMYFUNCTION("""COMPUTED_VALUE"""),0.0)</f>
        <v>0</v>
      </c>
      <c r="G307" s="6">
        <f>IFERROR(__xludf.DUMMYFUNCTION("""COMPUTED_VALUE"""),2.0)</f>
        <v>2</v>
      </c>
    </row>
    <row r="308">
      <c r="A308" s="6">
        <f>IFERROR(__xludf.DUMMYFUNCTION("""COMPUTED_VALUE"""),2013.0)</f>
        <v>2013</v>
      </c>
      <c r="B308" s="6" t="str">
        <f>IFERROR(__xludf.DUMMYFUNCTION("""COMPUTED_VALUE"""),"6")</f>
        <v>6</v>
      </c>
      <c r="C308" s="6" t="str">
        <f>IFERROR(__xludf.DUMMYFUNCTION("""COMPUTED_VALUE"""),"ESTUPRO DE VULNERÁVEL CONSUMADO")</f>
        <v>ESTUPRO DE VULNERÁVEL CONSUMADO</v>
      </c>
      <c r="D308" s="6">
        <f>IFERROR(__xludf.DUMMYFUNCTION("""COMPUTED_VALUE"""),0.0)</f>
        <v>0</v>
      </c>
      <c r="E308" s="6">
        <f>IFERROR(__xludf.DUMMYFUNCTION("""COMPUTED_VALUE"""),3.0)</f>
        <v>3</v>
      </c>
      <c r="F308" s="6">
        <f>IFERROR(__xludf.DUMMYFUNCTION("""COMPUTED_VALUE"""),7.0)</f>
        <v>7</v>
      </c>
      <c r="G308" s="6">
        <f>IFERROR(__xludf.DUMMYFUNCTION("""COMPUTED_VALUE"""),10.0)</f>
        <v>10</v>
      </c>
    </row>
    <row r="309">
      <c r="A309" s="6">
        <f>IFERROR(__xludf.DUMMYFUNCTION("""COMPUTED_VALUE"""),2013.0)</f>
        <v>2013</v>
      </c>
      <c r="B309" s="6" t="str">
        <f>IFERROR(__xludf.DUMMYFUNCTION("""COMPUTED_VALUE"""),"6")</f>
        <v>6</v>
      </c>
      <c r="C309" s="6" t="str">
        <f>IFERROR(__xludf.DUMMYFUNCTION("""COMPUTED_VALUE"""),"OUTROS C/C/ DIGNIDADE SEXUAL")</f>
        <v>OUTROS C/C/ DIGNIDADE SEXUAL</v>
      </c>
      <c r="D309" s="6">
        <f>IFERROR(__xludf.DUMMYFUNCTION("""COMPUTED_VALUE"""),0.0)</f>
        <v>0</v>
      </c>
      <c r="E309" s="6">
        <f>IFERROR(__xludf.DUMMYFUNCTION("""COMPUTED_VALUE"""),0.0)</f>
        <v>0</v>
      </c>
      <c r="F309" s="6">
        <f>IFERROR(__xludf.DUMMYFUNCTION("""COMPUTED_VALUE"""),2.0)</f>
        <v>2</v>
      </c>
      <c r="G309" s="6">
        <f>IFERROR(__xludf.DUMMYFUNCTION("""COMPUTED_VALUE"""),2.0)</f>
        <v>2</v>
      </c>
    </row>
    <row r="310">
      <c r="A310" s="6">
        <f>IFERROR(__xludf.DUMMYFUNCTION("""COMPUTED_VALUE"""),2013.0)</f>
        <v>2013</v>
      </c>
      <c r="B310" s="6" t="str">
        <f>IFERROR(__xludf.DUMMYFUNCTION("""COMPUTED_VALUE"""),"7")</f>
        <v>7</v>
      </c>
      <c r="C310" s="6" t="str">
        <f>IFERROR(__xludf.DUMMYFUNCTION("""COMPUTED_VALUE"""),"HOMICÍDIO DOLOSO (exclui FEMINICÍDIO)")</f>
        <v>HOMICÍDIO DOLOSO (exclui FEMINICÍDIO)</v>
      </c>
      <c r="D310" s="6">
        <f>IFERROR(__xludf.DUMMYFUNCTION("""COMPUTED_VALUE"""),0.0)</f>
        <v>0</v>
      </c>
      <c r="E310" s="6">
        <f>IFERROR(__xludf.DUMMYFUNCTION("""COMPUTED_VALUE"""),0.0)</f>
        <v>0</v>
      </c>
      <c r="F310" s="6">
        <f>IFERROR(__xludf.DUMMYFUNCTION("""COMPUTED_VALUE"""),5.0)</f>
        <v>5</v>
      </c>
      <c r="G310" s="6">
        <f>IFERROR(__xludf.DUMMYFUNCTION("""COMPUTED_VALUE"""),5.0)</f>
        <v>5</v>
      </c>
    </row>
    <row r="311">
      <c r="A311" s="6">
        <f>IFERROR(__xludf.DUMMYFUNCTION("""COMPUTED_VALUE"""),2013.0)</f>
        <v>2013</v>
      </c>
      <c r="B311" s="6" t="str">
        <f>IFERROR(__xludf.DUMMYFUNCTION("""COMPUTED_VALUE"""),"7")</f>
        <v>7</v>
      </c>
      <c r="C311" s="6" t="str">
        <f>IFERROR(__xludf.DUMMYFUNCTION("""COMPUTED_VALUE"""),"HOMICÍDIO CULPOSO")</f>
        <v>HOMICÍDIO CULPOSO</v>
      </c>
      <c r="D311" s="6">
        <f>IFERROR(__xludf.DUMMYFUNCTION("""COMPUTED_VALUE"""),0.0)</f>
        <v>0</v>
      </c>
      <c r="E311" s="6">
        <f>IFERROR(__xludf.DUMMYFUNCTION("""COMPUTED_VALUE"""),0.0)</f>
        <v>0</v>
      </c>
      <c r="F311" s="6">
        <f>IFERROR(__xludf.DUMMYFUNCTION("""COMPUTED_VALUE"""),0.0)</f>
        <v>0</v>
      </c>
      <c r="G311" s="6">
        <f>IFERROR(__xludf.DUMMYFUNCTION("""COMPUTED_VALUE"""),0.0)</f>
        <v>0</v>
      </c>
    </row>
    <row r="312">
      <c r="A312" s="6">
        <f>IFERROR(__xludf.DUMMYFUNCTION("""COMPUTED_VALUE"""),2013.0)</f>
        <v>2013</v>
      </c>
      <c r="B312" s="6" t="str">
        <f>IFERROR(__xludf.DUMMYFUNCTION("""COMPUTED_VALUE"""),"7")</f>
        <v>7</v>
      </c>
      <c r="C312" s="6" t="str">
        <f>IFERROR(__xludf.DUMMYFUNCTION("""COMPUTED_VALUE"""),"TENTATIVA DE HOMICÍDIO")</f>
        <v>TENTATIVA DE HOMICÍDIO</v>
      </c>
      <c r="D312" s="6">
        <f>IFERROR(__xludf.DUMMYFUNCTION("""COMPUTED_VALUE"""),0.0)</f>
        <v>0</v>
      </c>
      <c r="E312" s="6">
        <f>IFERROR(__xludf.DUMMYFUNCTION("""COMPUTED_VALUE"""),4.0)</f>
        <v>4</v>
      </c>
      <c r="F312" s="6">
        <f>IFERROR(__xludf.DUMMYFUNCTION("""COMPUTED_VALUE"""),14.0)</f>
        <v>14</v>
      </c>
      <c r="G312" s="6">
        <f>IFERROR(__xludf.DUMMYFUNCTION("""COMPUTED_VALUE"""),18.0)</f>
        <v>18</v>
      </c>
    </row>
    <row r="313">
      <c r="A313" s="6">
        <f>IFERROR(__xludf.DUMMYFUNCTION("""COMPUTED_VALUE"""),2013.0)</f>
        <v>2013</v>
      </c>
      <c r="B313" s="6" t="str">
        <f>IFERROR(__xludf.DUMMYFUNCTION("""COMPUTED_VALUE"""),"7")</f>
        <v>7</v>
      </c>
      <c r="C313" s="6" t="str">
        <f>IFERROR(__xludf.DUMMYFUNCTION("""COMPUTED_VALUE"""),"LESÃO CORPORAL DOLOSA")</f>
        <v>LESÃO CORPORAL DOLOSA</v>
      </c>
      <c r="D313" s="6">
        <f>IFERROR(__xludf.DUMMYFUNCTION("""COMPUTED_VALUE"""),711.0)</f>
        <v>711</v>
      </c>
      <c r="E313" s="6">
        <f>IFERROR(__xludf.DUMMYFUNCTION("""COMPUTED_VALUE"""),643.0)</f>
        <v>643</v>
      </c>
      <c r="F313" s="6">
        <f>IFERROR(__xludf.DUMMYFUNCTION("""COMPUTED_VALUE"""),2519.0)</f>
        <v>2519</v>
      </c>
      <c r="G313" s="6">
        <f>IFERROR(__xludf.DUMMYFUNCTION("""COMPUTED_VALUE"""),3873.0)</f>
        <v>3873</v>
      </c>
    </row>
    <row r="314">
      <c r="A314" s="6">
        <f>IFERROR(__xludf.DUMMYFUNCTION("""COMPUTED_VALUE"""),2013.0)</f>
        <v>2013</v>
      </c>
      <c r="B314" s="6" t="str">
        <f>IFERROR(__xludf.DUMMYFUNCTION("""COMPUTED_VALUE"""),"7")</f>
        <v>7</v>
      </c>
      <c r="C314" s="6" t="str">
        <f>IFERROR(__xludf.DUMMYFUNCTION("""COMPUTED_VALUE"""),"MAUS TRATOS")</f>
        <v>MAUS TRATOS</v>
      </c>
      <c r="D314" s="6">
        <f>IFERROR(__xludf.DUMMYFUNCTION("""COMPUTED_VALUE"""),0.0)</f>
        <v>0</v>
      </c>
      <c r="E314" s="6">
        <f>IFERROR(__xludf.DUMMYFUNCTION("""COMPUTED_VALUE"""),2.0)</f>
        <v>2</v>
      </c>
      <c r="F314" s="6">
        <f>IFERROR(__xludf.DUMMYFUNCTION("""COMPUTED_VALUE"""),14.0)</f>
        <v>14</v>
      </c>
      <c r="G314" s="6">
        <f>IFERROR(__xludf.DUMMYFUNCTION("""COMPUTED_VALUE"""),16.0)</f>
        <v>16</v>
      </c>
    </row>
    <row r="315">
      <c r="A315" s="6">
        <f>IFERROR(__xludf.DUMMYFUNCTION("""COMPUTED_VALUE"""),2013.0)</f>
        <v>2013</v>
      </c>
      <c r="B315" s="6" t="str">
        <f>IFERROR(__xludf.DUMMYFUNCTION("""COMPUTED_VALUE"""),"7")</f>
        <v>7</v>
      </c>
      <c r="C315" s="6" t="str">
        <f>IFERROR(__xludf.DUMMYFUNCTION("""COMPUTED_VALUE"""),"CALÚNIA - DIFAMAÇÃO - INJÚRIA")</f>
        <v>CALÚNIA - DIFAMAÇÃO - INJÚRIA</v>
      </c>
      <c r="D315" s="6">
        <f>IFERROR(__xludf.DUMMYFUNCTION("""COMPUTED_VALUE"""),185.0)</f>
        <v>185</v>
      </c>
      <c r="E315" s="6">
        <f>IFERROR(__xludf.DUMMYFUNCTION("""COMPUTED_VALUE"""),183.0)</f>
        <v>183</v>
      </c>
      <c r="F315" s="6">
        <f>IFERROR(__xludf.DUMMYFUNCTION("""COMPUTED_VALUE"""),632.0)</f>
        <v>632</v>
      </c>
      <c r="G315" s="6">
        <f>IFERROR(__xludf.DUMMYFUNCTION("""COMPUTED_VALUE"""),1000.0)</f>
        <v>1000</v>
      </c>
    </row>
    <row r="316">
      <c r="A316" s="6">
        <f>IFERROR(__xludf.DUMMYFUNCTION("""COMPUTED_VALUE"""),2013.0)</f>
        <v>2013</v>
      </c>
      <c r="B316" s="6" t="str">
        <f>IFERROR(__xludf.DUMMYFUNCTION("""COMPUTED_VALUE"""),"7")</f>
        <v>7</v>
      </c>
      <c r="C316" s="6" t="str">
        <f>IFERROR(__xludf.DUMMYFUNCTION("""COMPUTED_VALUE"""),"CONSTRANGIMENTO ILEGAL")</f>
        <v>CONSTRANGIMENTO ILEGAL</v>
      </c>
      <c r="D316" s="6">
        <f>IFERROR(__xludf.DUMMYFUNCTION("""COMPUTED_VALUE"""),0.0)</f>
        <v>0</v>
      </c>
      <c r="E316" s="6">
        <f>IFERROR(__xludf.DUMMYFUNCTION("""COMPUTED_VALUE"""),2.0)</f>
        <v>2</v>
      </c>
      <c r="F316" s="6">
        <f>IFERROR(__xludf.DUMMYFUNCTION("""COMPUTED_VALUE"""),6.0)</f>
        <v>6</v>
      </c>
      <c r="G316" s="6">
        <f>IFERROR(__xludf.DUMMYFUNCTION("""COMPUTED_VALUE"""),8.0)</f>
        <v>8</v>
      </c>
    </row>
    <row r="317">
      <c r="A317" s="6">
        <f>IFERROR(__xludf.DUMMYFUNCTION("""COMPUTED_VALUE"""),2013.0)</f>
        <v>2013</v>
      </c>
      <c r="B317" s="6" t="str">
        <f>IFERROR(__xludf.DUMMYFUNCTION("""COMPUTED_VALUE"""),"7")</f>
        <v>7</v>
      </c>
      <c r="C317" s="6" t="str">
        <f>IFERROR(__xludf.DUMMYFUNCTION("""COMPUTED_VALUE"""),"AMEAÇA")</f>
        <v>AMEAÇA</v>
      </c>
      <c r="D317" s="6">
        <f>IFERROR(__xludf.DUMMYFUNCTION("""COMPUTED_VALUE"""),693.0)</f>
        <v>693</v>
      </c>
      <c r="E317" s="6">
        <f>IFERROR(__xludf.DUMMYFUNCTION("""COMPUTED_VALUE"""),714.0)</f>
        <v>714</v>
      </c>
      <c r="F317" s="6">
        <f>IFERROR(__xludf.DUMMYFUNCTION("""COMPUTED_VALUE"""),2503.0)</f>
        <v>2503</v>
      </c>
      <c r="G317" s="6">
        <f>IFERROR(__xludf.DUMMYFUNCTION("""COMPUTED_VALUE"""),3910.0)</f>
        <v>3910</v>
      </c>
    </row>
    <row r="318">
      <c r="A318" s="6">
        <f>IFERROR(__xludf.DUMMYFUNCTION("""COMPUTED_VALUE"""),2013.0)</f>
        <v>2013</v>
      </c>
      <c r="B318" s="6" t="str">
        <f>IFERROR(__xludf.DUMMYFUNCTION("""COMPUTED_VALUE"""),"7")</f>
        <v>7</v>
      </c>
      <c r="C318" s="6" t="str">
        <f>IFERROR(__xludf.DUMMYFUNCTION("""COMPUTED_VALUE"""),"INVASÃO DE DOMICÍLIO")</f>
        <v>INVASÃO DE DOMICÍLIO</v>
      </c>
      <c r="D318" s="6">
        <f>IFERROR(__xludf.DUMMYFUNCTION("""COMPUTED_VALUE"""),0.0)</f>
        <v>0</v>
      </c>
      <c r="E318" s="6">
        <f>IFERROR(__xludf.DUMMYFUNCTION("""COMPUTED_VALUE"""),2.0)</f>
        <v>2</v>
      </c>
      <c r="F318" s="6">
        <f>IFERROR(__xludf.DUMMYFUNCTION("""COMPUTED_VALUE"""),11.0)</f>
        <v>11</v>
      </c>
      <c r="G318" s="6">
        <f>IFERROR(__xludf.DUMMYFUNCTION("""COMPUTED_VALUE"""),13.0)</f>
        <v>13</v>
      </c>
    </row>
    <row r="319">
      <c r="A319" s="6">
        <f>IFERROR(__xludf.DUMMYFUNCTION("""COMPUTED_VALUE"""),2013.0)</f>
        <v>2013</v>
      </c>
      <c r="B319" s="6" t="str">
        <f>IFERROR(__xludf.DUMMYFUNCTION("""COMPUTED_VALUE"""),"7")</f>
        <v>7</v>
      </c>
      <c r="C319" s="6" t="str">
        <f>IFERROR(__xludf.DUMMYFUNCTION("""COMPUTED_VALUE"""),"DANO")</f>
        <v>DANO</v>
      </c>
      <c r="D319" s="6">
        <f>IFERROR(__xludf.DUMMYFUNCTION("""COMPUTED_VALUE"""),6.0)</f>
        <v>6</v>
      </c>
      <c r="E319" s="6">
        <f>IFERROR(__xludf.DUMMYFUNCTION("""COMPUTED_VALUE"""),9.0)</f>
        <v>9</v>
      </c>
      <c r="F319" s="6">
        <f>IFERROR(__xludf.DUMMYFUNCTION("""COMPUTED_VALUE"""),51.0)</f>
        <v>51</v>
      </c>
      <c r="G319" s="6">
        <f>IFERROR(__xludf.DUMMYFUNCTION("""COMPUTED_VALUE"""),66.0)</f>
        <v>66</v>
      </c>
    </row>
    <row r="320">
      <c r="A320" s="6">
        <f>IFERROR(__xludf.DUMMYFUNCTION("""COMPUTED_VALUE"""),2013.0)</f>
        <v>2013</v>
      </c>
      <c r="B320" s="6" t="str">
        <f>IFERROR(__xludf.DUMMYFUNCTION("""COMPUTED_VALUE"""),"7")</f>
        <v>7</v>
      </c>
      <c r="C320" s="6" t="str">
        <f>IFERROR(__xludf.DUMMYFUNCTION("""COMPUTED_VALUE"""),"ESTUPRO CONSUMADO")</f>
        <v>ESTUPRO CONSUMADO</v>
      </c>
      <c r="D320" s="6">
        <f>IFERROR(__xludf.DUMMYFUNCTION("""COMPUTED_VALUE"""),9.0)</f>
        <v>9</v>
      </c>
      <c r="E320" s="6">
        <f>IFERROR(__xludf.DUMMYFUNCTION("""COMPUTED_VALUE"""),3.0)</f>
        <v>3</v>
      </c>
      <c r="F320" s="6">
        <f>IFERROR(__xludf.DUMMYFUNCTION("""COMPUTED_VALUE"""),17.0)</f>
        <v>17</v>
      </c>
      <c r="G320" s="6">
        <f>IFERROR(__xludf.DUMMYFUNCTION("""COMPUTED_VALUE"""),29.0)</f>
        <v>29</v>
      </c>
    </row>
    <row r="321">
      <c r="A321" s="6">
        <f>IFERROR(__xludf.DUMMYFUNCTION("""COMPUTED_VALUE"""),2013.0)</f>
        <v>2013</v>
      </c>
      <c r="B321" s="6" t="str">
        <f>IFERROR(__xludf.DUMMYFUNCTION("""COMPUTED_VALUE"""),"7")</f>
        <v>7</v>
      </c>
      <c r="C321" s="6" t="str">
        <f>IFERROR(__xludf.DUMMYFUNCTION("""COMPUTED_VALUE"""),"ESTUPRO TENTADO")</f>
        <v>ESTUPRO TENTADO</v>
      </c>
      <c r="D321" s="6">
        <f>IFERROR(__xludf.DUMMYFUNCTION("""COMPUTED_VALUE"""),0.0)</f>
        <v>0</v>
      </c>
      <c r="E321" s="6">
        <f>IFERROR(__xludf.DUMMYFUNCTION("""COMPUTED_VALUE"""),0.0)</f>
        <v>0</v>
      </c>
      <c r="F321" s="6">
        <f>IFERROR(__xludf.DUMMYFUNCTION("""COMPUTED_VALUE"""),0.0)</f>
        <v>0</v>
      </c>
      <c r="G321" s="6">
        <f>IFERROR(__xludf.DUMMYFUNCTION("""COMPUTED_VALUE"""),0.0)</f>
        <v>0</v>
      </c>
    </row>
    <row r="322">
      <c r="A322" s="6">
        <f>IFERROR(__xludf.DUMMYFUNCTION("""COMPUTED_VALUE"""),2013.0)</f>
        <v>2013</v>
      </c>
      <c r="B322" s="6" t="str">
        <f>IFERROR(__xludf.DUMMYFUNCTION("""COMPUTED_VALUE"""),"7")</f>
        <v>7</v>
      </c>
      <c r="C322" s="6" t="str">
        <f>IFERROR(__xludf.DUMMYFUNCTION("""COMPUTED_VALUE"""),"ESTUPRO DE VULNERÁVEL CONSUMADO")</f>
        <v>ESTUPRO DE VULNERÁVEL CONSUMADO</v>
      </c>
      <c r="D322" s="6">
        <f>IFERROR(__xludf.DUMMYFUNCTION("""COMPUTED_VALUE"""),2.0)</f>
        <v>2</v>
      </c>
      <c r="E322" s="6">
        <f>IFERROR(__xludf.DUMMYFUNCTION("""COMPUTED_VALUE"""),5.0)</f>
        <v>5</v>
      </c>
      <c r="F322" s="6">
        <f>IFERROR(__xludf.DUMMYFUNCTION("""COMPUTED_VALUE"""),8.0)</f>
        <v>8</v>
      </c>
      <c r="G322" s="6">
        <f>IFERROR(__xludf.DUMMYFUNCTION("""COMPUTED_VALUE"""),15.0)</f>
        <v>15</v>
      </c>
    </row>
    <row r="323">
      <c r="A323" s="6">
        <f>IFERROR(__xludf.DUMMYFUNCTION("""COMPUTED_VALUE"""),2013.0)</f>
        <v>2013</v>
      </c>
      <c r="B323" s="6" t="str">
        <f>IFERROR(__xludf.DUMMYFUNCTION("""COMPUTED_VALUE"""),"7")</f>
        <v>7</v>
      </c>
      <c r="C323" s="6" t="str">
        <f>IFERROR(__xludf.DUMMYFUNCTION("""COMPUTED_VALUE"""),"OUTROS C/C/ DIGNIDADE SEXUAL")</f>
        <v>OUTROS C/C/ DIGNIDADE SEXUAL</v>
      </c>
      <c r="D323" s="6">
        <f>IFERROR(__xludf.DUMMYFUNCTION("""COMPUTED_VALUE"""),1.0)</f>
        <v>1</v>
      </c>
      <c r="E323" s="6">
        <f>IFERROR(__xludf.DUMMYFUNCTION("""COMPUTED_VALUE"""),0.0)</f>
        <v>0</v>
      </c>
      <c r="F323" s="6">
        <f>IFERROR(__xludf.DUMMYFUNCTION("""COMPUTED_VALUE"""),0.0)</f>
        <v>0</v>
      </c>
      <c r="G323" s="6">
        <f>IFERROR(__xludf.DUMMYFUNCTION("""COMPUTED_VALUE"""),1.0)</f>
        <v>1</v>
      </c>
    </row>
    <row r="324">
      <c r="A324" s="6">
        <f>IFERROR(__xludf.DUMMYFUNCTION("""COMPUTED_VALUE"""),2013.0)</f>
        <v>2013</v>
      </c>
      <c r="B324" s="6" t="str">
        <f>IFERROR(__xludf.DUMMYFUNCTION("""COMPUTED_VALUE"""),"8")</f>
        <v>8</v>
      </c>
      <c r="C324" s="6" t="str">
        <f>IFERROR(__xludf.DUMMYFUNCTION("""COMPUTED_VALUE"""),"HOMICÍDIO DOLOSO (exclui FEMINICÍDIO)")</f>
        <v>HOMICÍDIO DOLOSO (exclui FEMINICÍDIO)</v>
      </c>
      <c r="D324" s="6">
        <f>IFERROR(__xludf.DUMMYFUNCTION("""COMPUTED_VALUE"""),1.0)</f>
        <v>1</v>
      </c>
      <c r="E324" s="6">
        <f>IFERROR(__xludf.DUMMYFUNCTION("""COMPUTED_VALUE"""),0.0)</f>
        <v>0</v>
      </c>
      <c r="F324" s="6">
        <f>IFERROR(__xludf.DUMMYFUNCTION("""COMPUTED_VALUE"""),2.0)</f>
        <v>2</v>
      </c>
      <c r="G324" s="6">
        <f>IFERROR(__xludf.DUMMYFUNCTION("""COMPUTED_VALUE"""),3.0)</f>
        <v>3</v>
      </c>
    </row>
    <row r="325">
      <c r="A325" s="6">
        <f>IFERROR(__xludf.DUMMYFUNCTION("""COMPUTED_VALUE"""),2013.0)</f>
        <v>2013</v>
      </c>
      <c r="B325" s="6" t="str">
        <f>IFERROR(__xludf.DUMMYFUNCTION("""COMPUTED_VALUE"""),"8")</f>
        <v>8</v>
      </c>
      <c r="C325" s="6" t="str">
        <f>IFERROR(__xludf.DUMMYFUNCTION("""COMPUTED_VALUE"""),"HOMICÍDIO CULPOSO")</f>
        <v>HOMICÍDIO CULPOSO</v>
      </c>
      <c r="D325" s="6">
        <f>IFERROR(__xludf.DUMMYFUNCTION("""COMPUTED_VALUE"""),0.0)</f>
        <v>0</v>
      </c>
      <c r="E325" s="6">
        <f>IFERROR(__xludf.DUMMYFUNCTION("""COMPUTED_VALUE"""),0.0)</f>
        <v>0</v>
      </c>
      <c r="F325" s="6">
        <f>IFERROR(__xludf.DUMMYFUNCTION("""COMPUTED_VALUE"""),0.0)</f>
        <v>0</v>
      </c>
      <c r="G325" s="6">
        <f>IFERROR(__xludf.DUMMYFUNCTION("""COMPUTED_VALUE"""),0.0)</f>
        <v>0</v>
      </c>
    </row>
    <row r="326">
      <c r="A326" s="6">
        <f>IFERROR(__xludf.DUMMYFUNCTION("""COMPUTED_VALUE"""),2013.0)</f>
        <v>2013</v>
      </c>
      <c r="B326" s="6" t="str">
        <f>IFERROR(__xludf.DUMMYFUNCTION("""COMPUTED_VALUE"""),"8")</f>
        <v>8</v>
      </c>
      <c r="C326" s="6" t="str">
        <f>IFERROR(__xludf.DUMMYFUNCTION("""COMPUTED_VALUE"""),"TENTATIVA DE HOMICÍDIO")</f>
        <v>TENTATIVA DE HOMICÍDIO</v>
      </c>
      <c r="D326" s="6">
        <f>IFERROR(__xludf.DUMMYFUNCTION("""COMPUTED_VALUE"""),0.0)</f>
        <v>0</v>
      </c>
      <c r="E326" s="6">
        <f>IFERROR(__xludf.DUMMYFUNCTION("""COMPUTED_VALUE"""),3.0)</f>
        <v>3</v>
      </c>
      <c r="F326" s="6">
        <f>IFERROR(__xludf.DUMMYFUNCTION("""COMPUTED_VALUE"""),14.0)</f>
        <v>14</v>
      </c>
      <c r="G326" s="6">
        <f>IFERROR(__xludf.DUMMYFUNCTION("""COMPUTED_VALUE"""),17.0)</f>
        <v>17</v>
      </c>
    </row>
    <row r="327">
      <c r="A327" s="6">
        <f>IFERROR(__xludf.DUMMYFUNCTION("""COMPUTED_VALUE"""),2013.0)</f>
        <v>2013</v>
      </c>
      <c r="B327" s="6" t="str">
        <f>IFERROR(__xludf.DUMMYFUNCTION("""COMPUTED_VALUE"""),"8")</f>
        <v>8</v>
      </c>
      <c r="C327" s="6" t="str">
        <f>IFERROR(__xludf.DUMMYFUNCTION("""COMPUTED_VALUE"""),"LESÃO CORPORAL DOLOSA")</f>
        <v>LESÃO CORPORAL DOLOSA</v>
      </c>
      <c r="D327" s="6">
        <f>IFERROR(__xludf.DUMMYFUNCTION("""COMPUTED_VALUE"""),802.0)</f>
        <v>802</v>
      </c>
      <c r="E327" s="6">
        <f>IFERROR(__xludf.DUMMYFUNCTION("""COMPUTED_VALUE"""),702.0)</f>
        <v>702</v>
      </c>
      <c r="F327" s="6">
        <f>IFERROR(__xludf.DUMMYFUNCTION("""COMPUTED_VALUE"""),2714.0)</f>
        <v>2714</v>
      </c>
      <c r="G327" s="6">
        <f>IFERROR(__xludf.DUMMYFUNCTION("""COMPUTED_VALUE"""),4218.0)</f>
        <v>4218</v>
      </c>
    </row>
    <row r="328">
      <c r="A328" s="6">
        <f>IFERROR(__xludf.DUMMYFUNCTION("""COMPUTED_VALUE"""),2013.0)</f>
        <v>2013</v>
      </c>
      <c r="B328" s="6" t="str">
        <f>IFERROR(__xludf.DUMMYFUNCTION("""COMPUTED_VALUE"""),"8")</f>
        <v>8</v>
      </c>
      <c r="C328" s="6" t="str">
        <f>IFERROR(__xludf.DUMMYFUNCTION("""COMPUTED_VALUE"""),"MAUS TRATOS")</f>
        <v>MAUS TRATOS</v>
      </c>
      <c r="D328" s="6">
        <f>IFERROR(__xludf.DUMMYFUNCTION("""COMPUTED_VALUE"""),0.0)</f>
        <v>0</v>
      </c>
      <c r="E328" s="6">
        <f>IFERROR(__xludf.DUMMYFUNCTION("""COMPUTED_VALUE"""),6.0)</f>
        <v>6</v>
      </c>
      <c r="F328" s="6">
        <f>IFERROR(__xludf.DUMMYFUNCTION("""COMPUTED_VALUE"""),21.0)</f>
        <v>21</v>
      </c>
      <c r="G328" s="6">
        <f>IFERROR(__xludf.DUMMYFUNCTION("""COMPUTED_VALUE"""),27.0)</f>
        <v>27</v>
      </c>
    </row>
    <row r="329">
      <c r="A329" s="6">
        <f>IFERROR(__xludf.DUMMYFUNCTION("""COMPUTED_VALUE"""),2013.0)</f>
        <v>2013</v>
      </c>
      <c r="B329" s="6" t="str">
        <f>IFERROR(__xludf.DUMMYFUNCTION("""COMPUTED_VALUE"""),"8")</f>
        <v>8</v>
      </c>
      <c r="C329" s="6" t="str">
        <f>IFERROR(__xludf.DUMMYFUNCTION("""COMPUTED_VALUE"""),"CALÚNIA - DIFAMAÇÃO - INJÚRIA")</f>
        <v>CALÚNIA - DIFAMAÇÃO - INJÚRIA</v>
      </c>
      <c r="D329" s="6">
        <f>IFERROR(__xludf.DUMMYFUNCTION("""COMPUTED_VALUE"""),189.0)</f>
        <v>189</v>
      </c>
      <c r="E329" s="6">
        <f>IFERROR(__xludf.DUMMYFUNCTION("""COMPUTED_VALUE"""),201.0)</f>
        <v>201</v>
      </c>
      <c r="F329" s="6">
        <f>IFERROR(__xludf.DUMMYFUNCTION("""COMPUTED_VALUE"""),741.0)</f>
        <v>741</v>
      </c>
      <c r="G329" s="6">
        <f>IFERROR(__xludf.DUMMYFUNCTION("""COMPUTED_VALUE"""),1131.0)</f>
        <v>1131</v>
      </c>
    </row>
    <row r="330">
      <c r="A330" s="6">
        <f>IFERROR(__xludf.DUMMYFUNCTION("""COMPUTED_VALUE"""),2013.0)</f>
        <v>2013</v>
      </c>
      <c r="B330" s="6" t="str">
        <f>IFERROR(__xludf.DUMMYFUNCTION("""COMPUTED_VALUE"""),"8")</f>
        <v>8</v>
      </c>
      <c r="C330" s="6" t="str">
        <f>IFERROR(__xludf.DUMMYFUNCTION("""COMPUTED_VALUE"""),"CONSTRANGIMENTO ILEGAL")</f>
        <v>CONSTRANGIMENTO ILEGAL</v>
      </c>
      <c r="D330" s="6">
        <f>IFERROR(__xludf.DUMMYFUNCTION("""COMPUTED_VALUE"""),0.0)</f>
        <v>0</v>
      </c>
      <c r="E330" s="6">
        <f>IFERROR(__xludf.DUMMYFUNCTION("""COMPUTED_VALUE"""),1.0)</f>
        <v>1</v>
      </c>
      <c r="F330" s="6">
        <f>IFERROR(__xludf.DUMMYFUNCTION("""COMPUTED_VALUE"""),7.0)</f>
        <v>7</v>
      </c>
      <c r="G330" s="6">
        <f>IFERROR(__xludf.DUMMYFUNCTION("""COMPUTED_VALUE"""),8.0)</f>
        <v>8</v>
      </c>
    </row>
    <row r="331">
      <c r="A331" s="6">
        <f>IFERROR(__xludf.DUMMYFUNCTION("""COMPUTED_VALUE"""),2013.0)</f>
        <v>2013</v>
      </c>
      <c r="B331" s="6" t="str">
        <f>IFERROR(__xludf.DUMMYFUNCTION("""COMPUTED_VALUE"""),"8")</f>
        <v>8</v>
      </c>
      <c r="C331" s="6" t="str">
        <f>IFERROR(__xludf.DUMMYFUNCTION("""COMPUTED_VALUE"""),"AMEAÇA")</f>
        <v>AMEAÇA</v>
      </c>
      <c r="D331" s="6">
        <f>IFERROR(__xludf.DUMMYFUNCTION("""COMPUTED_VALUE"""),744.0)</f>
        <v>744</v>
      </c>
      <c r="E331" s="6">
        <f>IFERROR(__xludf.DUMMYFUNCTION("""COMPUTED_VALUE"""),780.0)</f>
        <v>780</v>
      </c>
      <c r="F331" s="6">
        <f>IFERROR(__xludf.DUMMYFUNCTION("""COMPUTED_VALUE"""),2702.0)</f>
        <v>2702</v>
      </c>
      <c r="G331" s="6">
        <f>IFERROR(__xludf.DUMMYFUNCTION("""COMPUTED_VALUE"""),4226.0)</f>
        <v>4226</v>
      </c>
    </row>
    <row r="332">
      <c r="A332" s="6">
        <f>IFERROR(__xludf.DUMMYFUNCTION("""COMPUTED_VALUE"""),2013.0)</f>
        <v>2013</v>
      </c>
      <c r="B332" s="6" t="str">
        <f>IFERROR(__xludf.DUMMYFUNCTION("""COMPUTED_VALUE"""),"8")</f>
        <v>8</v>
      </c>
      <c r="C332" s="6" t="str">
        <f>IFERROR(__xludf.DUMMYFUNCTION("""COMPUTED_VALUE"""),"INVASÃO DE DOMICÍLIO")</f>
        <v>INVASÃO DE DOMICÍLIO</v>
      </c>
      <c r="D332" s="6">
        <f>IFERROR(__xludf.DUMMYFUNCTION("""COMPUTED_VALUE"""),1.0)</f>
        <v>1</v>
      </c>
      <c r="E332" s="6">
        <f>IFERROR(__xludf.DUMMYFUNCTION("""COMPUTED_VALUE"""),3.0)</f>
        <v>3</v>
      </c>
      <c r="F332" s="6">
        <f>IFERROR(__xludf.DUMMYFUNCTION("""COMPUTED_VALUE"""),12.0)</f>
        <v>12</v>
      </c>
      <c r="G332" s="6">
        <f>IFERROR(__xludf.DUMMYFUNCTION("""COMPUTED_VALUE"""),16.0)</f>
        <v>16</v>
      </c>
    </row>
    <row r="333">
      <c r="A333" s="6">
        <f>IFERROR(__xludf.DUMMYFUNCTION("""COMPUTED_VALUE"""),2013.0)</f>
        <v>2013</v>
      </c>
      <c r="B333" s="6" t="str">
        <f>IFERROR(__xludf.DUMMYFUNCTION("""COMPUTED_VALUE"""),"8")</f>
        <v>8</v>
      </c>
      <c r="C333" s="6" t="str">
        <f>IFERROR(__xludf.DUMMYFUNCTION("""COMPUTED_VALUE"""),"DANO")</f>
        <v>DANO</v>
      </c>
      <c r="D333" s="6">
        <f>IFERROR(__xludf.DUMMYFUNCTION("""COMPUTED_VALUE"""),10.0)</f>
        <v>10</v>
      </c>
      <c r="E333" s="6">
        <f>IFERROR(__xludf.DUMMYFUNCTION("""COMPUTED_VALUE"""),11.0)</f>
        <v>11</v>
      </c>
      <c r="F333" s="6">
        <f>IFERROR(__xludf.DUMMYFUNCTION("""COMPUTED_VALUE"""),55.0)</f>
        <v>55</v>
      </c>
      <c r="G333" s="6">
        <f>IFERROR(__xludf.DUMMYFUNCTION("""COMPUTED_VALUE"""),76.0)</f>
        <v>76</v>
      </c>
    </row>
    <row r="334">
      <c r="A334" s="6">
        <f>IFERROR(__xludf.DUMMYFUNCTION("""COMPUTED_VALUE"""),2013.0)</f>
        <v>2013</v>
      </c>
      <c r="B334" s="6" t="str">
        <f>IFERROR(__xludf.DUMMYFUNCTION("""COMPUTED_VALUE"""),"8")</f>
        <v>8</v>
      </c>
      <c r="C334" s="6" t="str">
        <f>IFERROR(__xludf.DUMMYFUNCTION("""COMPUTED_VALUE"""),"ESTUPRO CONSUMADO")</f>
        <v>ESTUPRO CONSUMADO</v>
      </c>
      <c r="D334" s="6">
        <f>IFERROR(__xludf.DUMMYFUNCTION("""COMPUTED_VALUE"""),8.0)</f>
        <v>8</v>
      </c>
      <c r="E334" s="6">
        <f>IFERROR(__xludf.DUMMYFUNCTION("""COMPUTED_VALUE"""),4.0)</f>
        <v>4</v>
      </c>
      <c r="F334" s="6">
        <f>IFERROR(__xludf.DUMMYFUNCTION("""COMPUTED_VALUE"""),23.0)</f>
        <v>23</v>
      </c>
      <c r="G334" s="6">
        <f>IFERROR(__xludf.DUMMYFUNCTION("""COMPUTED_VALUE"""),35.0)</f>
        <v>35</v>
      </c>
    </row>
    <row r="335">
      <c r="A335" s="6">
        <f>IFERROR(__xludf.DUMMYFUNCTION("""COMPUTED_VALUE"""),2013.0)</f>
        <v>2013</v>
      </c>
      <c r="B335" s="6" t="str">
        <f>IFERROR(__xludf.DUMMYFUNCTION("""COMPUTED_VALUE"""),"8")</f>
        <v>8</v>
      </c>
      <c r="C335" s="6" t="str">
        <f>IFERROR(__xludf.DUMMYFUNCTION("""COMPUTED_VALUE"""),"ESTUPRO TENTADO")</f>
        <v>ESTUPRO TENTADO</v>
      </c>
      <c r="D335" s="6">
        <f>IFERROR(__xludf.DUMMYFUNCTION("""COMPUTED_VALUE"""),0.0)</f>
        <v>0</v>
      </c>
      <c r="E335" s="6">
        <f>IFERROR(__xludf.DUMMYFUNCTION("""COMPUTED_VALUE"""),0.0)</f>
        <v>0</v>
      </c>
      <c r="F335" s="6">
        <f>IFERROR(__xludf.DUMMYFUNCTION("""COMPUTED_VALUE"""),1.0)</f>
        <v>1</v>
      </c>
      <c r="G335" s="6">
        <f>IFERROR(__xludf.DUMMYFUNCTION("""COMPUTED_VALUE"""),1.0)</f>
        <v>1</v>
      </c>
    </row>
    <row r="336">
      <c r="A336" s="6">
        <f>IFERROR(__xludf.DUMMYFUNCTION("""COMPUTED_VALUE"""),2013.0)</f>
        <v>2013</v>
      </c>
      <c r="B336" s="6" t="str">
        <f>IFERROR(__xludf.DUMMYFUNCTION("""COMPUTED_VALUE"""),"8")</f>
        <v>8</v>
      </c>
      <c r="C336" s="6" t="str">
        <f>IFERROR(__xludf.DUMMYFUNCTION("""COMPUTED_VALUE"""),"ESTUPRO DE VULNERÁVEL CONSUMADO")</f>
        <v>ESTUPRO DE VULNERÁVEL CONSUMADO</v>
      </c>
      <c r="D336" s="6">
        <f>IFERROR(__xludf.DUMMYFUNCTION("""COMPUTED_VALUE"""),0.0)</f>
        <v>0</v>
      </c>
      <c r="E336" s="6">
        <f>IFERROR(__xludf.DUMMYFUNCTION("""COMPUTED_VALUE"""),7.0)</f>
        <v>7</v>
      </c>
      <c r="F336" s="6">
        <f>IFERROR(__xludf.DUMMYFUNCTION("""COMPUTED_VALUE"""),10.0)</f>
        <v>10</v>
      </c>
      <c r="G336" s="6">
        <f>IFERROR(__xludf.DUMMYFUNCTION("""COMPUTED_VALUE"""),17.0)</f>
        <v>17</v>
      </c>
    </row>
    <row r="337">
      <c r="A337" s="6">
        <f>IFERROR(__xludf.DUMMYFUNCTION("""COMPUTED_VALUE"""),2013.0)</f>
        <v>2013</v>
      </c>
      <c r="B337" s="6" t="str">
        <f>IFERROR(__xludf.DUMMYFUNCTION("""COMPUTED_VALUE"""),"8")</f>
        <v>8</v>
      </c>
      <c r="C337" s="6" t="str">
        <f>IFERROR(__xludf.DUMMYFUNCTION("""COMPUTED_VALUE"""),"OUTROS C/C/ DIGNIDADE SEXUAL")</f>
        <v>OUTROS C/C/ DIGNIDADE SEXUAL</v>
      </c>
      <c r="D337" s="6">
        <f>IFERROR(__xludf.DUMMYFUNCTION("""COMPUTED_VALUE"""),0.0)</f>
        <v>0</v>
      </c>
      <c r="E337" s="6">
        <f>IFERROR(__xludf.DUMMYFUNCTION("""COMPUTED_VALUE"""),1.0)</f>
        <v>1</v>
      </c>
      <c r="F337" s="6">
        <f>IFERROR(__xludf.DUMMYFUNCTION("""COMPUTED_VALUE"""),1.0)</f>
        <v>1</v>
      </c>
      <c r="G337" s="6">
        <f>IFERROR(__xludf.DUMMYFUNCTION("""COMPUTED_VALUE"""),2.0)</f>
        <v>2</v>
      </c>
    </row>
    <row r="338">
      <c r="A338" s="6">
        <f>IFERROR(__xludf.DUMMYFUNCTION("""COMPUTED_VALUE"""),2013.0)</f>
        <v>2013</v>
      </c>
      <c r="B338" s="6" t="str">
        <f>IFERROR(__xludf.DUMMYFUNCTION("""COMPUTED_VALUE"""),"9")</f>
        <v>9</v>
      </c>
      <c r="C338" s="6" t="str">
        <f>IFERROR(__xludf.DUMMYFUNCTION("""COMPUTED_VALUE"""),"HOMICÍDIO DOLOSO (exclui FEMINICÍDIO)")</f>
        <v>HOMICÍDIO DOLOSO (exclui FEMINICÍDIO)</v>
      </c>
      <c r="D338" s="6">
        <f>IFERROR(__xludf.DUMMYFUNCTION("""COMPUTED_VALUE"""),0.0)</f>
        <v>0</v>
      </c>
      <c r="E338" s="6">
        <f>IFERROR(__xludf.DUMMYFUNCTION("""COMPUTED_VALUE"""),0.0)</f>
        <v>0</v>
      </c>
      <c r="F338" s="6">
        <f>IFERROR(__xludf.DUMMYFUNCTION("""COMPUTED_VALUE"""),6.0)</f>
        <v>6</v>
      </c>
      <c r="G338" s="6">
        <f>IFERROR(__xludf.DUMMYFUNCTION("""COMPUTED_VALUE"""),6.0)</f>
        <v>6</v>
      </c>
    </row>
    <row r="339">
      <c r="A339" s="6">
        <f>IFERROR(__xludf.DUMMYFUNCTION("""COMPUTED_VALUE"""),2013.0)</f>
        <v>2013</v>
      </c>
      <c r="B339" s="6" t="str">
        <f>IFERROR(__xludf.DUMMYFUNCTION("""COMPUTED_VALUE"""),"9")</f>
        <v>9</v>
      </c>
      <c r="C339" s="6" t="str">
        <f>IFERROR(__xludf.DUMMYFUNCTION("""COMPUTED_VALUE"""),"HOMICÍDIO CULPOSO")</f>
        <v>HOMICÍDIO CULPOSO</v>
      </c>
      <c r="D339" s="6">
        <f>IFERROR(__xludf.DUMMYFUNCTION("""COMPUTED_VALUE"""),0.0)</f>
        <v>0</v>
      </c>
      <c r="E339" s="6">
        <f>IFERROR(__xludf.DUMMYFUNCTION("""COMPUTED_VALUE"""),0.0)</f>
        <v>0</v>
      </c>
      <c r="F339" s="6">
        <f>IFERROR(__xludf.DUMMYFUNCTION("""COMPUTED_VALUE"""),0.0)</f>
        <v>0</v>
      </c>
      <c r="G339" s="6">
        <f>IFERROR(__xludf.DUMMYFUNCTION("""COMPUTED_VALUE"""),0.0)</f>
        <v>0</v>
      </c>
    </row>
    <row r="340">
      <c r="A340" s="6">
        <f>IFERROR(__xludf.DUMMYFUNCTION("""COMPUTED_VALUE"""),2013.0)</f>
        <v>2013</v>
      </c>
      <c r="B340" s="6" t="str">
        <f>IFERROR(__xludf.DUMMYFUNCTION("""COMPUTED_VALUE"""),"9")</f>
        <v>9</v>
      </c>
      <c r="C340" s="6" t="str">
        <f>IFERROR(__xludf.DUMMYFUNCTION("""COMPUTED_VALUE"""),"TENTATIVA DE HOMICÍDIO")</f>
        <v>TENTATIVA DE HOMICÍDIO</v>
      </c>
      <c r="D340" s="6">
        <f>IFERROR(__xludf.DUMMYFUNCTION("""COMPUTED_VALUE"""),0.0)</f>
        <v>0</v>
      </c>
      <c r="E340" s="6">
        <f>IFERROR(__xludf.DUMMYFUNCTION("""COMPUTED_VALUE"""),5.0)</f>
        <v>5</v>
      </c>
      <c r="F340" s="6">
        <f>IFERROR(__xludf.DUMMYFUNCTION("""COMPUTED_VALUE"""),11.0)</f>
        <v>11</v>
      </c>
      <c r="G340" s="6">
        <f>IFERROR(__xludf.DUMMYFUNCTION("""COMPUTED_VALUE"""),16.0)</f>
        <v>16</v>
      </c>
    </row>
    <row r="341">
      <c r="A341" s="6">
        <f>IFERROR(__xludf.DUMMYFUNCTION("""COMPUTED_VALUE"""),2013.0)</f>
        <v>2013</v>
      </c>
      <c r="B341" s="6" t="str">
        <f>IFERROR(__xludf.DUMMYFUNCTION("""COMPUTED_VALUE"""),"9")</f>
        <v>9</v>
      </c>
      <c r="C341" s="6" t="str">
        <f>IFERROR(__xludf.DUMMYFUNCTION("""COMPUTED_VALUE"""),"LESÃO CORPORAL DOLOSA")</f>
        <v>LESÃO CORPORAL DOLOSA</v>
      </c>
      <c r="D341" s="6">
        <f>IFERROR(__xludf.DUMMYFUNCTION("""COMPUTED_VALUE"""),891.0)</f>
        <v>891</v>
      </c>
      <c r="E341" s="6">
        <f>IFERROR(__xludf.DUMMYFUNCTION("""COMPUTED_VALUE"""),794.0)</f>
        <v>794</v>
      </c>
      <c r="F341" s="6">
        <f>IFERROR(__xludf.DUMMYFUNCTION("""COMPUTED_VALUE"""),3152.0)</f>
        <v>3152</v>
      </c>
      <c r="G341" s="6">
        <f>IFERROR(__xludf.DUMMYFUNCTION("""COMPUTED_VALUE"""),4837.0)</f>
        <v>4837</v>
      </c>
    </row>
    <row r="342">
      <c r="A342" s="6">
        <f>IFERROR(__xludf.DUMMYFUNCTION("""COMPUTED_VALUE"""),2013.0)</f>
        <v>2013</v>
      </c>
      <c r="B342" s="6" t="str">
        <f>IFERROR(__xludf.DUMMYFUNCTION("""COMPUTED_VALUE"""),"9")</f>
        <v>9</v>
      </c>
      <c r="C342" s="6" t="str">
        <f>IFERROR(__xludf.DUMMYFUNCTION("""COMPUTED_VALUE"""),"MAUS TRATOS")</f>
        <v>MAUS TRATOS</v>
      </c>
      <c r="D342" s="6">
        <f>IFERROR(__xludf.DUMMYFUNCTION("""COMPUTED_VALUE"""),1.0)</f>
        <v>1</v>
      </c>
      <c r="E342" s="6">
        <f>IFERROR(__xludf.DUMMYFUNCTION("""COMPUTED_VALUE"""),5.0)</f>
        <v>5</v>
      </c>
      <c r="F342" s="6">
        <f>IFERROR(__xludf.DUMMYFUNCTION("""COMPUTED_VALUE"""),14.0)</f>
        <v>14</v>
      </c>
      <c r="G342" s="6">
        <f>IFERROR(__xludf.DUMMYFUNCTION("""COMPUTED_VALUE"""),20.0)</f>
        <v>20</v>
      </c>
    </row>
    <row r="343">
      <c r="A343" s="6">
        <f>IFERROR(__xludf.DUMMYFUNCTION("""COMPUTED_VALUE"""),2013.0)</f>
        <v>2013</v>
      </c>
      <c r="B343" s="6" t="str">
        <f>IFERROR(__xludf.DUMMYFUNCTION("""COMPUTED_VALUE"""),"9")</f>
        <v>9</v>
      </c>
      <c r="C343" s="6" t="str">
        <f>IFERROR(__xludf.DUMMYFUNCTION("""COMPUTED_VALUE"""),"CALÚNIA - DIFAMAÇÃO - INJÚRIA")</f>
        <v>CALÚNIA - DIFAMAÇÃO - INJÚRIA</v>
      </c>
      <c r="D343" s="6">
        <f>IFERROR(__xludf.DUMMYFUNCTION("""COMPUTED_VALUE"""),174.0)</f>
        <v>174</v>
      </c>
      <c r="E343" s="6">
        <f>IFERROR(__xludf.DUMMYFUNCTION("""COMPUTED_VALUE"""),199.0)</f>
        <v>199</v>
      </c>
      <c r="F343" s="6">
        <f>IFERROR(__xludf.DUMMYFUNCTION("""COMPUTED_VALUE"""),751.0)</f>
        <v>751</v>
      </c>
      <c r="G343" s="6">
        <f>IFERROR(__xludf.DUMMYFUNCTION("""COMPUTED_VALUE"""),1124.0)</f>
        <v>1124</v>
      </c>
    </row>
    <row r="344">
      <c r="A344" s="6">
        <f>IFERROR(__xludf.DUMMYFUNCTION("""COMPUTED_VALUE"""),2013.0)</f>
        <v>2013</v>
      </c>
      <c r="B344" s="6" t="str">
        <f>IFERROR(__xludf.DUMMYFUNCTION("""COMPUTED_VALUE"""),"9")</f>
        <v>9</v>
      </c>
      <c r="C344" s="6" t="str">
        <f>IFERROR(__xludf.DUMMYFUNCTION("""COMPUTED_VALUE"""),"CONSTRANGIMENTO ILEGAL")</f>
        <v>CONSTRANGIMENTO ILEGAL</v>
      </c>
      <c r="D344" s="6">
        <f>IFERROR(__xludf.DUMMYFUNCTION("""COMPUTED_VALUE"""),1.0)</f>
        <v>1</v>
      </c>
      <c r="E344" s="6">
        <f>IFERROR(__xludf.DUMMYFUNCTION("""COMPUTED_VALUE"""),1.0)</f>
        <v>1</v>
      </c>
      <c r="F344" s="6">
        <f>IFERROR(__xludf.DUMMYFUNCTION("""COMPUTED_VALUE"""),5.0)</f>
        <v>5</v>
      </c>
      <c r="G344" s="6">
        <f>IFERROR(__xludf.DUMMYFUNCTION("""COMPUTED_VALUE"""),7.0)</f>
        <v>7</v>
      </c>
    </row>
    <row r="345">
      <c r="A345" s="6">
        <f>IFERROR(__xludf.DUMMYFUNCTION("""COMPUTED_VALUE"""),2013.0)</f>
        <v>2013</v>
      </c>
      <c r="B345" s="6" t="str">
        <f>IFERROR(__xludf.DUMMYFUNCTION("""COMPUTED_VALUE"""),"9")</f>
        <v>9</v>
      </c>
      <c r="C345" s="6" t="str">
        <f>IFERROR(__xludf.DUMMYFUNCTION("""COMPUTED_VALUE"""),"AMEAÇA")</f>
        <v>AMEAÇA</v>
      </c>
      <c r="D345" s="6">
        <f>IFERROR(__xludf.DUMMYFUNCTION("""COMPUTED_VALUE"""),811.0)</f>
        <v>811</v>
      </c>
      <c r="E345" s="6">
        <f>IFERROR(__xludf.DUMMYFUNCTION("""COMPUTED_VALUE"""),863.0)</f>
        <v>863</v>
      </c>
      <c r="F345" s="6">
        <f>IFERROR(__xludf.DUMMYFUNCTION("""COMPUTED_VALUE"""),3099.0)</f>
        <v>3099</v>
      </c>
      <c r="G345" s="6">
        <f>IFERROR(__xludf.DUMMYFUNCTION("""COMPUTED_VALUE"""),4773.0)</f>
        <v>4773</v>
      </c>
    </row>
    <row r="346">
      <c r="A346" s="6">
        <f>IFERROR(__xludf.DUMMYFUNCTION("""COMPUTED_VALUE"""),2013.0)</f>
        <v>2013</v>
      </c>
      <c r="B346" s="6" t="str">
        <f>IFERROR(__xludf.DUMMYFUNCTION("""COMPUTED_VALUE"""),"9")</f>
        <v>9</v>
      </c>
      <c r="C346" s="6" t="str">
        <f>IFERROR(__xludf.DUMMYFUNCTION("""COMPUTED_VALUE"""),"INVASÃO DE DOMICÍLIO")</f>
        <v>INVASÃO DE DOMICÍLIO</v>
      </c>
      <c r="D346" s="6">
        <f>IFERROR(__xludf.DUMMYFUNCTION("""COMPUTED_VALUE"""),0.0)</f>
        <v>0</v>
      </c>
      <c r="E346" s="6">
        <f>IFERROR(__xludf.DUMMYFUNCTION("""COMPUTED_VALUE"""),1.0)</f>
        <v>1</v>
      </c>
      <c r="F346" s="6">
        <f>IFERROR(__xludf.DUMMYFUNCTION("""COMPUTED_VALUE"""),16.0)</f>
        <v>16</v>
      </c>
      <c r="G346" s="6">
        <f>IFERROR(__xludf.DUMMYFUNCTION("""COMPUTED_VALUE"""),17.0)</f>
        <v>17</v>
      </c>
    </row>
    <row r="347">
      <c r="A347" s="6">
        <f>IFERROR(__xludf.DUMMYFUNCTION("""COMPUTED_VALUE"""),2013.0)</f>
        <v>2013</v>
      </c>
      <c r="B347" s="6" t="str">
        <f>IFERROR(__xludf.DUMMYFUNCTION("""COMPUTED_VALUE"""),"9")</f>
        <v>9</v>
      </c>
      <c r="C347" s="6" t="str">
        <f>IFERROR(__xludf.DUMMYFUNCTION("""COMPUTED_VALUE"""),"DANO")</f>
        <v>DANO</v>
      </c>
      <c r="D347" s="6">
        <f>IFERROR(__xludf.DUMMYFUNCTION("""COMPUTED_VALUE"""),8.0)</f>
        <v>8</v>
      </c>
      <c r="E347" s="6">
        <f>IFERROR(__xludf.DUMMYFUNCTION("""COMPUTED_VALUE"""),13.0)</f>
        <v>13</v>
      </c>
      <c r="F347" s="6">
        <f>IFERROR(__xludf.DUMMYFUNCTION("""COMPUTED_VALUE"""),54.0)</f>
        <v>54</v>
      </c>
      <c r="G347" s="6">
        <f>IFERROR(__xludf.DUMMYFUNCTION("""COMPUTED_VALUE"""),75.0)</f>
        <v>75</v>
      </c>
    </row>
    <row r="348">
      <c r="A348" s="6">
        <f>IFERROR(__xludf.DUMMYFUNCTION("""COMPUTED_VALUE"""),2013.0)</f>
        <v>2013</v>
      </c>
      <c r="B348" s="6" t="str">
        <f>IFERROR(__xludf.DUMMYFUNCTION("""COMPUTED_VALUE"""),"9")</f>
        <v>9</v>
      </c>
      <c r="C348" s="6" t="str">
        <f>IFERROR(__xludf.DUMMYFUNCTION("""COMPUTED_VALUE"""),"ESTUPRO CONSUMADO")</f>
        <v>ESTUPRO CONSUMADO</v>
      </c>
      <c r="D348" s="6">
        <f>IFERROR(__xludf.DUMMYFUNCTION("""COMPUTED_VALUE"""),10.0)</f>
        <v>10</v>
      </c>
      <c r="E348" s="6">
        <f>IFERROR(__xludf.DUMMYFUNCTION("""COMPUTED_VALUE"""),4.0)</f>
        <v>4</v>
      </c>
      <c r="F348" s="6">
        <f>IFERROR(__xludf.DUMMYFUNCTION("""COMPUTED_VALUE"""),21.0)</f>
        <v>21</v>
      </c>
      <c r="G348" s="6">
        <f>IFERROR(__xludf.DUMMYFUNCTION("""COMPUTED_VALUE"""),35.0)</f>
        <v>35</v>
      </c>
    </row>
    <row r="349">
      <c r="A349" s="6">
        <f>IFERROR(__xludf.DUMMYFUNCTION("""COMPUTED_VALUE"""),2013.0)</f>
        <v>2013</v>
      </c>
      <c r="B349" s="6" t="str">
        <f>IFERROR(__xludf.DUMMYFUNCTION("""COMPUTED_VALUE"""),"9")</f>
        <v>9</v>
      </c>
      <c r="C349" s="6" t="str">
        <f>IFERROR(__xludf.DUMMYFUNCTION("""COMPUTED_VALUE"""),"ESTUPRO TENTADO")</f>
        <v>ESTUPRO TENTADO</v>
      </c>
      <c r="D349" s="6">
        <f>IFERROR(__xludf.DUMMYFUNCTION("""COMPUTED_VALUE"""),1.0)</f>
        <v>1</v>
      </c>
      <c r="E349" s="6">
        <f>IFERROR(__xludf.DUMMYFUNCTION("""COMPUTED_VALUE"""),0.0)</f>
        <v>0</v>
      </c>
      <c r="F349" s="6">
        <f>IFERROR(__xludf.DUMMYFUNCTION("""COMPUTED_VALUE"""),1.0)</f>
        <v>1</v>
      </c>
      <c r="G349" s="6">
        <f>IFERROR(__xludf.DUMMYFUNCTION("""COMPUTED_VALUE"""),2.0)</f>
        <v>2</v>
      </c>
    </row>
    <row r="350">
      <c r="A350" s="6">
        <f>IFERROR(__xludf.DUMMYFUNCTION("""COMPUTED_VALUE"""),2013.0)</f>
        <v>2013</v>
      </c>
      <c r="B350" s="6" t="str">
        <f>IFERROR(__xludf.DUMMYFUNCTION("""COMPUTED_VALUE"""),"9")</f>
        <v>9</v>
      </c>
      <c r="C350" s="6" t="str">
        <f>IFERROR(__xludf.DUMMYFUNCTION("""COMPUTED_VALUE"""),"ESTUPRO DE VULNERÁVEL CONSUMADO")</f>
        <v>ESTUPRO DE VULNERÁVEL CONSUMADO</v>
      </c>
      <c r="D350" s="6">
        <f>IFERROR(__xludf.DUMMYFUNCTION("""COMPUTED_VALUE"""),1.0)</f>
        <v>1</v>
      </c>
      <c r="E350" s="6">
        <f>IFERROR(__xludf.DUMMYFUNCTION("""COMPUTED_VALUE"""),5.0)</f>
        <v>5</v>
      </c>
      <c r="F350" s="6">
        <f>IFERROR(__xludf.DUMMYFUNCTION("""COMPUTED_VALUE"""),14.0)</f>
        <v>14</v>
      </c>
      <c r="G350" s="6">
        <f>IFERROR(__xludf.DUMMYFUNCTION("""COMPUTED_VALUE"""),20.0)</f>
        <v>20</v>
      </c>
    </row>
    <row r="351">
      <c r="A351" s="6">
        <f>IFERROR(__xludf.DUMMYFUNCTION("""COMPUTED_VALUE"""),2013.0)</f>
        <v>2013</v>
      </c>
      <c r="B351" s="6" t="str">
        <f>IFERROR(__xludf.DUMMYFUNCTION("""COMPUTED_VALUE"""),"9")</f>
        <v>9</v>
      </c>
      <c r="C351" s="6" t="str">
        <f>IFERROR(__xludf.DUMMYFUNCTION("""COMPUTED_VALUE"""),"OUTROS C/C/ DIGNIDADE SEXUAL")</f>
        <v>OUTROS C/C/ DIGNIDADE SEXUAL</v>
      </c>
      <c r="D351" s="6">
        <f>IFERROR(__xludf.DUMMYFUNCTION("""COMPUTED_VALUE"""),0.0)</f>
        <v>0</v>
      </c>
      <c r="E351" s="6">
        <f>IFERROR(__xludf.DUMMYFUNCTION("""COMPUTED_VALUE"""),0.0)</f>
        <v>0</v>
      </c>
      <c r="F351" s="6">
        <f>IFERROR(__xludf.DUMMYFUNCTION("""COMPUTED_VALUE"""),3.0)</f>
        <v>3</v>
      </c>
      <c r="G351" s="6">
        <f>IFERROR(__xludf.DUMMYFUNCTION("""COMPUTED_VALUE"""),3.0)</f>
        <v>3</v>
      </c>
    </row>
    <row r="352">
      <c r="A352" s="6">
        <f>IFERROR(__xludf.DUMMYFUNCTION("""COMPUTED_VALUE"""),2013.0)</f>
        <v>2013</v>
      </c>
      <c r="B352" s="6" t="str">
        <f>IFERROR(__xludf.DUMMYFUNCTION("""COMPUTED_VALUE"""),"11")</f>
        <v>11</v>
      </c>
      <c r="C352" s="6" t="str">
        <f>IFERROR(__xludf.DUMMYFUNCTION("""COMPUTED_VALUE"""),"HOMICÍDIO DOLOSO (exclui FEMINICÍDIO)")</f>
        <v>HOMICÍDIO DOLOSO (exclui FEMINICÍDIO)</v>
      </c>
      <c r="D352" s="6">
        <f>IFERROR(__xludf.DUMMYFUNCTION("""COMPUTED_VALUE"""),1.0)</f>
        <v>1</v>
      </c>
      <c r="E352" s="6">
        <f>IFERROR(__xludf.DUMMYFUNCTION("""COMPUTED_VALUE"""),0.0)</f>
        <v>0</v>
      </c>
      <c r="F352" s="6">
        <f>IFERROR(__xludf.DUMMYFUNCTION("""COMPUTED_VALUE"""),5.0)</f>
        <v>5</v>
      </c>
      <c r="G352" s="6">
        <f>IFERROR(__xludf.DUMMYFUNCTION("""COMPUTED_VALUE"""),6.0)</f>
        <v>6</v>
      </c>
    </row>
    <row r="353">
      <c r="A353" s="6">
        <f>IFERROR(__xludf.DUMMYFUNCTION("""COMPUTED_VALUE"""),2013.0)</f>
        <v>2013</v>
      </c>
      <c r="B353" s="6" t="str">
        <f>IFERROR(__xludf.DUMMYFUNCTION("""COMPUTED_VALUE"""),"11")</f>
        <v>11</v>
      </c>
      <c r="C353" s="6" t="str">
        <f>IFERROR(__xludf.DUMMYFUNCTION("""COMPUTED_VALUE"""),"HOMICÍDIO CULPOSO")</f>
        <v>HOMICÍDIO CULPOSO</v>
      </c>
      <c r="D353" s="6">
        <f>IFERROR(__xludf.DUMMYFUNCTION("""COMPUTED_VALUE"""),0.0)</f>
        <v>0</v>
      </c>
      <c r="E353" s="6">
        <f>IFERROR(__xludf.DUMMYFUNCTION("""COMPUTED_VALUE"""),0.0)</f>
        <v>0</v>
      </c>
      <c r="F353" s="6">
        <f>IFERROR(__xludf.DUMMYFUNCTION("""COMPUTED_VALUE"""),0.0)</f>
        <v>0</v>
      </c>
      <c r="G353" s="6">
        <f>IFERROR(__xludf.DUMMYFUNCTION("""COMPUTED_VALUE"""),0.0)</f>
        <v>0</v>
      </c>
    </row>
    <row r="354">
      <c r="A354" s="6">
        <f>IFERROR(__xludf.DUMMYFUNCTION("""COMPUTED_VALUE"""),2013.0)</f>
        <v>2013</v>
      </c>
      <c r="B354" s="6" t="str">
        <f>IFERROR(__xludf.DUMMYFUNCTION("""COMPUTED_VALUE"""),"11")</f>
        <v>11</v>
      </c>
      <c r="C354" s="6" t="str">
        <f>IFERROR(__xludf.DUMMYFUNCTION("""COMPUTED_VALUE"""),"TENTATIVA DE HOMICÍDIO")</f>
        <v>TENTATIVA DE HOMICÍDIO</v>
      </c>
      <c r="D354" s="6">
        <f>IFERROR(__xludf.DUMMYFUNCTION("""COMPUTED_VALUE"""),4.0)</f>
        <v>4</v>
      </c>
      <c r="E354" s="6">
        <f>IFERROR(__xludf.DUMMYFUNCTION("""COMPUTED_VALUE"""),3.0)</f>
        <v>3</v>
      </c>
      <c r="F354" s="6">
        <f>IFERROR(__xludf.DUMMYFUNCTION("""COMPUTED_VALUE"""),12.0)</f>
        <v>12</v>
      </c>
      <c r="G354" s="6">
        <f>IFERROR(__xludf.DUMMYFUNCTION("""COMPUTED_VALUE"""),19.0)</f>
        <v>19</v>
      </c>
    </row>
    <row r="355">
      <c r="A355" s="6">
        <f>IFERROR(__xludf.DUMMYFUNCTION("""COMPUTED_VALUE"""),2013.0)</f>
        <v>2013</v>
      </c>
      <c r="B355" s="6" t="str">
        <f>IFERROR(__xludf.DUMMYFUNCTION("""COMPUTED_VALUE"""),"11")</f>
        <v>11</v>
      </c>
      <c r="C355" s="6" t="str">
        <f>IFERROR(__xludf.DUMMYFUNCTION("""COMPUTED_VALUE"""),"LESÃO CORPORAL DOLOSA")</f>
        <v>LESÃO CORPORAL DOLOSA</v>
      </c>
      <c r="D355" s="6">
        <f>IFERROR(__xludf.DUMMYFUNCTION("""COMPUTED_VALUE"""),1027.0)</f>
        <v>1027</v>
      </c>
      <c r="E355" s="6">
        <f>IFERROR(__xludf.DUMMYFUNCTION("""COMPUTED_VALUE"""),793.0)</f>
        <v>793</v>
      </c>
      <c r="F355" s="6">
        <f>IFERROR(__xludf.DUMMYFUNCTION("""COMPUTED_VALUE"""),2967.0)</f>
        <v>2967</v>
      </c>
      <c r="G355" s="6">
        <f>IFERROR(__xludf.DUMMYFUNCTION("""COMPUTED_VALUE"""),4787.0)</f>
        <v>4787</v>
      </c>
    </row>
    <row r="356">
      <c r="A356" s="6">
        <f>IFERROR(__xludf.DUMMYFUNCTION("""COMPUTED_VALUE"""),2013.0)</f>
        <v>2013</v>
      </c>
      <c r="B356" s="6" t="str">
        <f>IFERROR(__xludf.DUMMYFUNCTION("""COMPUTED_VALUE"""),"11")</f>
        <v>11</v>
      </c>
      <c r="C356" s="6" t="str">
        <f>IFERROR(__xludf.DUMMYFUNCTION("""COMPUTED_VALUE"""),"MAUS TRATOS")</f>
        <v>MAUS TRATOS</v>
      </c>
      <c r="D356" s="6">
        <f>IFERROR(__xludf.DUMMYFUNCTION("""COMPUTED_VALUE"""),1.0)</f>
        <v>1</v>
      </c>
      <c r="E356" s="6">
        <f>IFERROR(__xludf.DUMMYFUNCTION("""COMPUTED_VALUE"""),13.0)</f>
        <v>13</v>
      </c>
      <c r="F356" s="6">
        <f>IFERROR(__xludf.DUMMYFUNCTION("""COMPUTED_VALUE"""),30.0)</f>
        <v>30</v>
      </c>
      <c r="G356" s="6">
        <f>IFERROR(__xludf.DUMMYFUNCTION("""COMPUTED_VALUE"""),44.0)</f>
        <v>44</v>
      </c>
    </row>
    <row r="357">
      <c r="A357" s="6">
        <f>IFERROR(__xludf.DUMMYFUNCTION("""COMPUTED_VALUE"""),2013.0)</f>
        <v>2013</v>
      </c>
      <c r="B357" s="6" t="str">
        <f>IFERROR(__xludf.DUMMYFUNCTION("""COMPUTED_VALUE"""),"11")</f>
        <v>11</v>
      </c>
      <c r="C357" s="6" t="str">
        <f>IFERROR(__xludf.DUMMYFUNCTION("""COMPUTED_VALUE"""),"CALÚNIA - DIFAMAÇÃO - INJÚRIA")</f>
        <v>CALÚNIA - DIFAMAÇÃO - INJÚRIA</v>
      </c>
      <c r="D357" s="6">
        <f>IFERROR(__xludf.DUMMYFUNCTION("""COMPUTED_VALUE"""),240.0)</f>
        <v>240</v>
      </c>
      <c r="E357" s="6">
        <f>IFERROR(__xludf.DUMMYFUNCTION("""COMPUTED_VALUE"""),210.0)</f>
        <v>210</v>
      </c>
      <c r="F357" s="6">
        <f>IFERROR(__xludf.DUMMYFUNCTION("""COMPUTED_VALUE"""),627.0)</f>
        <v>627</v>
      </c>
      <c r="G357" s="6">
        <f>IFERROR(__xludf.DUMMYFUNCTION("""COMPUTED_VALUE"""),1077.0)</f>
        <v>1077</v>
      </c>
    </row>
    <row r="358">
      <c r="A358" s="6">
        <f>IFERROR(__xludf.DUMMYFUNCTION("""COMPUTED_VALUE"""),2013.0)</f>
        <v>2013</v>
      </c>
      <c r="B358" s="6" t="str">
        <f>IFERROR(__xludf.DUMMYFUNCTION("""COMPUTED_VALUE"""),"11")</f>
        <v>11</v>
      </c>
      <c r="C358" s="6" t="str">
        <f>IFERROR(__xludf.DUMMYFUNCTION("""COMPUTED_VALUE"""),"CONSTRANGIMENTO ILEGAL")</f>
        <v>CONSTRANGIMENTO ILEGAL</v>
      </c>
      <c r="D358" s="6">
        <f>IFERROR(__xludf.DUMMYFUNCTION("""COMPUTED_VALUE"""),0.0)</f>
        <v>0</v>
      </c>
      <c r="E358" s="6">
        <f>IFERROR(__xludf.DUMMYFUNCTION("""COMPUTED_VALUE"""),2.0)</f>
        <v>2</v>
      </c>
      <c r="F358" s="6">
        <f>IFERROR(__xludf.DUMMYFUNCTION("""COMPUTED_VALUE"""),6.0)</f>
        <v>6</v>
      </c>
      <c r="G358" s="6">
        <f>IFERROR(__xludf.DUMMYFUNCTION("""COMPUTED_VALUE"""),8.0)</f>
        <v>8</v>
      </c>
    </row>
    <row r="359">
      <c r="A359" s="6">
        <f>IFERROR(__xludf.DUMMYFUNCTION("""COMPUTED_VALUE"""),2013.0)</f>
        <v>2013</v>
      </c>
      <c r="B359" s="6" t="str">
        <f>IFERROR(__xludf.DUMMYFUNCTION("""COMPUTED_VALUE"""),"11")</f>
        <v>11</v>
      </c>
      <c r="C359" s="6" t="str">
        <f>IFERROR(__xludf.DUMMYFUNCTION("""COMPUTED_VALUE"""),"AMEAÇA")</f>
        <v>AMEAÇA</v>
      </c>
      <c r="D359" s="6">
        <f>IFERROR(__xludf.DUMMYFUNCTION("""COMPUTED_VALUE"""),761.0)</f>
        <v>761</v>
      </c>
      <c r="E359" s="6">
        <f>IFERROR(__xludf.DUMMYFUNCTION("""COMPUTED_VALUE"""),848.0)</f>
        <v>848</v>
      </c>
      <c r="F359" s="6">
        <f>IFERROR(__xludf.DUMMYFUNCTION("""COMPUTED_VALUE"""),3444.0)</f>
        <v>3444</v>
      </c>
      <c r="G359" s="6">
        <f>IFERROR(__xludf.DUMMYFUNCTION("""COMPUTED_VALUE"""),5053.0)</f>
        <v>5053</v>
      </c>
    </row>
    <row r="360">
      <c r="A360" s="6">
        <f>IFERROR(__xludf.DUMMYFUNCTION("""COMPUTED_VALUE"""),2013.0)</f>
        <v>2013</v>
      </c>
      <c r="B360" s="6" t="str">
        <f>IFERROR(__xludf.DUMMYFUNCTION("""COMPUTED_VALUE"""),"11")</f>
        <v>11</v>
      </c>
      <c r="C360" s="6" t="str">
        <f>IFERROR(__xludf.DUMMYFUNCTION("""COMPUTED_VALUE"""),"INVASÃO DE DOMICÍLIO")</f>
        <v>INVASÃO DE DOMICÍLIO</v>
      </c>
      <c r="D360" s="6">
        <f>IFERROR(__xludf.DUMMYFUNCTION("""COMPUTED_VALUE"""),0.0)</f>
        <v>0</v>
      </c>
      <c r="E360" s="6">
        <f>IFERROR(__xludf.DUMMYFUNCTION("""COMPUTED_VALUE"""),3.0)</f>
        <v>3</v>
      </c>
      <c r="F360" s="6">
        <f>IFERROR(__xludf.DUMMYFUNCTION("""COMPUTED_VALUE"""),26.0)</f>
        <v>26</v>
      </c>
      <c r="G360" s="6">
        <f>IFERROR(__xludf.DUMMYFUNCTION("""COMPUTED_VALUE"""),29.0)</f>
        <v>29</v>
      </c>
    </row>
    <row r="361">
      <c r="A361" s="6">
        <f>IFERROR(__xludf.DUMMYFUNCTION("""COMPUTED_VALUE"""),2013.0)</f>
        <v>2013</v>
      </c>
      <c r="B361" s="6" t="str">
        <f>IFERROR(__xludf.DUMMYFUNCTION("""COMPUTED_VALUE"""),"11")</f>
        <v>11</v>
      </c>
      <c r="C361" s="6" t="str">
        <f>IFERROR(__xludf.DUMMYFUNCTION("""COMPUTED_VALUE"""),"DANO")</f>
        <v>DANO</v>
      </c>
      <c r="D361" s="6">
        <f>IFERROR(__xludf.DUMMYFUNCTION("""COMPUTED_VALUE"""),6.0)</f>
        <v>6</v>
      </c>
      <c r="E361" s="6">
        <f>IFERROR(__xludf.DUMMYFUNCTION("""COMPUTED_VALUE"""),15.0)</f>
        <v>15</v>
      </c>
      <c r="F361" s="6">
        <f>IFERROR(__xludf.DUMMYFUNCTION("""COMPUTED_VALUE"""),54.0)</f>
        <v>54</v>
      </c>
      <c r="G361" s="6">
        <f>IFERROR(__xludf.DUMMYFUNCTION("""COMPUTED_VALUE"""),75.0)</f>
        <v>75</v>
      </c>
    </row>
    <row r="362">
      <c r="A362" s="6">
        <f>IFERROR(__xludf.DUMMYFUNCTION("""COMPUTED_VALUE"""),2013.0)</f>
        <v>2013</v>
      </c>
      <c r="B362" s="6" t="str">
        <f>IFERROR(__xludf.DUMMYFUNCTION("""COMPUTED_VALUE"""),"11")</f>
        <v>11</v>
      </c>
      <c r="C362" s="6" t="str">
        <f>IFERROR(__xludf.DUMMYFUNCTION("""COMPUTED_VALUE"""),"ESTUPRO CONSUMADO")</f>
        <v>ESTUPRO CONSUMADO</v>
      </c>
      <c r="D362" s="6">
        <f>IFERROR(__xludf.DUMMYFUNCTION("""COMPUTED_VALUE"""),7.0)</f>
        <v>7</v>
      </c>
      <c r="E362" s="6">
        <f>IFERROR(__xludf.DUMMYFUNCTION("""COMPUTED_VALUE"""),7.0)</f>
        <v>7</v>
      </c>
      <c r="F362" s="6">
        <f>IFERROR(__xludf.DUMMYFUNCTION("""COMPUTED_VALUE"""),36.0)</f>
        <v>36</v>
      </c>
      <c r="G362" s="6">
        <f>IFERROR(__xludf.DUMMYFUNCTION("""COMPUTED_VALUE"""),50.0)</f>
        <v>50</v>
      </c>
    </row>
    <row r="363">
      <c r="A363" s="6">
        <f>IFERROR(__xludf.DUMMYFUNCTION("""COMPUTED_VALUE"""),2013.0)</f>
        <v>2013</v>
      </c>
      <c r="B363" s="6" t="str">
        <f>IFERROR(__xludf.DUMMYFUNCTION("""COMPUTED_VALUE"""),"11")</f>
        <v>11</v>
      </c>
      <c r="C363" s="6" t="str">
        <f>IFERROR(__xludf.DUMMYFUNCTION("""COMPUTED_VALUE"""),"ESTUPRO TENTADO")</f>
        <v>ESTUPRO TENTADO</v>
      </c>
      <c r="D363" s="6">
        <f>IFERROR(__xludf.DUMMYFUNCTION("""COMPUTED_VALUE"""),0.0)</f>
        <v>0</v>
      </c>
      <c r="E363" s="6">
        <f>IFERROR(__xludf.DUMMYFUNCTION("""COMPUTED_VALUE"""),1.0)</f>
        <v>1</v>
      </c>
      <c r="F363" s="6">
        <f>IFERROR(__xludf.DUMMYFUNCTION("""COMPUTED_VALUE"""),4.0)</f>
        <v>4</v>
      </c>
      <c r="G363" s="6">
        <f>IFERROR(__xludf.DUMMYFUNCTION("""COMPUTED_VALUE"""),5.0)</f>
        <v>5</v>
      </c>
    </row>
    <row r="364">
      <c r="A364" s="6">
        <f>IFERROR(__xludf.DUMMYFUNCTION("""COMPUTED_VALUE"""),2013.0)</f>
        <v>2013</v>
      </c>
      <c r="B364" s="6" t="str">
        <f>IFERROR(__xludf.DUMMYFUNCTION("""COMPUTED_VALUE"""),"11")</f>
        <v>11</v>
      </c>
      <c r="C364" s="6" t="str">
        <f>IFERROR(__xludf.DUMMYFUNCTION("""COMPUTED_VALUE"""),"ESTUPRO DE VULNERÁVEL CONSUMADO")</f>
        <v>ESTUPRO DE VULNERÁVEL CONSUMADO</v>
      </c>
      <c r="D364" s="6">
        <f>IFERROR(__xludf.DUMMYFUNCTION("""COMPUTED_VALUE"""),7.0)</f>
        <v>7</v>
      </c>
      <c r="E364" s="6">
        <f>IFERROR(__xludf.DUMMYFUNCTION("""COMPUTED_VALUE"""),2.0)</f>
        <v>2</v>
      </c>
      <c r="F364" s="6">
        <f>IFERROR(__xludf.DUMMYFUNCTION("""COMPUTED_VALUE"""),22.0)</f>
        <v>22</v>
      </c>
      <c r="G364" s="6">
        <f>IFERROR(__xludf.DUMMYFUNCTION("""COMPUTED_VALUE"""),31.0)</f>
        <v>31</v>
      </c>
    </row>
    <row r="365">
      <c r="A365" s="6">
        <f>IFERROR(__xludf.DUMMYFUNCTION("""COMPUTED_VALUE"""),2013.0)</f>
        <v>2013</v>
      </c>
      <c r="B365" s="6" t="str">
        <f>IFERROR(__xludf.DUMMYFUNCTION("""COMPUTED_VALUE"""),"11")</f>
        <v>11</v>
      </c>
      <c r="C365" s="6" t="str">
        <f>IFERROR(__xludf.DUMMYFUNCTION("""COMPUTED_VALUE"""),"OUTROS C/C/ DIGNIDADE SEXUAL")</f>
        <v>OUTROS C/C/ DIGNIDADE SEXUAL</v>
      </c>
      <c r="D365" s="6">
        <f>IFERROR(__xludf.DUMMYFUNCTION("""COMPUTED_VALUE"""),0.0)</f>
        <v>0</v>
      </c>
      <c r="E365" s="6">
        <f>IFERROR(__xludf.DUMMYFUNCTION("""COMPUTED_VALUE"""),0.0)</f>
        <v>0</v>
      </c>
      <c r="F365" s="6">
        <f>IFERROR(__xludf.DUMMYFUNCTION("""COMPUTED_VALUE"""),2.0)</f>
        <v>2</v>
      </c>
      <c r="G365" s="6">
        <f>IFERROR(__xludf.DUMMYFUNCTION("""COMPUTED_VALUE"""),2.0)</f>
        <v>2</v>
      </c>
    </row>
    <row r="366">
      <c r="A366" s="6">
        <f>IFERROR(__xludf.DUMMYFUNCTION("""COMPUTED_VALUE"""),2013.0)</f>
        <v>2013</v>
      </c>
      <c r="B366" s="6" t="str">
        <f>IFERROR(__xludf.DUMMYFUNCTION("""COMPUTED_VALUE"""),"12")</f>
        <v>12</v>
      </c>
      <c r="C366" s="6" t="str">
        <f>IFERROR(__xludf.DUMMYFUNCTION("""COMPUTED_VALUE"""),"HOMICÍDIO DOLOSO (exclui FEMINICÍDIO)")</f>
        <v>HOMICÍDIO DOLOSO (exclui FEMINICÍDIO)</v>
      </c>
      <c r="D366" s="6">
        <f>IFERROR(__xludf.DUMMYFUNCTION("""COMPUTED_VALUE"""),2.0)</f>
        <v>2</v>
      </c>
      <c r="E366" s="6">
        <f>IFERROR(__xludf.DUMMYFUNCTION("""COMPUTED_VALUE"""),1.0)</f>
        <v>1</v>
      </c>
      <c r="F366" s="6">
        <f>IFERROR(__xludf.DUMMYFUNCTION("""COMPUTED_VALUE"""),6.0)</f>
        <v>6</v>
      </c>
      <c r="G366" s="6">
        <f>IFERROR(__xludf.DUMMYFUNCTION("""COMPUTED_VALUE"""),9.0)</f>
        <v>9</v>
      </c>
    </row>
    <row r="367">
      <c r="A367" s="6">
        <f>IFERROR(__xludf.DUMMYFUNCTION("""COMPUTED_VALUE"""),2013.0)</f>
        <v>2013</v>
      </c>
      <c r="B367" s="6" t="str">
        <f>IFERROR(__xludf.DUMMYFUNCTION("""COMPUTED_VALUE"""),"12")</f>
        <v>12</v>
      </c>
      <c r="C367" s="6" t="str">
        <f>IFERROR(__xludf.DUMMYFUNCTION("""COMPUTED_VALUE"""),"HOMICÍDIO CULPOSO")</f>
        <v>HOMICÍDIO CULPOSO</v>
      </c>
      <c r="D367" s="6">
        <f>IFERROR(__xludf.DUMMYFUNCTION("""COMPUTED_VALUE"""),0.0)</f>
        <v>0</v>
      </c>
      <c r="E367" s="6">
        <f>IFERROR(__xludf.DUMMYFUNCTION("""COMPUTED_VALUE"""),0.0)</f>
        <v>0</v>
      </c>
      <c r="F367" s="6">
        <f>IFERROR(__xludf.DUMMYFUNCTION("""COMPUTED_VALUE"""),0.0)</f>
        <v>0</v>
      </c>
      <c r="G367" s="6">
        <f>IFERROR(__xludf.DUMMYFUNCTION("""COMPUTED_VALUE"""),0.0)</f>
        <v>0</v>
      </c>
    </row>
    <row r="368">
      <c r="A368" s="6">
        <f>IFERROR(__xludf.DUMMYFUNCTION("""COMPUTED_VALUE"""),2013.0)</f>
        <v>2013</v>
      </c>
      <c r="B368" s="6" t="str">
        <f>IFERROR(__xludf.DUMMYFUNCTION("""COMPUTED_VALUE"""),"12")</f>
        <v>12</v>
      </c>
      <c r="C368" s="6" t="str">
        <f>IFERROR(__xludf.DUMMYFUNCTION("""COMPUTED_VALUE"""),"TENTATIVA DE HOMICÍDIO")</f>
        <v>TENTATIVA DE HOMICÍDIO</v>
      </c>
      <c r="D368" s="6">
        <f>IFERROR(__xludf.DUMMYFUNCTION("""COMPUTED_VALUE"""),0.0)</f>
        <v>0</v>
      </c>
      <c r="E368" s="6">
        <f>IFERROR(__xludf.DUMMYFUNCTION("""COMPUTED_VALUE"""),6.0)</f>
        <v>6</v>
      </c>
      <c r="F368" s="6">
        <f>IFERROR(__xludf.DUMMYFUNCTION("""COMPUTED_VALUE"""),13.0)</f>
        <v>13</v>
      </c>
      <c r="G368" s="6">
        <f>IFERROR(__xludf.DUMMYFUNCTION("""COMPUTED_VALUE"""),19.0)</f>
        <v>19</v>
      </c>
    </row>
    <row r="369">
      <c r="A369" s="6">
        <f>IFERROR(__xludf.DUMMYFUNCTION("""COMPUTED_VALUE"""),2013.0)</f>
        <v>2013</v>
      </c>
      <c r="B369" s="6" t="str">
        <f>IFERROR(__xludf.DUMMYFUNCTION("""COMPUTED_VALUE"""),"12")</f>
        <v>12</v>
      </c>
      <c r="C369" s="6" t="str">
        <f>IFERROR(__xludf.DUMMYFUNCTION("""COMPUTED_VALUE"""),"LESÃO CORPORAL DOLOSA")</f>
        <v>LESÃO CORPORAL DOLOSA</v>
      </c>
      <c r="D369" s="6">
        <f>IFERROR(__xludf.DUMMYFUNCTION("""COMPUTED_VALUE"""),963.0)</f>
        <v>963</v>
      </c>
      <c r="E369" s="6">
        <f>IFERROR(__xludf.DUMMYFUNCTION("""COMPUTED_VALUE"""),831.0)</f>
        <v>831</v>
      </c>
      <c r="F369" s="6">
        <f>IFERROR(__xludf.DUMMYFUNCTION("""COMPUTED_VALUE"""),3266.0)</f>
        <v>3266</v>
      </c>
      <c r="G369" s="6">
        <f>IFERROR(__xludf.DUMMYFUNCTION("""COMPUTED_VALUE"""),5060.0)</f>
        <v>5060</v>
      </c>
    </row>
    <row r="370">
      <c r="A370" s="6">
        <f>IFERROR(__xludf.DUMMYFUNCTION("""COMPUTED_VALUE"""),2013.0)</f>
        <v>2013</v>
      </c>
      <c r="B370" s="6" t="str">
        <f>IFERROR(__xludf.DUMMYFUNCTION("""COMPUTED_VALUE"""),"12")</f>
        <v>12</v>
      </c>
      <c r="C370" s="6" t="str">
        <f>IFERROR(__xludf.DUMMYFUNCTION("""COMPUTED_VALUE"""),"MAUS TRATOS")</f>
        <v>MAUS TRATOS</v>
      </c>
      <c r="D370" s="6">
        <f>IFERROR(__xludf.DUMMYFUNCTION("""COMPUTED_VALUE"""),0.0)</f>
        <v>0</v>
      </c>
      <c r="E370" s="6">
        <f>IFERROR(__xludf.DUMMYFUNCTION("""COMPUTED_VALUE"""),4.0)</f>
        <v>4</v>
      </c>
      <c r="F370" s="6">
        <f>IFERROR(__xludf.DUMMYFUNCTION("""COMPUTED_VALUE"""),30.0)</f>
        <v>30</v>
      </c>
      <c r="G370" s="6">
        <f>IFERROR(__xludf.DUMMYFUNCTION("""COMPUTED_VALUE"""),34.0)</f>
        <v>34</v>
      </c>
    </row>
    <row r="371">
      <c r="A371" s="6">
        <f>IFERROR(__xludf.DUMMYFUNCTION("""COMPUTED_VALUE"""),2013.0)</f>
        <v>2013</v>
      </c>
      <c r="B371" s="6" t="str">
        <f>IFERROR(__xludf.DUMMYFUNCTION("""COMPUTED_VALUE"""),"12")</f>
        <v>12</v>
      </c>
      <c r="C371" s="6" t="str">
        <f>IFERROR(__xludf.DUMMYFUNCTION("""COMPUTED_VALUE"""),"CALÚNIA - DIFAMAÇÃO - INJÚRIA")</f>
        <v>CALÚNIA - DIFAMAÇÃO - INJÚRIA</v>
      </c>
      <c r="D371" s="6">
        <f>IFERROR(__xludf.DUMMYFUNCTION("""COMPUTED_VALUE"""),161.0)</f>
        <v>161</v>
      </c>
      <c r="E371" s="6">
        <f>IFERROR(__xludf.DUMMYFUNCTION("""COMPUTED_VALUE"""),166.0)</f>
        <v>166</v>
      </c>
      <c r="F371" s="6">
        <f>IFERROR(__xludf.DUMMYFUNCTION("""COMPUTED_VALUE"""),739.0)</f>
        <v>739</v>
      </c>
      <c r="G371" s="6">
        <f>IFERROR(__xludf.DUMMYFUNCTION("""COMPUTED_VALUE"""),1066.0)</f>
        <v>1066</v>
      </c>
    </row>
    <row r="372">
      <c r="A372" s="6">
        <f>IFERROR(__xludf.DUMMYFUNCTION("""COMPUTED_VALUE"""),2013.0)</f>
        <v>2013</v>
      </c>
      <c r="B372" s="6" t="str">
        <f>IFERROR(__xludf.DUMMYFUNCTION("""COMPUTED_VALUE"""),"12")</f>
        <v>12</v>
      </c>
      <c r="C372" s="6" t="str">
        <f>IFERROR(__xludf.DUMMYFUNCTION("""COMPUTED_VALUE"""),"CONSTRANGIMENTO ILEGAL")</f>
        <v>CONSTRANGIMENTO ILEGAL</v>
      </c>
      <c r="D372" s="6">
        <f>IFERROR(__xludf.DUMMYFUNCTION("""COMPUTED_VALUE"""),0.0)</f>
        <v>0</v>
      </c>
      <c r="E372" s="6">
        <f>IFERROR(__xludf.DUMMYFUNCTION("""COMPUTED_VALUE"""),0.0)</f>
        <v>0</v>
      </c>
      <c r="F372" s="6">
        <f>IFERROR(__xludf.DUMMYFUNCTION("""COMPUTED_VALUE"""),4.0)</f>
        <v>4</v>
      </c>
      <c r="G372" s="6">
        <f>IFERROR(__xludf.DUMMYFUNCTION("""COMPUTED_VALUE"""),4.0)</f>
        <v>4</v>
      </c>
    </row>
    <row r="373">
      <c r="A373" s="6">
        <f>IFERROR(__xludf.DUMMYFUNCTION("""COMPUTED_VALUE"""),2013.0)</f>
        <v>2013</v>
      </c>
      <c r="B373" s="6" t="str">
        <f>IFERROR(__xludf.DUMMYFUNCTION("""COMPUTED_VALUE"""),"12")</f>
        <v>12</v>
      </c>
      <c r="C373" s="6" t="str">
        <f>IFERROR(__xludf.DUMMYFUNCTION("""COMPUTED_VALUE"""),"AMEAÇA")</f>
        <v>AMEAÇA</v>
      </c>
      <c r="D373" s="6">
        <f>IFERROR(__xludf.DUMMYFUNCTION("""COMPUTED_VALUE"""),702.0)</f>
        <v>702</v>
      </c>
      <c r="E373" s="6">
        <f>IFERROR(__xludf.DUMMYFUNCTION("""COMPUTED_VALUE"""),775.0)</f>
        <v>775</v>
      </c>
      <c r="F373" s="6">
        <f>IFERROR(__xludf.DUMMYFUNCTION("""COMPUTED_VALUE"""),3287.0)</f>
        <v>3287</v>
      </c>
      <c r="G373" s="6">
        <f>IFERROR(__xludf.DUMMYFUNCTION("""COMPUTED_VALUE"""),4764.0)</f>
        <v>4764</v>
      </c>
    </row>
    <row r="374">
      <c r="A374" s="6">
        <f>IFERROR(__xludf.DUMMYFUNCTION("""COMPUTED_VALUE"""),2013.0)</f>
        <v>2013</v>
      </c>
      <c r="B374" s="6" t="str">
        <f>IFERROR(__xludf.DUMMYFUNCTION("""COMPUTED_VALUE"""),"12")</f>
        <v>12</v>
      </c>
      <c r="C374" s="6" t="str">
        <f>IFERROR(__xludf.DUMMYFUNCTION("""COMPUTED_VALUE"""),"INVASÃO DE DOMICÍLIO")</f>
        <v>INVASÃO DE DOMICÍLIO</v>
      </c>
      <c r="D374" s="6">
        <f>IFERROR(__xludf.DUMMYFUNCTION("""COMPUTED_VALUE"""),29.0)</f>
        <v>29</v>
      </c>
      <c r="E374" s="6">
        <f>IFERROR(__xludf.DUMMYFUNCTION("""COMPUTED_VALUE"""),0.0)</f>
        <v>0</v>
      </c>
      <c r="F374" s="6">
        <f>IFERROR(__xludf.DUMMYFUNCTION("""COMPUTED_VALUE"""),17.0)</f>
        <v>17</v>
      </c>
      <c r="G374" s="6">
        <f>IFERROR(__xludf.DUMMYFUNCTION("""COMPUTED_VALUE"""),46.0)</f>
        <v>46</v>
      </c>
    </row>
    <row r="375">
      <c r="A375" s="6">
        <f>IFERROR(__xludf.DUMMYFUNCTION("""COMPUTED_VALUE"""),2013.0)</f>
        <v>2013</v>
      </c>
      <c r="B375" s="6" t="str">
        <f>IFERROR(__xludf.DUMMYFUNCTION("""COMPUTED_VALUE"""),"12")</f>
        <v>12</v>
      </c>
      <c r="C375" s="6" t="str">
        <f>IFERROR(__xludf.DUMMYFUNCTION("""COMPUTED_VALUE"""),"DANO")</f>
        <v>DANO</v>
      </c>
      <c r="D375" s="6">
        <f>IFERROR(__xludf.DUMMYFUNCTION("""COMPUTED_VALUE"""),0.0)</f>
        <v>0</v>
      </c>
      <c r="E375" s="6">
        <f>IFERROR(__xludf.DUMMYFUNCTION("""COMPUTED_VALUE"""),11.0)</f>
        <v>11</v>
      </c>
      <c r="F375" s="6">
        <f>IFERROR(__xludf.DUMMYFUNCTION("""COMPUTED_VALUE"""),70.0)</f>
        <v>70</v>
      </c>
      <c r="G375" s="6">
        <f>IFERROR(__xludf.DUMMYFUNCTION("""COMPUTED_VALUE"""),81.0)</f>
        <v>81</v>
      </c>
    </row>
    <row r="376">
      <c r="A376" s="6">
        <f>IFERROR(__xludf.DUMMYFUNCTION("""COMPUTED_VALUE"""),2013.0)</f>
        <v>2013</v>
      </c>
      <c r="B376" s="6" t="str">
        <f>IFERROR(__xludf.DUMMYFUNCTION("""COMPUTED_VALUE"""),"12")</f>
        <v>12</v>
      </c>
      <c r="C376" s="6" t="str">
        <f>IFERROR(__xludf.DUMMYFUNCTION("""COMPUTED_VALUE"""),"ESTUPRO CONSUMADO")</f>
        <v>ESTUPRO CONSUMADO</v>
      </c>
      <c r="D376" s="6">
        <f>IFERROR(__xludf.DUMMYFUNCTION("""COMPUTED_VALUE"""),10.0)</f>
        <v>10</v>
      </c>
      <c r="E376" s="6">
        <f>IFERROR(__xludf.DUMMYFUNCTION("""COMPUTED_VALUE"""),2.0)</f>
        <v>2</v>
      </c>
      <c r="F376" s="6">
        <f>IFERROR(__xludf.DUMMYFUNCTION("""COMPUTED_VALUE"""),15.0)</f>
        <v>15</v>
      </c>
      <c r="G376" s="6">
        <f>IFERROR(__xludf.DUMMYFUNCTION("""COMPUTED_VALUE"""),27.0)</f>
        <v>27</v>
      </c>
    </row>
    <row r="377">
      <c r="A377" s="6">
        <f>IFERROR(__xludf.DUMMYFUNCTION("""COMPUTED_VALUE"""),2013.0)</f>
        <v>2013</v>
      </c>
      <c r="B377" s="6" t="str">
        <f>IFERROR(__xludf.DUMMYFUNCTION("""COMPUTED_VALUE"""),"12")</f>
        <v>12</v>
      </c>
      <c r="C377" s="6" t="str">
        <f>IFERROR(__xludf.DUMMYFUNCTION("""COMPUTED_VALUE"""),"ESTUPRO TENTADO")</f>
        <v>ESTUPRO TENTADO</v>
      </c>
      <c r="D377" s="6">
        <f>IFERROR(__xludf.DUMMYFUNCTION("""COMPUTED_VALUE"""),0.0)</f>
        <v>0</v>
      </c>
      <c r="E377" s="6">
        <f>IFERROR(__xludf.DUMMYFUNCTION("""COMPUTED_VALUE"""),2.0)</f>
        <v>2</v>
      </c>
      <c r="F377" s="6">
        <f>IFERROR(__xludf.DUMMYFUNCTION("""COMPUTED_VALUE"""),1.0)</f>
        <v>1</v>
      </c>
      <c r="G377" s="6">
        <f>IFERROR(__xludf.DUMMYFUNCTION("""COMPUTED_VALUE"""),3.0)</f>
        <v>3</v>
      </c>
    </row>
    <row r="378">
      <c r="A378" s="6">
        <f>IFERROR(__xludf.DUMMYFUNCTION("""COMPUTED_VALUE"""),2013.0)</f>
        <v>2013</v>
      </c>
      <c r="B378" s="6" t="str">
        <f>IFERROR(__xludf.DUMMYFUNCTION("""COMPUTED_VALUE"""),"12")</f>
        <v>12</v>
      </c>
      <c r="C378" s="6" t="str">
        <f>IFERROR(__xludf.DUMMYFUNCTION("""COMPUTED_VALUE"""),"ESTUPRO DE VULNERÁVEL CONSUMADO")</f>
        <v>ESTUPRO DE VULNERÁVEL CONSUMADO</v>
      </c>
      <c r="D378" s="6">
        <f>IFERROR(__xludf.DUMMYFUNCTION("""COMPUTED_VALUE"""),2.0)</f>
        <v>2</v>
      </c>
      <c r="E378" s="6">
        <f>IFERROR(__xludf.DUMMYFUNCTION("""COMPUTED_VALUE"""),4.0)</f>
        <v>4</v>
      </c>
      <c r="F378" s="6">
        <f>IFERROR(__xludf.DUMMYFUNCTION("""COMPUTED_VALUE"""),14.0)</f>
        <v>14</v>
      </c>
      <c r="G378" s="6">
        <f>IFERROR(__xludf.DUMMYFUNCTION("""COMPUTED_VALUE"""),20.0)</f>
        <v>20</v>
      </c>
    </row>
    <row r="379">
      <c r="A379" s="6">
        <f>IFERROR(__xludf.DUMMYFUNCTION("""COMPUTED_VALUE"""),2013.0)</f>
        <v>2013</v>
      </c>
      <c r="B379" s="6" t="str">
        <f>IFERROR(__xludf.DUMMYFUNCTION("""COMPUTED_VALUE"""),"12")</f>
        <v>12</v>
      </c>
      <c r="C379" s="6" t="str">
        <f>IFERROR(__xludf.DUMMYFUNCTION("""COMPUTED_VALUE"""),"OUTROS C/C/ DIGNIDADE SEXUAL")</f>
        <v>OUTROS C/C/ DIGNIDADE SEXUAL</v>
      </c>
      <c r="D379" s="6">
        <f>IFERROR(__xludf.DUMMYFUNCTION("""COMPUTED_VALUE"""),0.0)</f>
        <v>0</v>
      </c>
      <c r="E379" s="6">
        <f>IFERROR(__xludf.DUMMYFUNCTION("""COMPUTED_VALUE"""),0.0)</f>
        <v>0</v>
      </c>
      <c r="F379" s="6">
        <f>IFERROR(__xludf.DUMMYFUNCTION("""COMPUTED_VALUE"""),1.0)</f>
        <v>1</v>
      </c>
      <c r="G379" s="6">
        <f>IFERROR(__xludf.DUMMYFUNCTION("""COMPUTED_VALUE"""),1.0)</f>
        <v>1</v>
      </c>
    </row>
    <row r="380">
      <c r="A380" s="6">
        <f>IFERROR(__xludf.DUMMYFUNCTION("""COMPUTED_VALUE"""),2014.0)</f>
        <v>2014</v>
      </c>
      <c r="B380" s="6" t="str">
        <f>IFERROR(__xludf.DUMMYFUNCTION("""COMPUTED_VALUE"""),"Abril")</f>
        <v>Abril</v>
      </c>
      <c r="C380" s="6" t="str">
        <f>IFERROR(__xludf.DUMMYFUNCTION("""COMPUTED_VALUE"""),"AMEAÇA")</f>
        <v>AMEAÇA</v>
      </c>
      <c r="D380" s="6">
        <f>IFERROR(__xludf.DUMMYFUNCTION("""COMPUTED_VALUE"""),894.0)</f>
        <v>894</v>
      </c>
      <c r="E380" s="6">
        <f>IFERROR(__xludf.DUMMYFUNCTION("""COMPUTED_VALUE"""),802.0)</f>
        <v>802</v>
      </c>
      <c r="F380" s="6">
        <f>IFERROR(__xludf.DUMMYFUNCTION("""COMPUTED_VALUE"""),3107.0)</f>
        <v>3107</v>
      </c>
      <c r="G380" s="6">
        <f>IFERROR(__xludf.DUMMYFUNCTION("""COMPUTED_VALUE"""),4803.0)</f>
        <v>4803</v>
      </c>
    </row>
    <row r="381">
      <c r="A381" s="6">
        <f>IFERROR(__xludf.DUMMYFUNCTION("""COMPUTED_VALUE"""),2014.0)</f>
        <v>2014</v>
      </c>
      <c r="B381" s="6" t="str">
        <f>IFERROR(__xludf.DUMMYFUNCTION("""COMPUTED_VALUE"""),"Abril")</f>
        <v>Abril</v>
      </c>
      <c r="C381" s="6" t="str">
        <f>IFERROR(__xludf.DUMMYFUNCTION("""COMPUTED_VALUE"""),"CALÚNIA - DIFAMAÇÃO - INJÚRIA")</f>
        <v>CALÚNIA - DIFAMAÇÃO - INJÚRIA</v>
      </c>
      <c r="D381" s="6">
        <f>IFERROR(__xludf.DUMMYFUNCTION("""COMPUTED_VALUE"""),202.0)</f>
        <v>202</v>
      </c>
      <c r="E381" s="6">
        <f>IFERROR(__xludf.DUMMYFUNCTION("""COMPUTED_VALUE"""),162.0)</f>
        <v>162</v>
      </c>
      <c r="F381" s="6">
        <f>IFERROR(__xludf.DUMMYFUNCTION("""COMPUTED_VALUE"""),741.0)</f>
        <v>741</v>
      </c>
      <c r="G381" s="6">
        <f>IFERROR(__xludf.DUMMYFUNCTION("""COMPUTED_VALUE"""),1105.0)</f>
        <v>1105</v>
      </c>
    </row>
    <row r="382">
      <c r="A382" s="6">
        <f>IFERROR(__xludf.DUMMYFUNCTION("""COMPUTED_VALUE"""),2014.0)</f>
        <v>2014</v>
      </c>
      <c r="B382" s="6" t="str">
        <f>IFERROR(__xludf.DUMMYFUNCTION("""COMPUTED_VALUE"""),"Abril")</f>
        <v>Abril</v>
      </c>
      <c r="C382" s="6" t="str">
        <f>IFERROR(__xludf.DUMMYFUNCTION("""COMPUTED_VALUE"""),"CONSTRANGIMENTO ILEGAL")</f>
        <v>CONSTRANGIMENTO ILEGAL</v>
      </c>
      <c r="D382" s="6">
        <f>IFERROR(__xludf.DUMMYFUNCTION("""COMPUTED_VALUE"""),0.0)</f>
        <v>0</v>
      </c>
      <c r="E382" s="6">
        <f>IFERROR(__xludf.DUMMYFUNCTION("""COMPUTED_VALUE"""),3.0)</f>
        <v>3</v>
      </c>
      <c r="F382" s="6">
        <f>IFERROR(__xludf.DUMMYFUNCTION("""COMPUTED_VALUE"""),7.0)</f>
        <v>7</v>
      </c>
      <c r="G382" s="6">
        <f>IFERROR(__xludf.DUMMYFUNCTION("""COMPUTED_VALUE"""),10.0)</f>
        <v>10</v>
      </c>
    </row>
    <row r="383">
      <c r="A383" s="6">
        <f>IFERROR(__xludf.DUMMYFUNCTION("""COMPUTED_VALUE"""),2014.0)</f>
        <v>2014</v>
      </c>
      <c r="B383" s="6" t="str">
        <f>IFERROR(__xludf.DUMMYFUNCTION("""COMPUTED_VALUE"""),"Abril")</f>
        <v>Abril</v>
      </c>
      <c r="C383" s="6" t="str">
        <f>IFERROR(__xludf.DUMMYFUNCTION("""COMPUTED_VALUE"""),"DANO")</f>
        <v>DANO</v>
      </c>
      <c r="D383" s="6">
        <f>IFERROR(__xludf.DUMMYFUNCTION("""COMPUTED_VALUE"""),12.0)</f>
        <v>12</v>
      </c>
      <c r="E383" s="6">
        <f>IFERROR(__xludf.DUMMYFUNCTION("""COMPUTED_VALUE"""),10.0)</f>
        <v>10</v>
      </c>
      <c r="F383" s="6">
        <f>IFERROR(__xludf.DUMMYFUNCTION("""COMPUTED_VALUE"""),61.0)</f>
        <v>61</v>
      </c>
      <c r="G383" s="6">
        <f>IFERROR(__xludf.DUMMYFUNCTION("""COMPUTED_VALUE"""),83.0)</f>
        <v>83</v>
      </c>
    </row>
    <row r="384">
      <c r="A384" s="6">
        <f>IFERROR(__xludf.DUMMYFUNCTION("""COMPUTED_VALUE"""),2014.0)</f>
        <v>2014</v>
      </c>
      <c r="B384" s="6" t="str">
        <f>IFERROR(__xludf.DUMMYFUNCTION("""COMPUTED_VALUE"""),"Abril")</f>
        <v>Abril</v>
      </c>
      <c r="C384" s="6" t="str">
        <f>IFERROR(__xludf.DUMMYFUNCTION("""COMPUTED_VALUE"""),"ESTUPRO CONSUMADO")</f>
        <v>ESTUPRO CONSUMADO</v>
      </c>
      <c r="D384" s="6">
        <f>IFERROR(__xludf.DUMMYFUNCTION("""COMPUTED_VALUE"""),9.0)</f>
        <v>9</v>
      </c>
      <c r="E384" s="6">
        <f>IFERROR(__xludf.DUMMYFUNCTION("""COMPUTED_VALUE"""),11.0)</f>
        <v>11</v>
      </c>
      <c r="F384" s="6">
        <f>IFERROR(__xludf.DUMMYFUNCTION("""COMPUTED_VALUE"""),22.0)</f>
        <v>22</v>
      </c>
      <c r="G384" s="6">
        <f>IFERROR(__xludf.DUMMYFUNCTION("""COMPUTED_VALUE"""),42.0)</f>
        <v>42</v>
      </c>
    </row>
    <row r="385">
      <c r="A385" s="6">
        <f>IFERROR(__xludf.DUMMYFUNCTION("""COMPUTED_VALUE"""),2014.0)</f>
        <v>2014</v>
      </c>
      <c r="B385" s="6" t="str">
        <f>IFERROR(__xludf.DUMMYFUNCTION("""COMPUTED_VALUE"""),"Abril")</f>
        <v>Abril</v>
      </c>
      <c r="C385" s="6" t="str">
        <f>IFERROR(__xludf.DUMMYFUNCTION("""COMPUTED_VALUE"""),"ESTUPRO DE VULNERÁVEL CONSUMADO")</f>
        <v>ESTUPRO DE VULNERÁVEL CONSUMADO</v>
      </c>
      <c r="D385" s="6">
        <f>IFERROR(__xludf.DUMMYFUNCTION("""COMPUTED_VALUE"""),5.0)</f>
        <v>5</v>
      </c>
      <c r="E385" s="6">
        <f>IFERROR(__xludf.DUMMYFUNCTION("""COMPUTED_VALUE"""),7.0)</f>
        <v>7</v>
      </c>
      <c r="F385" s="6">
        <f>IFERROR(__xludf.DUMMYFUNCTION("""COMPUTED_VALUE"""),24.0)</f>
        <v>24</v>
      </c>
      <c r="G385" s="6">
        <f>IFERROR(__xludf.DUMMYFUNCTION("""COMPUTED_VALUE"""),36.0)</f>
        <v>36</v>
      </c>
    </row>
    <row r="386">
      <c r="A386" s="6">
        <f>IFERROR(__xludf.DUMMYFUNCTION("""COMPUTED_VALUE"""),2014.0)</f>
        <v>2014</v>
      </c>
      <c r="B386" s="6" t="str">
        <f>IFERROR(__xludf.DUMMYFUNCTION("""COMPUTED_VALUE"""),"Abril")</f>
        <v>Abril</v>
      </c>
      <c r="C386" s="6" t="str">
        <f>IFERROR(__xludf.DUMMYFUNCTION("""COMPUTED_VALUE"""),"ESTUPRO TENTADO")</f>
        <v>ESTUPRO TENTADO</v>
      </c>
      <c r="D386" s="6">
        <f>IFERROR(__xludf.DUMMYFUNCTION("""COMPUTED_VALUE"""),0.0)</f>
        <v>0</v>
      </c>
      <c r="E386" s="6">
        <f>IFERROR(__xludf.DUMMYFUNCTION("""COMPUTED_VALUE"""),0.0)</f>
        <v>0</v>
      </c>
      <c r="F386" s="6">
        <f>IFERROR(__xludf.DUMMYFUNCTION("""COMPUTED_VALUE"""),2.0)</f>
        <v>2</v>
      </c>
      <c r="G386" s="6">
        <f>IFERROR(__xludf.DUMMYFUNCTION("""COMPUTED_VALUE"""),2.0)</f>
        <v>2</v>
      </c>
    </row>
    <row r="387">
      <c r="A387" s="6">
        <f>IFERROR(__xludf.DUMMYFUNCTION("""COMPUTED_VALUE"""),2014.0)</f>
        <v>2014</v>
      </c>
      <c r="B387" s="6" t="str">
        <f>IFERROR(__xludf.DUMMYFUNCTION("""COMPUTED_VALUE"""),"Abril")</f>
        <v>Abril</v>
      </c>
      <c r="C387" s="6" t="str">
        <f>IFERROR(__xludf.DUMMYFUNCTION("""COMPUTED_VALUE"""),"HOMICÍDIO CULPOSO")</f>
        <v>HOMICÍDIO CULPOSO</v>
      </c>
      <c r="D387" s="6">
        <f>IFERROR(__xludf.DUMMYFUNCTION("""COMPUTED_VALUE"""),0.0)</f>
        <v>0</v>
      </c>
      <c r="E387" s="6">
        <f>IFERROR(__xludf.DUMMYFUNCTION("""COMPUTED_VALUE"""),0.0)</f>
        <v>0</v>
      </c>
      <c r="F387" s="6">
        <f>IFERROR(__xludf.DUMMYFUNCTION("""COMPUTED_VALUE"""),0.0)</f>
        <v>0</v>
      </c>
      <c r="G387" s="6">
        <f>IFERROR(__xludf.DUMMYFUNCTION("""COMPUTED_VALUE"""),0.0)</f>
        <v>0</v>
      </c>
    </row>
    <row r="388">
      <c r="A388" s="6">
        <f>IFERROR(__xludf.DUMMYFUNCTION("""COMPUTED_VALUE"""),2014.0)</f>
        <v>2014</v>
      </c>
      <c r="B388" s="6" t="str">
        <f>IFERROR(__xludf.DUMMYFUNCTION("""COMPUTED_VALUE"""),"Abril")</f>
        <v>Abril</v>
      </c>
      <c r="C388" s="6" t="str">
        <f>IFERROR(__xludf.DUMMYFUNCTION("""COMPUTED_VALUE"""),"HOMICÍDIO DOLOSO (exclui FEMINICÍDIO)")</f>
        <v>HOMICÍDIO DOLOSO (exclui FEMINICÍDIO)</v>
      </c>
      <c r="D388" s="6">
        <f>IFERROR(__xludf.DUMMYFUNCTION("""COMPUTED_VALUE"""),1.0)</f>
        <v>1</v>
      </c>
      <c r="E388" s="6">
        <f>IFERROR(__xludf.DUMMYFUNCTION("""COMPUTED_VALUE"""),1.0)</f>
        <v>1</v>
      </c>
      <c r="F388" s="6">
        <f>IFERROR(__xludf.DUMMYFUNCTION("""COMPUTED_VALUE"""),4.0)</f>
        <v>4</v>
      </c>
      <c r="G388" s="6">
        <f>IFERROR(__xludf.DUMMYFUNCTION("""COMPUTED_VALUE"""),6.0)</f>
        <v>6</v>
      </c>
    </row>
    <row r="389">
      <c r="A389" s="6">
        <f>IFERROR(__xludf.DUMMYFUNCTION("""COMPUTED_VALUE"""),2014.0)</f>
        <v>2014</v>
      </c>
      <c r="B389" s="6" t="str">
        <f>IFERROR(__xludf.DUMMYFUNCTION("""COMPUTED_VALUE"""),"Abril")</f>
        <v>Abril</v>
      </c>
      <c r="C389" s="6" t="str">
        <f>IFERROR(__xludf.DUMMYFUNCTION("""COMPUTED_VALUE"""),"INVASÃO DE DOMICÍLIO")</f>
        <v>INVASÃO DE DOMICÍLIO</v>
      </c>
      <c r="D389" s="6">
        <f>IFERROR(__xludf.DUMMYFUNCTION("""COMPUTED_VALUE"""),2.0)</f>
        <v>2</v>
      </c>
      <c r="E389" s="6">
        <f>IFERROR(__xludf.DUMMYFUNCTION("""COMPUTED_VALUE"""),3.0)</f>
        <v>3</v>
      </c>
      <c r="F389" s="6">
        <f>IFERROR(__xludf.DUMMYFUNCTION("""COMPUTED_VALUE"""),19.0)</f>
        <v>19</v>
      </c>
      <c r="G389" s="6">
        <f>IFERROR(__xludf.DUMMYFUNCTION("""COMPUTED_VALUE"""),24.0)</f>
        <v>24</v>
      </c>
    </row>
    <row r="390">
      <c r="A390" s="6">
        <f>IFERROR(__xludf.DUMMYFUNCTION("""COMPUTED_VALUE"""),2014.0)</f>
        <v>2014</v>
      </c>
      <c r="B390" s="6" t="str">
        <f>IFERROR(__xludf.DUMMYFUNCTION("""COMPUTED_VALUE"""),"Abril")</f>
        <v>Abril</v>
      </c>
      <c r="C390" s="6" t="str">
        <f>IFERROR(__xludf.DUMMYFUNCTION("""COMPUTED_VALUE"""),"LESÃO CORPORAL DOLOSA")</f>
        <v>LESÃO CORPORAL DOLOSA</v>
      </c>
      <c r="D390" s="6">
        <f>IFERROR(__xludf.DUMMYFUNCTION("""COMPUTED_VALUE"""),1043.0)</f>
        <v>1043</v>
      </c>
      <c r="E390" s="6">
        <f>IFERROR(__xludf.DUMMYFUNCTION("""COMPUTED_VALUE"""),831.0)</f>
        <v>831</v>
      </c>
      <c r="F390" s="6">
        <f>IFERROR(__xludf.DUMMYFUNCTION("""COMPUTED_VALUE"""),3225.0)</f>
        <v>3225</v>
      </c>
      <c r="G390" s="6">
        <f>IFERROR(__xludf.DUMMYFUNCTION("""COMPUTED_VALUE"""),5099.0)</f>
        <v>5099</v>
      </c>
    </row>
    <row r="391">
      <c r="A391" s="6">
        <f>IFERROR(__xludf.DUMMYFUNCTION("""COMPUTED_VALUE"""),2014.0)</f>
        <v>2014</v>
      </c>
      <c r="B391" s="6" t="str">
        <f>IFERROR(__xludf.DUMMYFUNCTION("""COMPUTED_VALUE"""),"Abril")</f>
        <v>Abril</v>
      </c>
      <c r="C391" s="6" t="str">
        <f>IFERROR(__xludf.DUMMYFUNCTION("""COMPUTED_VALUE"""),"MAUS TRATOS")</f>
        <v>MAUS TRATOS</v>
      </c>
      <c r="D391" s="6">
        <f>IFERROR(__xludf.DUMMYFUNCTION("""COMPUTED_VALUE"""),3.0)</f>
        <v>3</v>
      </c>
      <c r="E391" s="6">
        <f>IFERROR(__xludf.DUMMYFUNCTION("""COMPUTED_VALUE"""),3.0)</f>
        <v>3</v>
      </c>
      <c r="F391" s="6">
        <f>IFERROR(__xludf.DUMMYFUNCTION("""COMPUTED_VALUE"""),16.0)</f>
        <v>16</v>
      </c>
      <c r="G391" s="6">
        <f>IFERROR(__xludf.DUMMYFUNCTION("""COMPUTED_VALUE"""),22.0)</f>
        <v>22</v>
      </c>
    </row>
    <row r="392">
      <c r="A392" s="6">
        <f>IFERROR(__xludf.DUMMYFUNCTION("""COMPUTED_VALUE"""),2014.0)</f>
        <v>2014</v>
      </c>
      <c r="B392" s="6" t="str">
        <f>IFERROR(__xludf.DUMMYFUNCTION("""COMPUTED_VALUE"""),"Abril")</f>
        <v>Abril</v>
      </c>
      <c r="C392" s="6" t="str">
        <f>IFERROR(__xludf.DUMMYFUNCTION("""COMPUTED_VALUE"""),"OUTROS C/C/ DIGNIDADE SEXUAL")</f>
        <v>OUTROS C/C/ DIGNIDADE SEXUAL</v>
      </c>
      <c r="D392" s="6">
        <f>IFERROR(__xludf.DUMMYFUNCTION("""COMPUTED_VALUE"""),0.0)</f>
        <v>0</v>
      </c>
      <c r="E392" s="6">
        <f>IFERROR(__xludf.DUMMYFUNCTION("""COMPUTED_VALUE"""),3.0)</f>
        <v>3</v>
      </c>
      <c r="F392" s="6">
        <f>IFERROR(__xludf.DUMMYFUNCTION("""COMPUTED_VALUE"""),1.0)</f>
        <v>1</v>
      </c>
      <c r="G392" s="6">
        <f>IFERROR(__xludf.DUMMYFUNCTION("""COMPUTED_VALUE"""),4.0)</f>
        <v>4</v>
      </c>
    </row>
    <row r="393">
      <c r="A393" s="6">
        <f>IFERROR(__xludf.DUMMYFUNCTION("""COMPUTED_VALUE"""),2014.0)</f>
        <v>2014</v>
      </c>
      <c r="B393" s="6" t="str">
        <f>IFERROR(__xludf.DUMMYFUNCTION("""COMPUTED_VALUE"""),"Abril")</f>
        <v>Abril</v>
      </c>
      <c r="C393" s="6" t="str">
        <f>IFERROR(__xludf.DUMMYFUNCTION("""COMPUTED_VALUE"""),"TENTATIVA DE HOMICÍDIO")</f>
        <v>TENTATIVA DE HOMICÍDIO</v>
      </c>
      <c r="D393" s="6">
        <f>IFERROR(__xludf.DUMMYFUNCTION("""COMPUTED_VALUE"""),4.0)</f>
        <v>4</v>
      </c>
      <c r="E393" s="6">
        <f>IFERROR(__xludf.DUMMYFUNCTION("""COMPUTED_VALUE"""),4.0)</f>
        <v>4</v>
      </c>
      <c r="F393" s="6">
        <f>IFERROR(__xludf.DUMMYFUNCTION("""COMPUTED_VALUE"""),9.0)</f>
        <v>9</v>
      </c>
      <c r="G393" s="6">
        <f>IFERROR(__xludf.DUMMYFUNCTION("""COMPUTED_VALUE"""),17.0)</f>
        <v>17</v>
      </c>
    </row>
    <row r="394">
      <c r="A394" s="6">
        <f>IFERROR(__xludf.DUMMYFUNCTION("""COMPUTED_VALUE"""),2014.0)</f>
        <v>2014</v>
      </c>
      <c r="B394" s="6" t="str">
        <f>IFERROR(__xludf.DUMMYFUNCTION("""COMPUTED_VALUE"""),"Fevereiro")</f>
        <v>Fevereiro</v>
      </c>
      <c r="C394" s="6" t="str">
        <f>IFERROR(__xludf.DUMMYFUNCTION("""COMPUTED_VALUE"""),"AMEAÇA")</f>
        <v>AMEAÇA</v>
      </c>
      <c r="D394" s="6">
        <f>IFERROR(__xludf.DUMMYFUNCTION("""COMPUTED_VALUE"""),966.0)</f>
        <v>966</v>
      </c>
      <c r="E394" s="6">
        <f>IFERROR(__xludf.DUMMYFUNCTION("""COMPUTED_VALUE"""),874.0)</f>
        <v>874</v>
      </c>
      <c r="F394" s="6">
        <f>IFERROR(__xludf.DUMMYFUNCTION("""COMPUTED_VALUE"""),3588.0)</f>
        <v>3588</v>
      </c>
      <c r="G394" s="6">
        <f>IFERROR(__xludf.DUMMYFUNCTION("""COMPUTED_VALUE"""),5428.0)</f>
        <v>5428</v>
      </c>
    </row>
    <row r="395">
      <c r="A395" s="6">
        <f>IFERROR(__xludf.DUMMYFUNCTION("""COMPUTED_VALUE"""),2014.0)</f>
        <v>2014</v>
      </c>
      <c r="B395" s="6" t="str">
        <f>IFERROR(__xludf.DUMMYFUNCTION("""COMPUTED_VALUE"""),"Fevereiro")</f>
        <v>Fevereiro</v>
      </c>
      <c r="C395" s="6" t="str">
        <f>IFERROR(__xludf.DUMMYFUNCTION("""COMPUTED_VALUE"""),"CALÚNIA - DIFAMAÇÃO - INJÚRIA")</f>
        <v>CALÚNIA - DIFAMAÇÃO - INJÚRIA</v>
      </c>
      <c r="D395" s="6">
        <f>IFERROR(__xludf.DUMMYFUNCTION("""COMPUTED_VALUE"""),187.0)</f>
        <v>187</v>
      </c>
      <c r="E395" s="6">
        <f>IFERROR(__xludf.DUMMYFUNCTION("""COMPUTED_VALUE"""),159.0)</f>
        <v>159</v>
      </c>
      <c r="F395" s="6">
        <f>IFERROR(__xludf.DUMMYFUNCTION("""COMPUTED_VALUE"""),750.0)</f>
        <v>750</v>
      </c>
      <c r="G395" s="6">
        <f>IFERROR(__xludf.DUMMYFUNCTION("""COMPUTED_VALUE"""),1096.0)</f>
        <v>1096</v>
      </c>
    </row>
    <row r="396">
      <c r="A396" s="6">
        <f>IFERROR(__xludf.DUMMYFUNCTION("""COMPUTED_VALUE"""),2014.0)</f>
        <v>2014</v>
      </c>
      <c r="B396" s="6" t="str">
        <f>IFERROR(__xludf.DUMMYFUNCTION("""COMPUTED_VALUE"""),"Fevereiro")</f>
        <v>Fevereiro</v>
      </c>
      <c r="C396" s="6" t="str">
        <f>IFERROR(__xludf.DUMMYFUNCTION("""COMPUTED_VALUE"""),"CONSTRANGIMENTO ILEGAL")</f>
        <v>CONSTRANGIMENTO ILEGAL</v>
      </c>
      <c r="D396" s="6">
        <f>IFERROR(__xludf.DUMMYFUNCTION("""COMPUTED_VALUE"""),2.0)</f>
        <v>2</v>
      </c>
      <c r="E396" s="6">
        <f>IFERROR(__xludf.DUMMYFUNCTION("""COMPUTED_VALUE"""),1.0)</f>
        <v>1</v>
      </c>
      <c r="F396" s="6">
        <f>IFERROR(__xludf.DUMMYFUNCTION("""COMPUTED_VALUE"""),9.0)</f>
        <v>9</v>
      </c>
      <c r="G396" s="6">
        <f>IFERROR(__xludf.DUMMYFUNCTION("""COMPUTED_VALUE"""),12.0)</f>
        <v>12</v>
      </c>
    </row>
    <row r="397">
      <c r="A397" s="6">
        <f>IFERROR(__xludf.DUMMYFUNCTION("""COMPUTED_VALUE"""),2014.0)</f>
        <v>2014</v>
      </c>
      <c r="B397" s="6" t="str">
        <f>IFERROR(__xludf.DUMMYFUNCTION("""COMPUTED_VALUE"""),"Fevereiro")</f>
        <v>Fevereiro</v>
      </c>
      <c r="C397" s="6" t="str">
        <f>IFERROR(__xludf.DUMMYFUNCTION("""COMPUTED_VALUE"""),"DANO")</f>
        <v>DANO</v>
      </c>
      <c r="D397" s="6">
        <f>IFERROR(__xludf.DUMMYFUNCTION("""COMPUTED_VALUE"""),12.0)</f>
        <v>12</v>
      </c>
      <c r="E397" s="6">
        <f>IFERROR(__xludf.DUMMYFUNCTION("""COMPUTED_VALUE"""),2.0)</f>
        <v>2</v>
      </c>
      <c r="F397" s="6">
        <f>IFERROR(__xludf.DUMMYFUNCTION("""COMPUTED_VALUE"""),53.0)</f>
        <v>53</v>
      </c>
      <c r="G397" s="6">
        <f>IFERROR(__xludf.DUMMYFUNCTION("""COMPUTED_VALUE"""),67.0)</f>
        <v>67</v>
      </c>
    </row>
    <row r="398">
      <c r="A398" s="6">
        <f>IFERROR(__xludf.DUMMYFUNCTION("""COMPUTED_VALUE"""),2014.0)</f>
        <v>2014</v>
      </c>
      <c r="B398" s="6" t="str">
        <f>IFERROR(__xludf.DUMMYFUNCTION("""COMPUTED_VALUE"""),"Fevereiro")</f>
        <v>Fevereiro</v>
      </c>
      <c r="C398" s="6" t="str">
        <f>IFERROR(__xludf.DUMMYFUNCTION("""COMPUTED_VALUE"""),"ESTUPRO CONSUMADO")</f>
        <v>ESTUPRO CONSUMADO</v>
      </c>
      <c r="D398" s="6">
        <f>IFERROR(__xludf.DUMMYFUNCTION("""COMPUTED_VALUE"""),12.0)</f>
        <v>12</v>
      </c>
      <c r="E398" s="6">
        <f>IFERROR(__xludf.DUMMYFUNCTION("""COMPUTED_VALUE"""),11.0)</f>
        <v>11</v>
      </c>
      <c r="F398" s="6">
        <f>IFERROR(__xludf.DUMMYFUNCTION("""COMPUTED_VALUE"""),20.0)</f>
        <v>20</v>
      </c>
      <c r="G398" s="6">
        <f>IFERROR(__xludf.DUMMYFUNCTION("""COMPUTED_VALUE"""),43.0)</f>
        <v>43</v>
      </c>
    </row>
    <row r="399">
      <c r="A399" s="6">
        <f>IFERROR(__xludf.DUMMYFUNCTION("""COMPUTED_VALUE"""),2014.0)</f>
        <v>2014</v>
      </c>
      <c r="B399" s="6" t="str">
        <f>IFERROR(__xludf.DUMMYFUNCTION("""COMPUTED_VALUE"""),"Fevereiro")</f>
        <v>Fevereiro</v>
      </c>
      <c r="C399" s="6" t="str">
        <f>IFERROR(__xludf.DUMMYFUNCTION("""COMPUTED_VALUE"""),"ESTUPRO DE VULNERÁVEL CONSUMADO")</f>
        <v>ESTUPRO DE VULNERÁVEL CONSUMADO</v>
      </c>
      <c r="D399" s="6">
        <f>IFERROR(__xludf.DUMMYFUNCTION("""COMPUTED_VALUE"""),10.0)</f>
        <v>10</v>
      </c>
      <c r="E399" s="6">
        <f>IFERROR(__xludf.DUMMYFUNCTION("""COMPUTED_VALUE"""),7.0)</f>
        <v>7</v>
      </c>
      <c r="F399" s="6">
        <f>IFERROR(__xludf.DUMMYFUNCTION("""COMPUTED_VALUE"""),28.0)</f>
        <v>28</v>
      </c>
      <c r="G399" s="6">
        <f>IFERROR(__xludf.DUMMYFUNCTION("""COMPUTED_VALUE"""),45.0)</f>
        <v>45</v>
      </c>
    </row>
    <row r="400">
      <c r="A400" s="6">
        <f>IFERROR(__xludf.DUMMYFUNCTION("""COMPUTED_VALUE"""),2014.0)</f>
        <v>2014</v>
      </c>
      <c r="B400" s="6" t="str">
        <f>IFERROR(__xludf.DUMMYFUNCTION("""COMPUTED_VALUE"""),"Fevereiro")</f>
        <v>Fevereiro</v>
      </c>
      <c r="C400" s="6" t="str">
        <f>IFERROR(__xludf.DUMMYFUNCTION("""COMPUTED_VALUE"""),"ESTUPRO TENTADO")</f>
        <v>ESTUPRO TENTADO</v>
      </c>
      <c r="D400" s="6">
        <f>IFERROR(__xludf.DUMMYFUNCTION("""COMPUTED_VALUE"""),0.0)</f>
        <v>0</v>
      </c>
      <c r="E400" s="6">
        <f>IFERROR(__xludf.DUMMYFUNCTION("""COMPUTED_VALUE"""),1.0)</f>
        <v>1</v>
      </c>
      <c r="F400" s="6">
        <f>IFERROR(__xludf.DUMMYFUNCTION("""COMPUTED_VALUE"""),2.0)</f>
        <v>2</v>
      </c>
      <c r="G400" s="6">
        <f>IFERROR(__xludf.DUMMYFUNCTION("""COMPUTED_VALUE"""),3.0)</f>
        <v>3</v>
      </c>
    </row>
    <row r="401">
      <c r="A401" s="6">
        <f>IFERROR(__xludf.DUMMYFUNCTION("""COMPUTED_VALUE"""),2014.0)</f>
        <v>2014</v>
      </c>
      <c r="B401" s="6" t="str">
        <f>IFERROR(__xludf.DUMMYFUNCTION("""COMPUTED_VALUE"""),"Fevereiro")</f>
        <v>Fevereiro</v>
      </c>
      <c r="C401" s="6" t="str">
        <f>IFERROR(__xludf.DUMMYFUNCTION("""COMPUTED_VALUE"""),"HOMICÍDIO CULPOSO")</f>
        <v>HOMICÍDIO CULPOSO</v>
      </c>
      <c r="D401" s="6">
        <f>IFERROR(__xludf.DUMMYFUNCTION("""COMPUTED_VALUE"""),0.0)</f>
        <v>0</v>
      </c>
      <c r="E401" s="6">
        <f>IFERROR(__xludf.DUMMYFUNCTION("""COMPUTED_VALUE"""),0.0)</f>
        <v>0</v>
      </c>
      <c r="F401" s="6">
        <f>IFERROR(__xludf.DUMMYFUNCTION("""COMPUTED_VALUE"""),0.0)</f>
        <v>0</v>
      </c>
      <c r="G401" s="6">
        <f>IFERROR(__xludf.DUMMYFUNCTION("""COMPUTED_VALUE"""),0.0)</f>
        <v>0</v>
      </c>
    </row>
    <row r="402">
      <c r="A402" s="6">
        <f>IFERROR(__xludf.DUMMYFUNCTION("""COMPUTED_VALUE"""),2014.0)</f>
        <v>2014</v>
      </c>
      <c r="B402" s="6" t="str">
        <f>IFERROR(__xludf.DUMMYFUNCTION("""COMPUTED_VALUE"""),"Fevereiro")</f>
        <v>Fevereiro</v>
      </c>
      <c r="C402" s="6" t="str">
        <f>IFERROR(__xludf.DUMMYFUNCTION("""COMPUTED_VALUE"""),"HOMICÍDIO DOLOSO (exclui FEMINICÍDIO)")</f>
        <v>HOMICÍDIO DOLOSO (exclui FEMINICÍDIO)</v>
      </c>
      <c r="D402" s="6">
        <f>IFERROR(__xludf.DUMMYFUNCTION("""COMPUTED_VALUE"""),1.0)</f>
        <v>1</v>
      </c>
      <c r="E402" s="6">
        <f>IFERROR(__xludf.DUMMYFUNCTION("""COMPUTED_VALUE"""),1.0)</f>
        <v>1</v>
      </c>
      <c r="F402" s="6">
        <f>IFERROR(__xludf.DUMMYFUNCTION("""COMPUTED_VALUE"""),4.0)</f>
        <v>4</v>
      </c>
      <c r="G402" s="6">
        <f>IFERROR(__xludf.DUMMYFUNCTION("""COMPUTED_VALUE"""),6.0)</f>
        <v>6</v>
      </c>
    </row>
    <row r="403">
      <c r="A403" s="6">
        <f>IFERROR(__xludf.DUMMYFUNCTION("""COMPUTED_VALUE"""),2014.0)</f>
        <v>2014</v>
      </c>
      <c r="B403" s="6" t="str">
        <f>IFERROR(__xludf.DUMMYFUNCTION("""COMPUTED_VALUE"""),"Fevereiro")</f>
        <v>Fevereiro</v>
      </c>
      <c r="C403" s="6" t="str">
        <f>IFERROR(__xludf.DUMMYFUNCTION("""COMPUTED_VALUE"""),"INVASÃO DE DOMICÍLIO")</f>
        <v>INVASÃO DE DOMICÍLIO</v>
      </c>
      <c r="D403" s="6">
        <f>IFERROR(__xludf.DUMMYFUNCTION("""COMPUTED_VALUE"""),1.0)</f>
        <v>1</v>
      </c>
      <c r="E403" s="6">
        <f>IFERROR(__xludf.DUMMYFUNCTION("""COMPUTED_VALUE"""),1.0)</f>
        <v>1</v>
      </c>
      <c r="F403" s="6">
        <f>IFERROR(__xludf.DUMMYFUNCTION("""COMPUTED_VALUE"""),21.0)</f>
        <v>21</v>
      </c>
      <c r="G403" s="6">
        <f>IFERROR(__xludf.DUMMYFUNCTION("""COMPUTED_VALUE"""),23.0)</f>
        <v>23</v>
      </c>
    </row>
    <row r="404">
      <c r="A404" s="6">
        <f>IFERROR(__xludf.DUMMYFUNCTION("""COMPUTED_VALUE"""),2014.0)</f>
        <v>2014</v>
      </c>
      <c r="B404" s="6" t="str">
        <f>IFERROR(__xludf.DUMMYFUNCTION("""COMPUTED_VALUE"""),"Fevereiro")</f>
        <v>Fevereiro</v>
      </c>
      <c r="C404" s="6" t="str">
        <f>IFERROR(__xludf.DUMMYFUNCTION("""COMPUTED_VALUE"""),"LESÃO CORPORAL DOLOSA")</f>
        <v>LESÃO CORPORAL DOLOSA</v>
      </c>
      <c r="D404" s="6">
        <f>IFERROR(__xludf.DUMMYFUNCTION("""COMPUTED_VALUE"""),1095.0)</f>
        <v>1095</v>
      </c>
      <c r="E404" s="6">
        <f>IFERROR(__xludf.DUMMYFUNCTION("""COMPUTED_VALUE"""),908.0)</f>
        <v>908</v>
      </c>
      <c r="F404" s="6">
        <f>IFERROR(__xludf.DUMMYFUNCTION("""COMPUTED_VALUE"""),3735.0)</f>
        <v>3735</v>
      </c>
      <c r="G404" s="6">
        <f>IFERROR(__xludf.DUMMYFUNCTION("""COMPUTED_VALUE"""),5738.0)</f>
        <v>5738</v>
      </c>
    </row>
    <row r="405">
      <c r="A405" s="6">
        <f>IFERROR(__xludf.DUMMYFUNCTION("""COMPUTED_VALUE"""),2014.0)</f>
        <v>2014</v>
      </c>
      <c r="B405" s="6" t="str">
        <f>IFERROR(__xludf.DUMMYFUNCTION("""COMPUTED_VALUE"""),"Fevereiro")</f>
        <v>Fevereiro</v>
      </c>
      <c r="C405" s="6" t="str">
        <f>IFERROR(__xludf.DUMMYFUNCTION("""COMPUTED_VALUE"""),"MAUS TRATOS")</f>
        <v>MAUS TRATOS</v>
      </c>
      <c r="D405" s="6">
        <f>IFERROR(__xludf.DUMMYFUNCTION("""COMPUTED_VALUE"""),3.0)</f>
        <v>3</v>
      </c>
      <c r="E405" s="6">
        <f>IFERROR(__xludf.DUMMYFUNCTION("""COMPUTED_VALUE"""),5.0)</f>
        <v>5</v>
      </c>
      <c r="F405" s="6">
        <f>IFERROR(__xludf.DUMMYFUNCTION("""COMPUTED_VALUE"""),15.0)</f>
        <v>15</v>
      </c>
      <c r="G405" s="6">
        <f>IFERROR(__xludf.DUMMYFUNCTION("""COMPUTED_VALUE"""),23.0)</f>
        <v>23</v>
      </c>
    </row>
    <row r="406">
      <c r="A406" s="6">
        <f>IFERROR(__xludf.DUMMYFUNCTION("""COMPUTED_VALUE"""),2014.0)</f>
        <v>2014</v>
      </c>
      <c r="B406" s="6" t="str">
        <f>IFERROR(__xludf.DUMMYFUNCTION("""COMPUTED_VALUE"""),"Fevereiro")</f>
        <v>Fevereiro</v>
      </c>
      <c r="C406" s="6" t="str">
        <f>IFERROR(__xludf.DUMMYFUNCTION("""COMPUTED_VALUE"""),"OUTROS C/C/ DIGNIDADE SEXUAL")</f>
        <v>OUTROS C/C/ DIGNIDADE SEXUAL</v>
      </c>
      <c r="D406" s="6">
        <f>IFERROR(__xludf.DUMMYFUNCTION("""COMPUTED_VALUE"""),3.0)</f>
        <v>3</v>
      </c>
      <c r="E406" s="6">
        <f>IFERROR(__xludf.DUMMYFUNCTION("""COMPUTED_VALUE"""),1.0)</f>
        <v>1</v>
      </c>
      <c r="F406" s="6">
        <f>IFERROR(__xludf.DUMMYFUNCTION("""COMPUTED_VALUE"""),5.0)</f>
        <v>5</v>
      </c>
      <c r="G406" s="6">
        <f>IFERROR(__xludf.DUMMYFUNCTION("""COMPUTED_VALUE"""),9.0)</f>
        <v>9</v>
      </c>
    </row>
    <row r="407">
      <c r="A407" s="6">
        <f>IFERROR(__xludf.DUMMYFUNCTION("""COMPUTED_VALUE"""),2014.0)</f>
        <v>2014</v>
      </c>
      <c r="B407" s="6" t="str">
        <f>IFERROR(__xludf.DUMMYFUNCTION("""COMPUTED_VALUE"""),"Fevereiro")</f>
        <v>Fevereiro</v>
      </c>
      <c r="C407" s="6" t="str">
        <f>IFERROR(__xludf.DUMMYFUNCTION("""COMPUTED_VALUE"""),"TENTATIVA DE HOMICÍDIO")</f>
        <v>TENTATIVA DE HOMICÍDIO</v>
      </c>
      <c r="D407" s="6">
        <f>IFERROR(__xludf.DUMMYFUNCTION("""COMPUTED_VALUE"""),1.0)</f>
        <v>1</v>
      </c>
      <c r="E407" s="6">
        <f>IFERROR(__xludf.DUMMYFUNCTION("""COMPUTED_VALUE"""),1.0)</f>
        <v>1</v>
      </c>
      <c r="F407" s="6">
        <f>IFERROR(__xludf.DUMMYFUNCTION("""COMPUTED_VALUE"""),14.0)</f>
        <v>14</v>
      </c>
      <c r="G407" s="6">
        <f>IFERROR(__xludf.DUMMYFUNCTION("""COMPUTED_VALUE"""),16.0)</f>
        <v>16</v>
      </c>
    </row>
    <row r="408">
      <c r="A408" s="6">
        <f>IFERROR(__xludf.DUMMYFUNCTION("""COMPUTED_VALUE"""),2014.0)</f>
        <v>2014</v>
      </c>
      <c r="B408" s="6" t="str">
        <f>IFERROR(__xludf.DUMMYFUNCTION("""COMPUTED_VALUE"""),"Janeiro")</f>
        <v>Janeiro</v>
      </c>
      <c r="C408" s="6" t="str">
        <f>IFERROR(__xludf.DUMMYFUNCTION("""COMPUTED_VALUE"""),"AMEAÇA")</f>
        <v>AMEAÇA</v>
      </c>
      <c r="D408" s="6">
        <f>IFERROR(__xludf.DUMMYFUNCTION("""COMPUTED_VALUE"""),954.0)</f>
        <v>954</v>
      </c>
      <c r="E408" s="6">
        <f>IFERROR(__xludf.DUMMYFUNCTION("""COMPUTED_VALUE"""),932.0)</f>
        <v>932</v>
      </c>
      <c r="F408" s="6">
        <f>IFERROR(__xludf.DUMMYFUNCTION("""COMPUTED_VALUE"""),3811.0)</f>
        <v>3811</v>
      </c>
      <c r="G408" s="6">
        <f>IFERROR(__xludf.DUMMYFUNCTION("""COMPUTED_VALUE"""),5697.0)</f>
        <v>5697</v>
      </c>
    </row>
    <row r="409">
      <c r="A409" s="6">
        <f>IFERROR(__xludf.DUMMYFUNCTION("""COMPUTED_VALUE"""),2014.0)</f>
        <v>2014</v>
      </c>
      <c r="B409" s="6" t="str">
        <f>IFERROR(__xludf.DUMMYFUNCTION("""COMPUTED_VALUE"""),"Janeiro")</f>
        <v>Janeiro</v>
      </c>
      <c r="C409" s="6" t="str">
        <f>IFERROR(__xludf.DUMMYFUNCTION("""COMPUTED_VALUE"""),"CALÚNIA - DIFAMAÇÃO - INJÚRIA")</f>
        <v>CALÚNIA - DIFAMAÇÃO - INJÚRIA</v>
      </c>
      <c r="D409" s="6">
        <f>IFERROR(__xludf.DUMMYFUNCTION("""COMPUTED_VALUE"""),175.0)</f>
        <v>175</v>
      </c>
      <c r="E409" s="6">
        <f>IFERROR(__xludf.DUMMYFUNCTION("""COMPUTED_VALUE"""),192.0)</f>
        <v>192</v>
      </c>
      <c r="F409" s="6">
        <f>IFERROR(__xludf.DUMMYFUNCTION("""COMPUTED_VALUE"""),812.0)</f>
        <v>812</v>
      </c>
      <c r="G409" s="6">
        <f>IFERROR(__xludf.DUMMYFUNCTION("""COMPUTED_VALUE"""),1179.0)</f>
        <v>1179</v>
      </c>
    </row>
    <row r="410">
      <c r="A410" s="6">
        <f>IFERROR(__xludf.DUMMYFUNCTION("""COMPUTED_VALUE"""),2014.0)</f>
        <v>2014</v>
      </c>
      <c r="B410" s="6" t="str">
        <f>IFERROR(__xludf.DUMMYFUNCTION("""COMPUTED_VALUE"""),"Janeiro")</f>
        <v>Janeiro</v>
      </c>
      <c r="C410" s="6" t="str">
        <f>IFERROR(__xludf.DUMMYFUNCTION("""COMPUTED_VALUE"""),"CONSTRANGIMENTO ILEGAL")</f>
        <v>CONSTRANGIMENTO ILEGAL</v>
      </c>
      <c r="D410" s="6">
        <f>IFERROR(__xludf.DUMMYFUNCTION("""COMPUTED_VALUE"""),1.0)</f>
        <v>1</v>
      </c>
      <c r="E410" s="6">
        <f>IFERROR(__xludf.DUMMYFUNCTION("""COMPUTED_VALUE"""),2.0)</f>
        <v>2</v>
      </c>
      <c r="F410" s="6">
        <f>IFERROR(__xludf.DUMMYFUNCTION("""COMPUTED_VALUE"""),10.0)</f>
        <v>10</v>
      </c>
      <c r="G410" s="6">
        <f>IFERROR(__xludf.DUMMYFUNCTION("""COMPUTED_VALUE"""),13.0)</f>
        <v>13</v>
      </c>
    </row>
    <row r="411">
      <c r="A411" s="6">
        <f>IFERROR(__xludf.DUMMYFUNCTION("""COMPUTED_VALUE"""),2014.0)</f>
        <v>2014</v>
      </c>
      <c r="B411" s="6" t="str">
        <f>IFERROR(__xludf.DUMMYFUNCTION("""COMPUTED_VALUE"""),"Janeiro")</f>
        <v>Janeiro</v>
      </c>
      <c r="C411" s="6" t="str">
        <f>IFERROR(__xludf.DUMMYFUNCTION("""COMPUTED_VALUE"""),"DANO")</f>
        <v>DANO</v>
      </c>
      <c r="D411" s="6">
        <f>IFERROR(__xludf.DUMMYFUNCTION("""COMPUTED_VALUE"""),11.0)</f>
        <v>11</v>
      </c>
      <c r="E411" s="6">
        <f>IFERROR(__xludf.DUMMYFUNCTION("""COMPUTED_VALUE"""),14.0)</f>
        <v>14</v>
      </c>
      <c r="F411" s="6">
        <f>IFERROR(__xludf.DUMMYFUNCTION("""COMPUTED_VALUE"""),83.0)</f>
        <v>83</v>
      </c>
      <c r="G411" s="6">
        <f>IFERROR(__xludf.DUMMYFUNCTION("""COMPUTED_VALUE"""),108.0)</f>
        <v>108</v>
      </c>
    </row>
    <row r="412">
      <c r="A412" s="6">
        <f>IFERROR(__xludf.DUMMYFUNCTION("""COMPUTED_VALUE"""),2014.0)</f>
        <v>2014</v>
      </c>
      <c r="B412" s="6" t="str">
        <f>IFERROR(__xludf.DUMMYFUNCTION("""COMPUTED_VALUE"""),"Janeiro")</f>
        <v>Janeiro</v>
      </c>
      <c r="C412" s="6" t="str">
        <f>IFERROR(__xludf.DUMMYFUNCTION("""COMPUTED_VALUE"""),"ESTUPRO CONSUMADO")</f>
        <v>ESTUPRO CONSUMADO</v>
      </c>
      <c r="D412" s="6">
        <f>IFERROR(__xludf.DUMMYFUNCTION("""COMPUTED_VALUE"""),14.0)</f>
        <v>14</v>
      </c>
      <c r="E412" s="6">
        <f>IFERROR(__xludf.DUMMYFUNCTION("""COMPUTED_VALUE"""),11.0)</f>
        <v>11</v>
      </c>
      <c r="F412" s="6">
        <f>IFERROR(__xludf.DUMMYFUNCTION("""COMPUTED_VALUE"""),28.0)</f>
        <v>28</v>
      </c>
      <c r="G412" s="6">
        <f>IFERROR(__xludf.DUMMYFUNCTION("""COMPUTED_VALUE"""),53.0)</f>
        <v>53</v>
      </c>
    </row>
    <row r="413">
      <c r="A413" s="6">
        <f>IFERROR(__xludf.DUMMYFUNCTION("""COMPUTED_VALUE"""),2014.0)</f>
        <v>2014</v>
      </c>
      <c r="B413" s="6" t="str">
        <f>IFERROR(__xludf.DUMMYFUNCTION("""COMPUTED_VALUE"""),"Janeiro")</f>
        <v>Janeiro</v>
      </c>
      <c r="C413" s="6" t="str">
        <f>IFERROR(__xludf.DUMMYFUNCTION("""COMPUTED_VALUE"""),"ESTUPRO DE VULNERÁVEL CONSUMADO")</f>
        <v>ESTUPRO DE VULNERÁVEL CONSUMADO</v>
      </c>
      <c r="D413" s="6">
        <f>IFERROR(__xludf.DUMMYFUNCTION("""COMPUTED_VALUE"""),3.0)</f>
        <v>3</v>
      </c>
      <c r="E413" s="6">
        <f>IFERROR(__xludf.DUMMYFUNCTION("""COMPUTED_VALUE"""),6.0)</f>
        <v>6</v>
      </c>
      <c r="F413" s="6">
        <f>IFERROR(__xludf.DUMMYFUNCTION("""COMPUTED_VALUE"""),15.0)</f>
        <v>15</v>
      </c>
      <c r="G413" s="6">
        <f>IFERROR(__xludf.DUMMYFUNCTION("""COMPUTED_VALUE"""),24.0)</f>
        <v>24</v>
      </c>
    </row>
    <row r="414">
      <c r="A414" s="6">
        <f>IFERROR(__xludf.DUMMYFUNCTION("""COMPUTED_VALUE"""),2014.0)</f>
        <v>2014</v>
      </c>
      <c r="B414" s="6" t="str">
        <f>IFERROR(__xludf.DUMMYFUNCTION("""COMPUTED_VALUE"""),"Janeiro")</f>
        <v>Janeiro</v>
      </c>
      <c r="C414" s="6" t="str">
        <f>IFERROR(__xludf.DUMMYFUNCTION("""COMPUTED_VALUE"""),"ESTUPRO TENTADO")</f>
        <v>ESTUPRO TENTADO</v>
      </c>
      <c r="D414" s="6">
        <f>IFERROR(__xludf.DUMMYFUNCTION("""COMPUTED_VALUE"""),1.0)</f>
        <v>1</v>
      </c>
      <c r="E414" s="6">
        <f>IFERROR(__xludf.DUMMYFUNCTION("""COMPUTED_VALUE"""),0.0)</f>
        <v>0</v>
      </c>
      <c r="F414" s="6">
        <f>IFERROR(__xludf.DUMMYFUNCTION("""COMPUTED_VALUE"""),3.0)</f>
        <v>3</v>
      </c>
      <c r="G414" s="6">
        <f>IFERROR(__xludf.DUMMYFUNCTION("""COMPUTED_VALUE"""),4.0)</f>
        <v>4</v>
      </c>
    </row>
    <row r="415">
      <c r="A415" s="6">
        <f>IFERROR(__xludf.DUMMYFUNCTION("""COMPUTED_VALUE"""),2014.0)</f>
        <v>2014</v>
      </c>
      <c r="B415" s="6" t="str">
        <f>IFERROR(__xludf.DUMMYFUNCTION("""COMPUTED_VALUE"""),"Janeiro")</f>
        <v>Janeiro</v>
      </c>
      <c r="C415" s="6" t="str">
        <f>IFERROR(__xludf.DUMMYFUNCTION("""COMPUTED_VALUE"""),"HOMICÍDIO CULPOSO")</f>
        <v>HOMICÍDIO CULPOSO</v>
      </c>
      <c r="D415" s="6">
        <f>IFERROR(__xludf.DUMMYFUNCTION("""COMPUTED_VALUE"""),0.0)</f>
        <v>0</v>
      </c>
      <c r="E415" s="6">
        <f>IFERROR(__xludf.DUMMYFUNCTION("""COMPUTED_VALUE"""),0.0)</f>
        <v>0</v>
      </c>
      <c r="F415" s="6">
        <f>IFERROR(__xludf.DUMMYFUNCTION("""COMPUTED_VALUE"""),0.0)</f>
        <v>0</v>
      </c>
      <c r="G415" s="6">
        <f>IFERROR(__xludf.DUMMYFUNCTION("""COMPUTED_VALUE"""),0.0)</f>
        <v>0</v>
      </c>
    </row>
    <row r="416">
      <c r="A416" s="6">
        <f>IFERROR(__xludf.DUMMYFUNCTION("""COMPUTED_VALUE"""),2014.0)</f>
        <v>2014</v>
      </c>
      <c r="B416" s="6" t="str">
        <f>IFERROR(__xludf.DUMMYFUNCTION("""COMPUTED_VALUE"""),"Janeiro")</f>
        <v>Janeiro</v>
      </c>
      <c r="C416" s="6" t="str">
        <f>IFERROR(__xludf.DUMMYFUNCTION("""COMPUTED_VALUE"""),"HOMICÍDIO DOLOSO (exclui FEMINICÍDIO)")</f>
        <v>HOMICÍDIO DOLOSO (exclui FEMINICÍDIO)</v>
      </c>
      <c r="D416" s="6">
        <f>IFERROR(__xludf.DUMMYFUNCTION("""COMPUTED_VALUE"""),2.0)</f>
        <v>2</v>
      </c>
      <c r="E416" s="6">
        <f>IFERROR(__xludf.DUMMYFUNCTION("""COMPUTED_VALUE"""),2.0)</f>
        <v>2</v>
      </c>
      <c r="F416" s="6">
        <f>IFERROR(__xludf.DUMMYFUNCTION("""COMPUTED_VALUE"""),3.0)</f>
        <v>3</v>
      </c>
      <c r="G416" s="6">
        <f>IFERROR(__xludf.DUMMYFUNCTION("""COMPUTED_VALUE"""),7.0)</f>
        <v>7</v>
      </c>
    </row>
    <row r="417">
      <c r="A417" s="6">
        <f>IFERROR(__xludf.DUMMYFUNCTION("""COMPUTED_VALUE"""),2014.0)</f>
        <v>2014</v>
      </c>
      <c r="B417" s="6" t="str">
        <f>IFERROR(__xludf.DUMMYFUNCTION("""COMPUTED_VALUE"""),"Janeiro")</f>
        <v>Janeiro</v>
      </c>
      <c r="C417" s="6" t="str">
        <f>IFERROR(__xludf.DUMMYFUNCTION("""COMPUTED_VALUE"""),"INVASÃO DE DOMICÍLIO")</f>
        <v>INVASÃO DE DOMICÍLIO</v>
      </c>
      <c r="D417" s="6">
        <f>IFERROR(__xludf.DUMMYFUNCTION("""COMPUTED_VALUE"""),2.0)</f>
        <v>2</v>
      </c>
      <c r="E417" s="6">
        <f>IFERROR(__xludf.DUMMYFUNCTION("""COMPUTED_VALUE"""),5.0)</f>
        <v>5</v>
      </c>
      <c r="F417" s="6">
        <f>IFERROR(__xludf.DUMMYFUNCTION("""COMPUTED_VALUE"""),22.0)</f>
        <v>22</v>
      </c>
      <c r="G417" s="6">
        <f>IFERROR(__xludf.DUMMYFUNCTION("""COMPUTED_VALUE"""),29.0)</f>
        <v>29</v>
      </c>
    </row>
    <row r="418">
      <c r="A418" s="6">
        <f>IFERROR(__xludf.DUMMYFUNCTION("""COMPUTED_VALUE"""),2014.0)</f>
        <v>2014</v>
      </c>
      <c r="B418" s="6" t="str">
        <f>IFERROR(__xludf.DUMMYFUNCTION("""COMPUTED_VALUE"""),"Janeiro")</f>
        <v>Janeiro</v>
      </c>
      <c r="C418" s="6" t="str">
        <f>IFERROR(__xludf.DUMMYFUNCTION("""COMPUTED_VALUE"""),"LESÃO CORPORAL DOLOSA")</f>
        <v>LESÃO CORPORAL DOLOSA</v>
      </c>
      <c r="D418" s="6">
        <f>IFERROR(__xludf.DUMMYFUNCTION("""COMPUTED_VALUE"""),1121.0)</f>
        <v>1121</v>
      </c>
      <c r="E418" s="6">
        <f>IFERROR(__xludf.DUMMYFUNCTION("""COMPUTED_VALUE"""),984.0)</f>
        <v>984</v>
      </c>
      <c r="F418" s="6">
        <f>IFERROR(__xludf.DUMMYFUNCTION("""COMPUTED_VALUE"""),3855.0)</f>
        <v>3855</v>
      </c>
      <c r="G418" s="6">
        <f>IFERROR(__xludf.DUMMYFUNCTION("""COMPUTED_VALUE"""),5960.0)</f>
        <v>5960</v>
      </c>
    </row>
    <row r="419">
      <c r="A419" s="6">
        <f>IFERROR(__xludf.DUMMYFUNCTION("""COMPUTED_VALUE"""),2014.0)</f>
        <v>2014</v>
      </c>
      <c r="B419" s="6" t="str">
        <f>IFERROR(__xludf.DUMMYFUNCTION("""COMPUTED_VALUE"""),"Janeiro")</f>
        <v>Janeiro</v>
      </c>
      <c r="C419" s="6" t="str">
        <f>IFERROR(__xludf.DUMMYFUNCTION("""COMPUTED_VALUE"""),"MAUS TRATOS")</f>
        <v>MAUS TRATOS</v>
      </c>
      <c r="D419" s="6">
        <f>IFERROR(__xludf.DUMMYFUNCTION("""COMPUTED_VALUE"""),4.0)</f>
        <v>4</v>
      </c>
      <c r="E419" s="6">
        <f>IFERROR(__xludf.DUMMYFUNCTION("""COMPUTED_VALUE"""),3.0)</f>
        <v>3</v>
      </c>
      <c r="F419" s="6">
        <f>IFERROR(__xludf.DUMMYFUNCTION("""COMPUTED_VALUE"""),19.0)</f>
        <v>19</v>
      </c>
      <c r="G419" s="6">
        <f>IFERROR(__xludf.DUMMYFUNCTION("""COMPUTED_VALUE"""),26.0)</f>
        <v>26</v>
      </c>
    </row>
    <row r="420">
      <c r="A420" s="6">
        <f>IFERROR(__xludf.DUMMYFUNCTION("""COMPUTED_VALUE"""),2014.0)</f>
        <v>2014</v>
      </c>
      <c r="B420" s="6" t="str">
        <f>IFERROR(__xludf.DUMMYFUNCTION("""COMPUTED_VALUE"""),"Janeiro")</f>
        <v>Janeiro</v>
      </c>
      <c r="C420" s="6" t="str">
        <f>IFERROR(__xludf.DUMMYFUNCTION("""COMPUTED_VALUE"""),"OUTROS C/C/ DIGNIDADE SEXUAL")</f>
        <v>OUTROS C/C/ DIGNIDADE SEXUAL</v>
      </c>
      <c r="D420" s="6">
        <f>IFERROR(__xludf.DUMMYFUNCTION("""COMPUTED_VALUE"""),0.0)</f>
        <v>0</v>
      </c>
      <c r="E420" s="6">
        <f>IFERROR(__xludf.DUMMYFUNCTION("""COMPUTED_VALUE"""),2.0)</f>
        <v>2</v>
      </c>
      <c r="F420" s="6">
        <f>IFERROR(__xludf.DUMMYFUNCTION("""COMPUTED_VALUE"""),4.0)</f>
        <v>4</v>
      </c>
      <c r="G420" s="6">
        <f>IFERROR(__xludf.DUMMYFUNCTION("""COMPUTED_VALUE"""),6.0)</f>
        <v>6</v>
      </c>
    </row>
    <row r="421">
      <c r="A421" s="6">
        <f>IFERROR(__xludf.DUMMYFUNCTION("""COMPUTED_VALUE"""),2014.0)</f>
        <v>2014</v>
      </c>
      <c r="B421" s="6" t="str">
        <f>IFERROR(__xludf.DUMMYFUNCTION("""COMPUTED_VALUE"""),"Janeiro")</f>
        <v>Janeiro</v>
      </c>
      <c r="C421" s="6" t="str">
        <f>IFERROR(__xludf.DUMMYFUNCTION("""COMPUTED_VALUE"""),"TENTATIVA DE HOMICÍDIO")</f>
        <v>TENTATIVA DE HOMICÍDIO</v>
      </c>
      <c r="D421" s="6">
        <f>IFERROR(__xludf.DUMMYFUNCTION("""COMPUTED_VALUE"""),1.0)</f>
        <v>1</v>
      </c>
      <c r="E421" s="6">
        <f>IFERROR(__xludf.DUMMYFUNCTION("""COMPUTED_VALUE"""),3.0)</f>
        <v>3</v>
      </c>
      <c r="F421" s="6">
        <f>IFERROR(__xludf.DUMMYFUNCTION("""COMPUTED_VALUE"""),11.0)</f>
        <v>11</v>
      </c>
      <c r="G421" s="6">
        <f>IFERROR(__xludf.DUMMYFUNCTION("""COMPUTED_VALUE"""),15.0)</f>
        <v>15</v>
      </c>
    </row>
    <row r="422">
      <c r="A422" s="6">
        <f>IFERROR(__xludf.DUMMYFUNCTION("""COMPUTED_VALUE"""),2014.0)</f>
        <v>2014</v>
      </c>
      <c r="B422" s="6" t="str">
        <f>IFERROR(__xludf.DUMMYFUNCTION("""COMPUTED_VALUE"""),"Junho")</f>
        <v>Junho</v>
      </c>
      <c r="C422" s="6" t="str">
        <f>IFERROR(__xludf.DUMMYFUNCTION("""COMPUTED_VALUE"""),"AMEAÇA")</f>
        <v>AMEAÇA</v>
      </c>
      <c r="D422" s="6">
        <f>IFERROR(__xludf.DUMMYFUNCTION("""COMPUTED_VALUE"""),789.0)</f>
        <v>789</v>
      </c>
      <c r="E422" s="6">
        <f>IFERROR(__xludf.DUMMYFUNCTION("""COMPUTED_VALUE"""),714.0)</f>
        <v>714</v>
      </c>
      <c r="F422" s="6">
        <f>IFERROR(__xludf.DUMMYFUNCTION("""COMPUTED_VALUE"""),2734.0)</f>
        <v>2734</v>
      </c>
      <c r="G422" s="6">
        <f>IFERROR(__xludf.DUMMYFUNCTION("""COMPUTED_VALUE"""),4237.0)</f>
        <v>4237</v>
      </c>
    </row>
    <row r="423">
      <c r="A423" s="6">
        <f>IFERROR(__xludf.DUMMYFUNCTION("""COMPUTED_VALUE"""),2014.0)</f>
        <v>2014</v>
      </c>
      <c r="B423" s="6" t="str">
        <f>IFERROR(__xludf.DUMMYFUNCTION("""COMPUTED_VALUE"""),"Junho")</f>
        <v>Junho</v>
      </c>
      <c r="C423" s="6" t="str">
        <f>IFERROR(__xludf.DUMMYFUNCTION("""COMPUTED_VALUE"""),"CALÚNIA - DIFAMAÇÃO - INJÚRIA")</f>
        <v>CALÚNIA - DIFAMAÇÃO - INJÚRIA</v>
      </c>
      <c r="D423" s="6">
        <f>IFERROR(__xludf.DUMMYFUNCTION("""COMPUTED_VALUE"""),187.0)</f>
        <v>187</v>
      </c>
      <c r="E423" s="6">
        <f>IFERROR(__xludf.DUMMYFUNCTION("""COMPUTED_VALUE"""),145.0)</f>
        <v>145</v>
      </c>
      <c r="F423" s="6">
        <f>IFERROR(__xludf.DUMMYFUNCTION("""COMPUTED_VALUE"""),639.0)</f>
        <v>639</v>
      </c>
      <c r="G423" s="6">
        <f>IFERROR(__xludf.DUMMYFUNCTION("""COMPUTED_VALUE"""),971.0)</f>
        <v>971</v>
      </c>
    </row>
    <row r="424">
      <c r="A424" s="6">
        <f>IFERROR(__xludf.DUMMYFUNCTION("""COMPUTED_VALUE"""),2014.0)</f>
        <v>2014</v>
      </c>
      <c r="B424" s="6" t="str">
        <f>IFERROR(__xludf.DUMMYFUNCTION("""COMPUTED_VALUE"""),"Junho")</f>
        <v>Junho</v>
      </c>
      <c r="C424" s="6" t="str">
        <f>IFERROR(__xludf.DUMMYFUNCTION("""COMPUTED_VALUE"""),"CONSTRANGIMENTO ILEGAL")</f>
        <v>CONSTRANGIMENTO ILEGAL</v>
      </c>
      <c r="D424" s="6">
        <f>IFERROR(__xludf.DUMMYFUNCTION("""COMPUTED_VALUE"""),1.0)</f>
        <v>1</v>
      </c>
      <c r="E424" s="6">
        <f>IFERROR(__xludf.DUMMYFUNCTION("""COMPUTED_VALUE"""),1.0)</f>
        <v>1</v>
      </c>
      <c r="F424" s="6">
        <f>IFERROR(__xludf.DUMMYFUNCTION("""COMPUTED_VALUE"""),3.0)</f>
        <v>3</v>
      </c>
      <c r="G424" s="6">
        <f>IFERROR(__xludf.DUMMYFUNCTION("""COMPUTED_VALUE"""),5.0)</f>
        <v>5</v>
      </c>
    </row>
    <row r="425">
      <c r="A425" s="6">
        <f>IFERROR(__xludf.DUMMYFUNCTION("""COMPUTED_VALUE"""),2014.0)</f>
        <v>2014</v>
      </c>
      <c r="B425" s="6" t="str">
        <f>IFERROR(__xludf.DUMMYFUNCTION("""COMPUTED_VALUE"""),"Junho")</f>
        <v>Junho</v>
      </c>
      <c r="C425" s="6" t="str">
        <f>IFERROR(__xludf.DUMMYFUNCTION("""COMPUTED_VALUE"""),"DANO")</f>
        <v>DANO</v>
      </c>
      <c r="D425" s="6">
        <f>IFERROR(__xludf.DUMMYFUNCTION("""COMPUTED_VALUE"""),10.0)</f>
        <v>10</v>
      </c>
      <c r="E425" s="6">
        <f>IFERROR(__xludf.DUMMYFUNCTION("""COMPUTED_VALUE"""),6.0)</f>
        <v>6</v>
      </c>
      <c r="F425" s="6">
        <f>IFERROR(__xludf.DUMMYFUNCTION("""COMPUTED_VALUE"""),55.0)</f>
        <v>55</v>
      </c>
      <c r="G425" s="6">
        <f>IFERROR(__xludf.DUMMYFUNCTION("""COMPUTED_VALUE"""),71.0)</f>
        <v>71</v>
      </c>
    </row>
    <row r="426">
      <c r="A426" s="6">
        <f>IFERROR(__xludf.DUMMYFUNCTION("""COMPUTED_VALUE"""),2014.0)</f>
        <v>2014</v>
      </c>
      <c r="B426" s="6" t="str">
        <f>IFERROR(__xludf.DUMMYFUNCTION("""COMPUTED_VALUE"""),"Junho")</f>
        <v>Junho</v>
      </c>
      <c r="C426" s="6" t="str">
        <f>IFERROR(__xludf.DUMMYFUNCTION("""COMPUTED_VALUE"""),"ESTUPRO CONSUMADO")</f>
        <v>ESTUPRO CONSUMADO</v>
      </c>
      <c r="D426" s="6">
        <f>IFERROR(__xludf.DUMMYFUNCTION("""COMPUTED_VALUE"""),9.0)</f>
        <v>9</v>
      </c>
      <c r="E426" s="6">
        <f>IFERROR(__xludf.DUMMYFUNCTION("""COMPUTED_VALUE"""),5.0)</f>
        <v>5</v>
      </c>
      <c r="F426" s="6">
        <f>IFERROR(__xludf.DUMMYFUNCTION("""COMPUTED_VALUE"""),15.0)</f>
        <v>15</v>
      </c>
      <c r="G426" s="6">
        <f>IFERROR(__xludf.DUMMYFUNCTION("""COMPUTED_VALUE"""),29.0)</f>
        <v>29</v>
      </c>
    </row>
    <row r="427">
      <c r="A427" s="6">
        <f>IFERROR(__xludf.DUMMYFUNCTION("""COMPUTED_VALUE"""),2014.0)</f>
        <v>2014</v>
      </c>
      <c r="B427" s="6" t="str">
        <f>IFERROR(__xludf.DUMMYFUNCTION("""COMPUTED_VALUE"""),"Junho")</f>
        <v>Junho</v>
      </c>
      <c r="C427" s="6" t="str">
        <f>IFERROR(__xludf.DUMMYFUNCTION("""COMPUTED_VALUE"""),"ESTUPRO DE VULNERÁVEL CONSUMADO")</f>
        <v>ESTUPRO DE VULNERÁVEL CONSUMADO</v>
      </c>
      <c r="D427" s="6">
        <f>IFERROR(__xludf.DUMMYFUNCTION("""COMPUTED_VALUE"""),2.0)</f>
        <v>2</v>
      </c>
      <c r="E427" s="6">
        <f>IFERROR(__xludf.DUMMYFUNCTION("""COMPUTED_VALUE"""),5.0)</f>
        <v>5</v>
      </c>
      <c r="F427" s="6">
        <f>IFERROR(__xludf.DUMMYFUNCTION("""COMPUTED_VALUE"""),18.0)</f>
        <v>18</v>
      </c>
      <c r="G427" s="6">
        <f>IFERROR(__xludf.DUMMYFUNCTION("""COMPUTED_VALUE"""),25.0)</f>
        <v>25</v>
      </c>
    </row>
    <row r="428">
      <c r="A428" s="6">
        <f>IFERROR(__xludf.DUMMYFUNCTION("""COMPUTED_VALUE"""),2014.0)</f>
        <v>2014</v>
      </c>
      <c r="B428" s="6" t="str">
        <f>IFERROR(__xludf.DUMMYFUNCTION("""COMPUTED_VALUE"""),"Junho")</f>
        <v>Junho</v>
      </c>
      <c r="C428" s="6" t="str">
        <f>IFERROR(__xludf.DUMMYFUNCTION("""COMPUTED_VALUE"""),"ESTUPRO TENTADO")</f>
        <v>ESTUPRO TENTADO</v>
      </c>
      <c r="D428" s="6">
        <f>IFERROR(__xludf.DUMMYFUNCTION("""COMPUTED_VALUE"""),1.0)</f>
        <v>1</v>
      </c>
      <c r="E428" s="6">
        <f>IFERROR(__xludf.DUMMYFUNCTION("""COMPUTED_VALUE"""),0.0)</f>
        <v>0</v>
      </c>
      <c r="F428" s="6">
        <f>IFERROR(__xludf.DUMMYFUNCTION("""COMPUTED_VALUE"""),2.0)</f>
        <v>2</v>
      </c>
      <c r="G428" s="6">
        <f>IFERROR(__xludf.DUMMYFUNCTION("""COMPUTED_VALUE"""),3.0)</f>
        <v>3</v>
      </c>
    </row>
    <row r="429">
      <c r="A429" s="6">
        <f>IFERROR(__xludf.DUMMYFUNCTION("""COMPUTED_VALUE"""),2014.0)</f>
        <v>2014</v>
      </c>
      <c r="B429" s="6" t="str">
        <f>IFERROR(__xludf.DUMMYFUNCTION("""COMPUTED_VALUE"""),"Junho")</f>
        <v>Junho</v>
      </c>
      <c r="C429" s="6" t="str">
        <f>IFERROR(__xludf.DUMMYFUNCTION("""COMPUTED_VALUE"""),"HOMICÍDIO CULPOSO")</f>
        <v>HOMICÍDIO CULPOSO</v>
      </c>
      <c r="D429" s="6">
        <f>IFERROR(__xludf.DUMMYFUNCTION("""COMPUTED_VALUE"""),0.0)</f>
        <v>0</v>
      </c>
      <c r="E429" s="6">
        <f>IFERROR(__xludf.DUMMYFUNCTION("""COMPUTED_VALUE"""),0.0)</f>
        <v>0</v>
      </c>
      <c r="F429" s="6">
        <f>IFERROR(__xludf.DUMMYFUNCTION("""COMPUTED_VALUE"""),0.0)</f>
        <v>0</v>
      </c>
      <c r="G429" s="6">
        <f>IFERROR(__xludf.DUMMYFUNCTION("""COMPUTED_VALUE"""),0.0)</f>
        <v>0</v>
      </c>
    </row>
    <row r="430">
      <c r="A430" s="6">
        <f>IFERROR(__xludf.DUMMYFUNCTION("""COMPUTED_VALUE"""),2014.0)</f>
        <v>2014</v>
      </c>
      <c r="B430" s="6" t="str">
        <f>IFERROR(__xludf.DUMMYFUNCTION("""COMPUTED_VALUE"""),"Junho")</f>
        <v>Junho</v>
      </c>
      <c r="C430" s="6" t="str">
        <f>IFERROR(__xludf.DUMMYFUNCTION("""COMPUTED_VALUE"""),"HOMICÍDIO DOLOSO (exclui FEMINICÍDIO)")</f>
        <v>HOMICÍDIO DOLOSO (exclui FEMINICÍDIO)</v>
      </c>
      <c r="D430" s="6">
        <f>IFERROR(__xludf.DUMMYFUNCTION("""COMPUTED_VALUE"""),2.0)</f>
        <v>2</v>
      </c>
      <c r="E430" s="6">
        <f>IFERROR(__xludf.DUMMYFUNCTION("""COMPUTED_VALUE"""),0.0)</f>
        <v>0</v>
      </c>
      <c r="F430" s="6">
        <f>IFERROR(__xludf.DUMMYFUNCTION("""COMPUTED_VALUE"""),3.0)</f>
        <v>3</v>
      </c>
      <c r="G430" s="6">
        <f>IFERROR(__xludf.DUMMYFUNCTION("""COMPUTED_VALUE"""),5.0)</f>
        <v>5</v>
      </c>
    </row>
    <row r="431">
      <c r="A431" s="6">
        <f>IFERROR(__xludf.DUMMYFUNCTION("""COMPUTED_VALUE"""),2014.0)</f>
        <v>2014</v>
      </c>
      <c r="B431" s="6" t="str">
        <f>IFERROR(__xludf.DUMMYFUNCTION("""COMPUTED_VALUE"""),"Junho")</f>
        <v>Junho</v>
      </c>
      <c r="C431" s="6" t="str">
        <f>IFERROR(__xludf.DUMMYFUNCTION("""COMPUTED_VALUE"""),"INVASÃO DE DOMICÍLIO")</f>
        <v>INVASÃO DE DOMICÍLIO</v>
      </c>
      <c r="D431" s="6">
        <f>IFERROR(__xludf.DUMMYFUNCTION("""COMPUTED_VALUE"""),2.0)</f>
        <v>2</v>
      </c>
      <c r="E431" s="6">
        <f>IFERROR(__xludf.DUMMYFUNCTION("""COMPUTED_VALUE"""),0.0)</f>
        <v>0</v>
      </c>
      <c r="F431" s="6">
        <f>IFERROR(__xludf.DUMMYFUNCTION("""COMPUTED_VALUE"""),22.0)</f>
        <v>22</v>
      </c>
      <c r="G431" s="6">
        <f>IFERROR(__xludf.DUMMYFUNCTION("""COMPUTED_VALUE"""),24.0)</f>
        <v>24</v>
      </c>
    </row>
    <row r="432">
      <c r="A432" s="6">
        <f>IFERROR(__xludf.DUMMYFUNCTION("""COMPUTED_VALUE"""),2014.0)</f>
        <v>2014</v>
      </c>
      <c r="B432" s="6" t="str">
        <f>IFERROR(__xludf.DUMMYFUNCTION("""COMPUTED_VALUE"""),"Junho")</f>
        <v>Junho</v>
      </c>
      <c r="C432" s="6" t="str">
        <f>IFERROR(__xludf.DUMMYFUNCTION("""COMPUTED_VALUE"""),"LESÃO CORPORAL DOLOSA")</f>
        <v>LESÃO CORPORAL DOLOSA</v>
      </c>
      <c r="D432" s="6">
        <f>IFERROR(__xludf.DUMMYFUNCTION("""COMPUTED_VALUE"""),891.0)</f>
        <v>891</v>
      </c>
      <c r="E432" s="6">
        <f>IFERROR(__xludf.DUMMYFUNCTION("""COMPUTED_VALUE"""),718.0)</f>
        <v>718</v>
      </c>
      <c r="F432" s="6">
        <f>IFERROR(__xludf.DUMMYFUNCTION("""COMPUTED_VALUE"""),2886.0)</f>
        <v>2886</v>
      </c>
      <c r="G432" s="6">
        <f>IFERROR(__xludf.DUMMYFUNCTION("""COMPUTED_VALUE"""),4495.0)</f>
        <v>4495</v>
      </c>
    </row>
    <row r="433">
      <c r="A433" s="6">
        <f>IFERROR(__xludf.DUMMYFUNCTION("""COMPUTED_VALUE"""),2014.0)</f>
        <v>2014</v>
      </c>
      <c r="B433" s="6" t="str">
        <f>IFERROR(__xludf.DUMMYFUNCTION("""COMPUTED_VALUE"""),"Junho")</f>
        <v>Junho</v>
      </c>
      <c r="C433" s="6" t="str">
        <f>IFERROR(__xludf.DUMMYFUNCTION("""COMPUTED_VALUE"""),"MAUS TRATOS")</f>
        <v>MAUS TRATOS</v>
      </c>
      <c r="D433" s="6">
        <f>IFERROR(__xludf.DUMMYFUNCTION("""COMPUTED_VALUE"""),2.0)</f>
        <v>2</v>
      </c>
      <c r="E433" s="6">
        <f>IFERROR(__xludf.DUMMYFUNCTION("""COMPUTED_VALUE"""),3.0)</f>
        <v>3</v>
      </c>
      <c r="F433" s="6">
        <f>IFERROR(__xludf.DUMMYFUNCTION("""COMPUTED_VALUE"""),14.0)</f>
        <v>14</v>
      </c>
      <c r="G433" s="6">
        <f>IFERROR(__xludf.DUMMYFUNCTION("""COMPUTED_VALUE"""),19.0)</f>
        <v>19</v>
      </c>
    </row>
    <row r="434">
      <c r="A434" s="6">
        <f>IFERROR(__xludf.DUMMYFUNCTION("""COMPUTED_VALUE"""),2014.0)</f>
        <v>2014</v>
      </c>
      <c r="B434" s="6" t="str">
        <f>IFERROR(__xludf.DUMMYFUNCTION("""COMPUTED_VALUE"""),"Junho")</f>
        <v>Junho</v>
      </c>
      <c r="C434" s="6" t="str">
        <f>IFERROR(__xludf.DUMMYFUNCTION("""COMPUTED_VALUE"""),"OUTROS C/C/ DIGNIDADE SEXUAL")</f>
        <v>OUTROS C/C/ DIGNIDADE SEXUAL</v>
      </c>
      <c r="D434" s="6">
        <f>IFERROR(__xludf.DUMMYFUNCTION("""COMPUTED_VALUE"""),1.0)</f>
        <v>1</v>
      </c>
      <c r="E434" s="6">
        <f>IFERROR(__xludf.DUMMYFUNCTION("""COMPUTED_VALUE"""),0.0)</f>
        <v>0</v>
      </c>
      <c r="F434" s="6">
        <f>IFERROR(__xludf.DUMMYFUNCTION("""COMPUTED_VALUE"""),0.0)</f>
        <v>0</v>
      </c>
      <c r="G434" s="6">
        <f>IFERROR(__xludf.DUMMYFUNCTION("""COMPUTED_VALUE"""),1.0)</f>
        <v>1</v>
      </c>
    </row>
    <row r="435">
      <c r="A435" s="6">
        <f>IFERROR(__xludf.DUMMYFUNCTION("""COMPUTED_VALUE"""),2014.0)</f>
        <v>2014</v>
      </c>
      <c r="B435" s="6" t="str">
        <f>IFERROR(__xludf.DUMMYFUNCTION("""COMPUTED_VALUE"""),"Junho")</f>
        <v>Junho</v>
      </c>
      <c r="C435" s="6" t="str">
        <f>IFERROR(__xludf.DUMMYFUNCTION("""COMPUTED_VALUE"""),"TENTATIVA DE HOMICÍDIO")</f>
        <v>TENTATIVA DE HOMICÍDIO</v>
      </c>
      <c r="D435" s="6">
        <f>IFERROR(__xludf.DUMMYFUNCTION("""COMPUTED_VALUE"""),1.0)</f>
        <v>1</v>
      </c>
      <c r="E435" s="6">
        <f>IFERROR(__xludf.DUMMYFUNCTION("""COMPUTED_VALUE"""),1.0)</f>
        <v>1</v>
      </c>
      <c r="F435" s="6">
        <f>IFERROR(__xludf.DUMMYFUNCTION("""COMPUTED_VALUE"""),11.0)</f>
        <v>11</v>
      </c>
      <c r="G435" s="6">
        <f>IFERROR(__xludf.DUMMYFUNCTION("""COMPUTED_VALUE"""),13.0)</f>
        <v>13</v>
      </c>
    </row>
    <row r="436">
      <c r="A436" s="6">
        <f>IFERROR(__xludf.DUMMYFUNCTION("""COMPUTED_VALUE"""),2014.0)</f>
        <v>2014</v>
      </c>
      <c r="B436" s="6" t="str">
        <f>IFERROR(__xludf.DUMMYFUNCTION("""COMPUTED_VALUE"""),"Maio")</f>
        <v>Maio</v>
      </c>
      <c r="C436" s="6" t="str">
        <f>IFERROR(__xludf.DUMMYFUNCTION("""COMPUTED_VALUE"""),"AMEAÇA")</f>
        <v>AMEAÇA</v>
      </c>
      <c r="D436" s="6">
        <f>IFERROR(__xludf.DUMMYFUNCTION("""COMPUTED_VALUE"""),886.0)</f>
        <v>886</v>
      </c>
      <c r="E436" s="6">
        <f>IFERROR(__xludf.DUMMYFUNCTION("""COMPUTED_VALUE"""),829.0)</f>
        <v>829</v>
      </c>
      <c r="F436" s="6">
        <f>IFERROR(__xludf.DUMMYFUNCTION("""COMPUTED_VALUE"""),3279.0)</f>
        <v>3279</v>
      </c>
      <c r="G436" s="6">
        <f>IFERROR(__xludf.DUMMYFUNCTION("""COMPUTED_VALUE"""),4994.0)</f>
        <v>4994</v>
      </c>
    </row>
    <row r="437">
      <c r="A437" s="6">
        <f>IFERROR(__xludf.DUMMYFUNCTION("""COMPUTED_VALUE"""),2014.0)</f>
        <v>2014</v>
      </c>
      <c r="B437" s="6" t="str">
        <f>IFERROR(__xludf.DUMMYFUNCTION("""COMPUTED_VALUE"""),"Maio")</f>
        <v>Maio</v>
      </c>
      <c r="C437" s="6" t="str">
        <f>IFERROR(__xludf.DUMMYFUNCTION("""COMPUTED_VALUE"""),"CALÚNIA - DIFAMAÇÃO - INJÚRIA")</f>
        <v>CALÚNIA - DIFAMAÇÃO - INJÚRIA</v>
      </c>
      <c r="D437" s="6">
        <f>IFERROR(__xludf.DUMMYFUNCTION("""COMPUTED_VALUE"""),194.0)</f>
        <v>194</v>
      </c>
      <c r="E437" s="6">
        <f>IFERROR(__xludf.DUMMYFUNCTION("""COMPUTED_VALUE"""),170.0)</f>
        <v>170</v>
      </c>
      <c r="F437" s="6">
        <f>IFERROR(__xludf.DUMMYFUNCTION("""COMPUTED_VALUE"""),786.0)</f>
        <v>786</v>
      </c>
      <c r="G437" s="6">
        <f>IFERROR(__xludf.DUMMYFUNCTION("""COMPUTED_VALUE"""),1150.0)</f>
        <v>1150</v>
      </c>
    </row>
    <row r="438">
      <c r="A438" s="6">
        <f>IFERROR(__xludf.DUMMYFUNCTION("""COMPUTED_VALUE"""),2014.0)</f>
        <v>2014</v>
      </c>
      <c r="B438" s="6" t="str">
        <f>IFERROR(__xludf.DUMMYFUNCTION("""COMPUTED_VALUE"""),"Maio")</f>
        <v>Maio</v>
      </c>
      <c r="C438" s="6" t="str">
        <f>IFERROR(__xludf.DUMMYFUNCTION("""COMPUTED_VALUE"""),"CONSTRANGIMENTO ILEGAL")</f>
        <v>CONSTRANGIMENTO ILEGAL</v>
      </c>
      <c r="D438" s="6">
        <f>IFERROR(__xludf.DUMMYFUNCTION("""COMPUTED_VALUE"""),1.0)</f>
        <v>1</v>
      </c>
      <c r="E438" s="6">
        <f>IFERROR(__xludf.DUMMYFUNCTION("""COMPUTED_VALUE"""),0.0)</f>
        <v>0</v>
      </c>
      <c r="F438" s="6">
        <f>IFERROR(__xludf.DUMMYFUNCTION("""COMPUTED_VALUE"""),10.0)</f>
        <v>10</v>
      </c>
      <c r="G438" s="6">
        <f>IFERROR(__xludf.DUMMYFUNCTION("""COMPUTED_VALUE"""),11.0)</f>
        <v>11</v>
      </c>
    </row>
    <row r="439">
      <c r="A439" s="6">
        <f>IFERROR(__xludf.DUMMYFUNCTION("""COMPUTED_VALUE"""),2014.0)</f>
        <v>2014</v>
      </c>
      <c r="B439" s="6" t="str">
        <f>IFERROR(__xludf.DUMMYFUNCTION("""COMPUTED_VALUE"""),"Maio")</f>
        <v>Maio</v>
      </c>
      <c r="C439" s="6" t="str">
        <f>IFERROR(__xludf.DUMMYFUNCTION("""COMPUTED_VALUE"""),"DANO")</f>
        <v>DANO</v>
      </c>
      <c r="D439" s="6">
        <f>IFERROR(__xludf.DUMMYFUNCTION("""COMPUTED_VALUE"""),14.0)</f>
        <v>14</v>
      </c>
      <c r="E439" s="6">
        <f>IFERROR(__xludf.DUMMYFUNCTION("""COMPUTED_VALUE"""),14.0)</f>
        <v>14</v>
      </c>
      <c r="F439" s="6">
        <f>IFERROR(__xludf.DUMMYFUNCTION("""COMPUTED_VALUE"""),71.0)</f>
        <v>71</v>
      </c>
      <c r="G439" s="6">
        <f>IFERROR(__xludf.DUMMYFUNCTION("""COMPUTED_VALUE"""),99.0)</f>
        <v>99</v>
      </c>
    </row>
    <row r="440">
      <c r="A440" s="6">
        <f>IFERROR(__xludf.DUMMYFUNCTION("""COMPUTED_VALUE"""),2014.0)</f>
        <v>2014</v>
      </c>
      <c r="B440" s="6" t="str">
        <f>IFERROR(__xludf.DUMMYFUNCTION("""COMPUTED_VALUE"""),"Maio")</f>
        <v>Maio</v>
      </c>
      <c r="C440" s="6" t="str">
        <f>IFERROR(__xludf.DUMMYFUNCTION("""COMPUTED_VALUE"""),"ESTUPRO CONSUMADO")</f>
        <v>ESTUPRO CONSUMADO</v>
      </c>
      <c r="D440" s="6">
        <f>IFERROR(__xludf.DUMMYFUNCTION("""COMPUTED_VALUE"""),11.0)</f>
        <v>11</v>
      </c>
      <c r="E440" s="6">
        <f>IFERROR(__xludf.DUMMYFUNCTION("""COMPUTED_VALUE"""),4.0)</f>
        <v>4</v>
      </c>
      <c r="F440" s="6">
        <f>IFERROR(__xludf.DUMMYFUNCTION("""COMPUTED_VALUE"""),18.0)</f>
        <v>18</v>
      </c>
      <c r="G440" s="6">
        <f>IFERROR(__xludf.DUMMYFUNCTION("""COMPUTED_VALUE"""),33.0)</f>
        <v>33</v>
      </c>
    </row>
    <row r="441">
      <c r="A441" s="6">
        <f>IFERROR(__xludf.DUMMYFUNCTION("""COMPUTED_VALUE"""),2014.0)</f>
        <v>2014</v>
      </c>
      <c r="B441" s="6" t="str">
        <f>IFERROR(__xludf.DUMMYFUNCTION("""COMPUTED_VALUE"""),"Maio")</f>
        <v>Maio</v>
      </c>
      <c r="C441" s="6" t="str">
        <f>IFERROR(__xludf.DUMMYFUNCTION("""COMPUTED_VALUE"""),"ESTUPRO DE VULNERÁVEL CONSUMADO")</f>
        <v>ESTUPRO DE VULNERÁVEL CONSUMADO</v>
      </c>
      <c r="D441" s="6">
        <f>IFERROR(__xludf.DUMMYFUNCTION("""COMPUTED_VALUE"""),2.0)</f>
        <v>2</v>
      </c>
      <c r="E441" s="6">
        <f>IFERROR(__xludf.DUMMYFUNCTION("""COMPUTED_VALUE"""),6.0)</f>
        <v>6</v>
      </c>
      <c r="F441" s="6">
        <f>IFERROR(__xludf.DUMMYFUNCTION("""COMPUTED_VALUE"""),21.0)</f>
        <v>21</v>
      </c>
      <c r="G441" s="6">
        <f>IFERROR(__xludf.DUMMYFUNCTION("""COMPUTED_VALUE"""),29.0)</f>
        <v>29</v>
      </c>
    </row>
    <row r="442">
      <c r="A442" s="6">
        <f>IFERROR(__xludf.DUMMYFUNCTION("""COMPUTED_VALUE"""),2014.0)</f>
        <v>2014</v>
      </c>
      <c r="B442" s="6" t="str">
        <f>IFERROR(__xludf.DUMMYFUNCTION("""COMPUTED_VALUE"""),"Maio")</f>
        <v>Maio</v>
      </c>
      <c r="C442" s="6" t="str">
        <f>IFERROR(__xludf.DUMMYFUNCTION("""COMPUTED_VALUE"""),"ESTUPRO TENTADO")</f>
        <v>ESTUPRO TENTADO</v>
      </c>
      <c r="D442" s="6">
        <f>IFERROR(__xludf.DUMMYFUNCTION("""COMPUTED_VALUE"""),1.0)</f>
        <v>1</v>
      </c>
      <c r="E442" s="6">
        <f>IFERROR(__xludf.DUMMYFUNCTION("""COMPUTED_VALUE"""),0.0)</f>
        <v>0</v>
      </c>
      <c r="F442" s="6">
        <f>IFERROR(__xludf.DUMMYFUNCTION("""COMPUTED_VALUE"""),3.0)</f>
        <v>3</v>
      </c>
      <c r="G442" s="6">
        <f>IFERROR(__xludf.DUMMYFUNCTION("""COMPUTED_VALUE"""),4.0)</f>
        <v>4</v>
      </c>
    </row>
    <row r="443">
      <c r="A443" s="6">
        <f>IFERROR(__xludf.DUMMYFUNCTION("""COMPUTED_VALUE"""),2014.0)</f>
        <v>2014</v>
      </c>
      <c r="B443" s="6" t="str">
        <f>IFERROR(__xludf.DUMMYFUNCTION("""COMPUTED_VALUE"""),"Maio")</f>
        <v>Maio</v>
      </c>
      <c r="C443" s="6" t="str">
        <f>IFERROR(__xludf.DUMMYFUNCTION("""COMPUTED_VALUE"""),"HOMICÍDIO CULPOSO")</f>
        <v>HOMICÍDIO CULPOSO</v>
      </c>
      <c r="D443" s="6">
        <f>IFERROR(__xludf.DUMMYFUNCTION("""COMPUTED_VALUE"""),0.0)</f>
        <v>0</v>
      </c>
      <c r="E443" s="6">
        <f>IFERROR(__xludf.DUMMYFUNCTION("""COMPUTED_VALUE"""),0.0)</f>
        <v>0</v>
      </c>
      <c r="F443" s="6">
        <f>IFERROR(__xludf.DUMMYFUNCTION("""COMPUTED_VALUE"""),0.0)</f>
        <v>0</v>
      </c>
      <c r="G443" s="6">
        <f>IFERROR(__xludf.DUMMYFUNCTION("""COMPUTED_VALUE"""),0.0)</f>
        <v>0</v>
      </c>
    </row>
    <row r="444">
      <c r="A444" s="6">
        <f>IFERROR(__xludf.DUMMYFUNCTION("""COMPUTED_VALUE"""),2014.0)</f>
        <v>2014</v>
      </c>
      <c r="B444" s="6" t="str">
        <f>IFERROR(__xludf.DUMMYFUNCTION("""COMPUTED_VALUE"""),"Maio")</f>
        <v>Maio</v>
      </c>
      <c r="C444" s="6" t="str">
        <f>IFERROR(__xludf.DUMMYFUNCTION("""COMPUTED_VALUE"""),"HOMICÍDIO DOLOSO (exclui FEMINICÍDIO)")</f>
        <v>HOMICÍDIO DOLOSO (exclui FEMINICÍDIO)</v>
      </c>
      <c r="D444" s="6">
        <f>IFERROR(__xludf.DUMMYFUNCTION("""COMPUTED_VALUE"""),1.0)</f>
        <v>1</v>
      </c>
      <c r="E444" s="6">
        <f>IFERROR(__xludf.DUMMYFUNCTION("""COMPUTED_VALUE"""),1.0)</f>
        <v>1</v>
      </c>
      <c r="F444" s="6">
        <f>IFERROR(__xludf.DUMMYFUNCTION("""COMPUTED_VALUE"""),5.0)</f>
        <v>5</v>
      </c>
      <c r="G444" s="6">
        <f>IFERROR(__xludf.DUMMYFUNCTION("""COMPUTED_VALUE"""),7.0)</f>
        <v>7</v>
      </c>
    </row>
    <row r="445">
      <c r="A445" s="6">
        <f>IFERROR(__xludf.DUMMYFUNCTION("""COMPUTED_VALUE"""),2014.0)</f>
        <v>2014</v>
      </c>
      <c r="B445" s="6" t="str">
        <f>IFERROR(__xludf.DUMMYFUNCTION("""COMPUTED_VALUE"""),"Maio")</f>
        <v>Maio</v>
      </c>
      <c r="C445" s="6" t="str">
        <f>IFERROR(__xludf.DUMMYFUNCTION("""COMPUTED_VALUE"""),"INVASÃO DE DOMICÍLIO")</f>
        <v>INVASÃO DE DOMICÍLIO</v>
      </c>
      <c r="D445" s="6">
        <f>IFERROR(__xludf.DUMMYFUNCTION("""COMPUTED_VALUE"""),2.0)</f>
        <v>2</v>
      </c>
      <c r="E445" s="6">
        <f>IFERROR(__xludf.DUMMYFUNCTION("""COMPUTED_VALUE"""),1.0)</f>
        <v>1</v>
      </c>
      <c r="F445" s="6">
        <f>IFERROR(__xludf.DUMMYFUNCTION("""COMPUTED_VALUE"""),22.0)</f>
        <v>22</v>
      </c>
      <c r="G445" s="6">
        <f>IFERROR(__xludf.DUMMYFUNCTION("""COMPUTED_VALUE"""),25.0)</f>
        <v>25</v>
      </c>
    </row>
    <row r="446">
      <c r="A446" s="6">
        <f>IFERROR(__xludf.DUMMYFUNCTION("""COMPUTED_VALUE"""),2014.0)</f>
        <v>2014</v>
      </c>
      <c r="B446" s="6" t="str">
        <f>IFERROR(__xludf.DUMMYFUNCTION("""COMPUTED_VALUE"""),"Maio")</f>
        <v>Maio</v>
      </c>
      <c r="C446" s="6" t="str">
        <f>IFERROR(__xludf.DUMMYFUNCTION("""COMPUTED_VALUE"""),"LESÃO CORPORAL DOLOSA")</f>
        <v>LESÃO CORPORAL DOLOSA</v>
      </c>
      <c r="D446" s="6">
        <f>IFERROR(__xludf.DUMMYFUNCTION("""COMPUTED_VALUE"""),1065.0)</f>
        <v>1065</v>
      </c>
      <c r="E446" s="6">
        <f>IFERROR(__xludf.DUMMYFUNCTION("""COMPUTED_VALUE"""),854.0)</f>
        <v>854</v>
      </c>
      <c r="F446" s="6">
        <f>IFERROR(__xludf.DUMMYFUNCTION("""COMPUTED_VALUE"""),3364.0)</f>
        <v>3364</v>
      </c>
      <c r="G446" s="6">
        <f>IFERROR(__xludf.DUMMYFUNCTION("""COMPUTED_VALUE"""),5283.0)</f>
        <v>5283</v>
      </c>
    </row>
    <row r="447">
      <c r="A447" s="6">
        <f>IFERROR(__xludf.DUMMYFUNCTION("""COMPUTED_VALUE"""),2014.0)</f>
        <v>2014</v>
      </c>
      <c r="B447" s="6" t="str">
        <f>IFERROR(__xludf.DUMMYFUNCTION("""COMPUTED_VALUE"""),"Maio")</f>
        <v>Maio</v>
      </c>
      <c r="C447" s="6" t="str">
        <f>IFERROR(__xludf.DUMMYFUNCTION("""COMPUTED_VALUE"""),"MAUS TRATOS")</f>
        <v>MAUS TRATOS</v>
      </c>
      <c r="D447" s="6">
        <f>IFERROR(__xludf.DUMMYFUNCTION("""COMPUTED_VALUE"""),3.0)</f>
        <v>3</v>
      </c>
      <c r="E447" s="6">
        <f>IFERROR(__xludf.DUMMYFUNCTION("""COMPUTED_VALUE"""),5.0)</f>
        <v>5</v>
      </c>
      <c r="F447" s="6">
        <f>IFERROR(__xludf.DUMMYFUNCTION("""COMPUTED_VALUE"""),17.0)</f>
        <v>17</v>
      </c>
      <c r="G447" s="6">
        <f>IFERROR(__xludf.DUMMYFUNCTION("""COMPUTED_VALUE"""),25.0)</f>
        <v>25</v>
      </c>
    </row>
    <row r="448">
      <c r="A448" s="6">
        <f>IFERROR(__xludf.DUMMYFUNCTION("""COMPUTED_VALUE"""),2014.0)</f>
        <v>2014</v>
      </c>
      <c r="B448" s="6" t="str">
        <f>IFERROR(__xludf.DUMMYFUNCTION("""COMPUTED_VALUE"""),"Maio")</f>
        <v>Maio</v>
      </c>
      <c r="C448" s="6" t="str">
        <f>IFERROR(__xludf.DUMMYFUNCTION("""COMPUTED_VALUE"""),"OUTROS C/C/ DIGNIDADE SEXUAL")</f>
        <v>OUTROS C/C/ DIGNIDADE SEXUAL</v>
      </c>
      <c r="D448" s="6">
        <f>IFERROR(__xludf.DUMMYFUNCTION("""COMPUTED_VALUE"""),2.0)</f>
        <v>2</v>
      </c>
      <c r="E448" s="6">
        <f>IFERROR(__xludf.DUMMYFUNCTION("""COMPUTED_VALUE"""),2.0)</f>
        <v>2</v>
      </c>
      <c r="F448" s="6">
        <f>IFERROR(__xludf.DUMMYFUNCTION("""COMPUTED_VALUE"""),5.0)</f>
        <v>5</v>
      </c>
      <c r="G448" s="6">
        <f>IFERROR(__xludf.DUMMYFUNCTION("""COMPUTED_VALUE"""),9.0)</f>
        <v>9</v>
      </c>
    </row>
    <row r="449">
      <c r="A449" s="6">
        <f>IFERROR(__xludf.DUMMYFUNCTION("""COMPUTED_VALUE"""),2014.0)</f>
        <v>2014</v>
      </c>
      <c r="B449" s="6" t="str">
        <f>IFERROR(__xludf.DUMMYFUNCTION("""COMPUTED_VALUE"""),"Maio")</f>
        <v>Maio</v>
      </c>
      <c r="C449" s="6" t="str">
        <f>IFERROR(__xludf.DUMMYFUNCTION("""COMPUTED_VALUE"""),"TENTATIVA DE HOMICÍDIO")</f>
        <v>TENTATIVA DE HOMICÍDIO</v>
      </c>
      <c r="D449" s="6">
        <f>IFERROR(__xludf.DUMMYFUNCTION("""COMPUTED_VALUE"""),4.0)</f>
        <v>4</v>
      </c>
      <c r="E449" s="6">
        <f>IFERROR(__xludf.DUMMYFUNCTION("""COMPUTED_VALUE"""),1.0)</f>
        <v>1</v>
      </c>
      <c r="F449" s="6">
        <f>IFERROR(__xludf.DUMMYFUNCTION("""COMPUTED_VALUE"""),14.0)</f>
        <v>14</v>
      </c>
      <c r="G449" s="6">
        <f>IFERROR(__xludf.DUMMYFUNCTION("""COMPUTED_VALUE"""),19.0)</f>
        <v>19</v>
      </c>
    </row>
    <row r="450">
      <c r="A450" s="6">
        <f>IFERROR(__xludf.DUMMYFUNCTION("""COMPUTED_VALUE"""),2014.0)</f>
        <v>2014</v>
      </c>
      <c r="B450" s="6" t="str">
        <f>IFERROR(__xludf.DUMMYFUNCTION("""COMPUTED_VALUE"""),"Março")</f>
        <v>Março</v>
      </c>
      <c r="C450" s="6" t="str">
        <f>IFERROR(__xludf.DUMMYFUNCTION("""COMPUTED_VALUE"""),"AMEAÇA")</f>
        <v>AMEAÇA</v>
      </c>
      <c r="D450" s="6">
        <f>IFERROR(__xludf.DUMMYFUNCTION("""COMPUTED_VALUE"""),990.0)</f>
        <v>990</v>
      </c>
      <c r="E450" s="6">
        <f>IFERROR(__xludf.DUMMYFUNCTION("""COMPUTED_VALUE"""),900.0)</f>
        <v>900</v>
      </c>
      <c r="F450" s="6">
        <f>IFERROR(__xludf.DUMMYFUNCTION("""COMPUTED_VALUE"""),3615.0)</f>
        <v>3615</v>
      </c>
      <c r="G450" s="6">
        <f>IFERROR(__xludf.DUMMYFUNCTION("""COMPUTED_VALUE"""),5505.0)</f>
        <v>5505</v>
      </c>
    </row>
    <row r="451">
      <c r="A451" s="6">
        <f>IFERROR(__xludf.DUMMYFUNCTION("""COMPUTED_VALUE"""),2014.0)</f>
        <v>2014</v>
      </c>
      <c r="B451" s="6" t="str">
        <f>IFERROR(__xludf.DUMMYFUNCTION("""COMPUTED_VALUE"""),"Março")</f>
        <v>Março</v>
      </c>
      <c r="C451" s="6" t="str">
        <f>IFERROR(__xludf.DUMMYFUNCTION("""COMPUTED_VALUE"""),"CALÚNIA - DIFAMAÇÃO - INJÚRIA")</f>
        <v>CALÚNIA - DIFAMAÇÃO - INJÚRIA</v>
      </c>
      <c r="D451" s="6">
        <f>IFERROR(__xludf.DUMMYFUNCTION("""COMPUTED_VALUE"""),216.0)</f>
        <v>216</v>
      </c>
      <c r="E451" s="6">
        <f>IFERROR(__xludf.DUMMYFUNCTION("""COMPUTED_VALUE"""),210.0)</f>
        <v>210</v>
      </c>
      <c r="F451" s="6">
        <f>IFERROR(__xludf.DUMMYFUNCTION("""COMPUTED_VALUE"""),809.0)</f>
        <v>809</v>
      </c>
      <c r="G451" s="6">
        <f>IFERROR(__xludf.DUMMYFUNCTION("""COMPUTED_VALUE"""),1235.0)</f>
        <v>1235</v>
      </c>
    </row>
    <row r="452">
      <c r="A452" s="6">
        <f>IFERROR(__xludf.DUMMYFUNCTION("""COMPUTED_VALUE"""),2014.0)</f>
        <v>2014</v>
      </c>
      <c r="B452" s="6" t="str">
        <f>IFERROR(__xludf.DUMMYFUNCTION("""COMPUTED_VALUE"""),"Março")</f>
        <v>Março</v>
      </c>
      <c r="C452" s="6" t="str">
        <f>IFERROR(__xludf.DUMMYFUNCTION("""COMPUTED_VALUE"""),"CONSTRANGIMENTO ILEGAL")</f>
        <v>CONSTRANGIMENTO ILEGAL</v>
      </c>
      <c r="D452" s="6">
        <f>IFERROR(__xludf.DUMMYFUNCTION("""COMPUTED_VALUE"""),2.0)</f>
        <v>2</v>
      </c>
      <c r="E452" s="6">
        <f>IFERROR(__xludf.DUMMYFUNCTION("""COMPUTED_VALUE"""),1.0)</f>
        <v>1</v>
      </c>
      <c r="F452" s="6">
        <f>IFERROR(__xludf.DUMMYFUNCTION("""COMPUTED_VALUE"""),4.0)</f>
        <v>4</v>
      </c>
      <c r="G452" s="6">
        <f>IFERROR(__xludf.DUMMYFUNCTION("""COMPUTED_VALUE"""),7.0)</f>
        <v>7</v>
      </c>
    </row>
    <row r="453">
      <c r="A453" s="6">
        <f>IFERROR(__xludf.DUMMYFUNCTION("""COMPUTED_VALUE"""),2014.0)</f>
        <v>2014</v>
      </c>
      <c r="B453" s="6" t="str">
        <f>IFERROR(__xludf.DUMMYFUNCTION("""COMPUTED_VALUE"""),"Março")</f>
        <v>Março</v>
      </c>
      <c r="C453" s="6" t="str">
        <f>IFERROR(__xludf.DUMMYFUNCTION("""COMPUTED_VALUE"""),"DANO")</f>
        <v>DANO</v>
      </c>
      <c r="D453" s="6">
        <f>IFERROR(__xludf.DUMMYFUNCTION("""COMPUTED_VALUE"""),7.0)</f>
        <v>7</v>
      </c>
      <c r="E453" s="6">
        <f>IFERROR(__xludf.DUMMYFUNCTION("""COMPUTED_VALUE"""),10.0)</f>
        <v>10</v>
      </c>
      <c r="F453" s="6">
        <f>IFERROR(__xludf.DUMMYFUNCTION("""COMPUTED_VALUE"""),66.0)</f>
        <v>66</v>
      </c>
      <c r="G453" s="6">
        <f>IFERROR(__xludf.DUMMYFUNCTION("""COMPUTED_VALUE"""),83.0)</f>
        <v>83</v>
      </c>
    </row>
    <row r="454">
      <c r="A454" s="6">
        <f>IFERROR(__xludf.DUMMYFUNCTION("""COMPUTED_VALUE"""),2014.0)</f>
        <v>2014</v>
      </c>
      <c r="B454" s="6" t="str">
        <f>IFERROR(__xludf.DUMMYFUNCTION("""COMPUTED_VALUE"""),"Março")</f>
        <v>Março</v>
      </c>
      <c r="C454" s="6" t="str">
        <f>IFERROR(__xludf.DUMMYFUNCTION("""COMPUTED_VALUE"""),"ESTUPRO CONSUMADO")</f>
        <v>ESTUPRO CONSUMADO</v>
      </c>
      <c r="D454" s="6">
        <f>IFERROR(__xludf.DUMMYFUNCTION("""COMPUTED_VALUE"""),17.0)</f>
        <v>17</v>
      </c>
      <c r="E454" s="6">
        <f>IFERROR(__xludf.DUMMYFUNCTION("""COMPUTED_VALUE"""),5.0)</f>
        <v>5</v>
      </c>
      <c r="F454" s="6">
        <f>IFERROR(__xludf.DUMMYFUNCTION("""COMPUTED_VALUE"""),25.0)</f>
        <v>25</v>
      </c>
      <c r="G454" s="6">
        <f>IFERROR(__xludf.DUMMYFUNCTION("""COMPUTED_VALUE"""),47.0)</f>
        <v>47</v>
      </c>
    </row>
    <row r="455">
      <c r="A455" s="6">
        <f>IFERROR(__xludf.DUMMYFUNCTION("""COMPUTED_VALUE"""),2014.0)</f>
        <v>2014</v>
      </c>
      <c r="B455" s="6" t="str">
        <f>IFERROR(__xludf.DUMMYFUNCTION("""COMPUTED_VALUE"""),"Março")</f>
        <v>Março</v>
      </c>
      <c r="C455" s="6" t="str">
        <f>IFERROR(__xludf.DUMMYFUNCTION("""COMPUTED_VALUE"""),"ESTUPRO DE VULNERÁVEL CONSUMADO")</f>
        <v>ESTUPRO DE VULNERÁVEL CONSUMADO</v>
      </c>
      <c r="D455" s="6">
        <f>IFERROR(__xludf.DUMMYFUNCTION("""COMPUTED_VALUE"""),4.0)</f>
        <v>4</v>
      </c>
      <c r="E455" s="6">
        <f>IFERROR(__xludf.DUMMYFUNCTION("""COMPUTED_VALUE"""),6.0)</f>
        <v>6</v>
      </c>
      <c r="F455" s="6">
        <f>IFERROR(__xludf.DUMMYFUNCTION("""COMPUTED_VALUE"""),22.0)</f>
        <v>22</v>
      </c>
      <c r="G455" s="6">
        <f>IFERROR(__xludf.DUMMYFUNCTION("""COMPUTED_VALUE"""),32.0)</f>
        <v>32</v>
      </c>
    </row>
    <row r="456">
      <c r="A456" s="6">
        <f>IFERROR(__xludf.DUMMYFUNCTION("""COMPUTED_VALUE"""),2014.0)</f>
        <v>2014</v>
      </c>
      <c r="B456" s="6" t="str">
        <f>IFERROR(__xludf.DUMMYFUNCTION("""COMPUTED_VALUE"""),"Março")</f>
        <v>Março</v>
      </c>
      <c r="C456" s="6" t="str">
        <f>IFERROR(__xludf.DUMMYFUNCTION("""COMPUTED_VALUE"""),"ESTUPRO TENTADO")</f>
        <v>ESTUPRO TENTADO</v>
      </c>
      <c r="D456" s="6">
        <f>IFERROR(__xludf.DUMMYFUNCTION("""COMPUTED_VALUE"""),0.0)</f>
        <v>0</v>
      </c>
      <c r="E456" s="6">
        <f>IFERROR(__xludf.DUMMYFUNCTION("""COMPUTED_VALUE"""),2.0)</f>
        <v>2</v>
      </c>
      <c r="F456" s="6">
        <f>IFERROR(__xludf.DUMMYFUNCTION("""COMPUTED_VALUE"""),1.0)</f>
        <v>1</v>
      </c>
      <c r="G456" s="6">
        <f>IFERROR(__xludf.DUMMYFUNCTION("""COMPUTED_VALUE"""),3.0)</f>
        <v>3</v>
      </c>
    </row>
    <row r="457">
      <c r="A457" s="6">
        <f>IFERROR(__xludf.DUMMYFUNCTION("""COMPUTED_VALUE"""),2014.0)</f>
        <v>2014</v>
      </c>
      <c r="B457" s="6" t="str">
        <f>IFERROR(__xludf.DUMMYFUNCTION("""COMPUTED_VALUE"""),"Março")</f>
        <v>Março</v>
      </c>
      <c r="C457" s="6" t="str">
        <f>IFERROR(__xludf.DUMMYFUNCTION("""COMPUTED_VALUE"""),"HOMICÍDIO CULPOSO")</f>
        <v>HOMICÍDIO CULPOSO</v>
      </c>
      <c r="D457" s="6">
        <f>IFERROR(__xludf.DUMMYFUNCTION("""COMPUTED_VALUE"""),0.0)</f>
        <v>0</v>
      </c>
      <c r="E457" s="6">
        <f>IFERROR(__xludf.DUMMYFUNCTION("""COMPUTED_VALUE"""),0.0)</f>
        <v>0</v>
      </c>
      <c r="F457" s="6">
        <f>IFERROR(__xludf.DUMMYFUNCTION("""COMPUTED_VALUE"""),0.0)</f>
        <v>0</v>
      </c>
      <c r="G457" s="6">
        <f>IFERROR(__xludf.DUMMYFUNCTION("""COMPUTED_VALUE"""),0.0)</f>
        <v>0</v>
      </c>
    </row>
    <row r="458">
      <c r="A458" s="6">
        <f>IFERROR(__xludf.DUMMYFUNCTION("""COMPUTED_VALUE"""),2014.0)</f>
        <v>2014</v>
      </c>
      <c r="B458" s="6" t="str">
        <f>IFERROR(__xludf.DUMMYFUNCTION("""COMPUTED_VALUE"""),"Março")</f>
        <v>Março</v>
      </c>
      <c r="C458" s="6" t="str">
        <f>IFERROR(__xludf.DUMMYFUNCTION("""COMPUTED_VALUE"""),"HOMICÍDIO DOLOSO (exclui FEMINICÍDIO)")</f>
        <v>HOMICÍDIO DOLOSO (exclui FEMINICÍDIO)</v>
      </c>
      <c r="D458" s="6">
        <f>IFERROR(__xludf.DUMMYFUNCTION("""COMPUTED_VALUE"""),2.0)</f>
        <v>2</v>
      </c>
      <c r="E458" s="6">
        <f>IFERROR(__xludf.DUMMYFUNCTION("""COMPUTED_VALUE"""),3.0)</f>
        <v>3</v>
      </c>
      <c r="F458" s="6">
        <f>IFERROR(__xludf.DUMMYFUNCTION("""COMPUTED_VALUE"""),11.0)</f>
        <v>11</v>
      </c>
      <c r="G458" s="6">
        <f>IFERROR(__xludf.DUMMYFUNCTION("""COMPUTED_VALUE"""),16.0)</f>
        <v>16</v>
      </c>
    </row>
    <row r="459">
      <c r="A459" s="6">
        <f>IFERROR(__xludf.DUMMYFUNCTION("""COMPUTED_VALUE"""),2014.0)</f>
        <v>2014</v>
      </c>
      <c r="B459" s="6" t="str">
        <f>IFERROR(__xludf.DUMMYFUNCTION("""COMPUTED_VALUE"""),"Março")</f>
        <v>Março</v>
      </c>
      <c r="C459" s="6" t="str">
        <f>IFERROR(__xludf.DUMMYFUNCTION("""COMPUTED_VALUE"""),"INVASÃO DE DOMICÍLIO")</f>
        <v>INVASÃO DE DOMICÍLIO</v>
      </c>
      <c r="D459" s="6">
        <f>IFERROR(__xludf.DUMMYFUNCTION("""COMPUTED_VALUE"""),1.0)</f>
        <v>1</v>
      </c>
      <c r="E459" s="6">
        <f>IFERROR(__xludf.DUMMYFUNCTION("""COMPUTED_VALUE"""),0.0)</f>
        <v>0</v>
      </c>
      <c r="F459" s="6">
        <f>IFERROR(__xludf.DUMMYFUNCTION("""COMPUTED_VALUE"""),22.0)</f>
        <v>22</v>
      </c>
      <c r="G459" s="6">
        <f>IFERROR(__xludf.DUMMYFUNCTION("""COMPUTED_VALUE"""),23.0)</f>
        <v>23</v>
      </c>
    </row>
    <row r="460">
      <c r="A460" s="6">
        <f>IFERROR(__xludf.DUMMYFUNCTION("""COMPUTED_VALUE"""),2014.0)</f>
        <v>2014</v>
      </c>
      <c r="B460" s="6" t="str">
        <f>IFERROR(__xludf.DUMMYFUNCTION("""COMPUTED_VALUE"""),"Março")</f>
        <v>Março</v>
      </c>
      <c r="C460" s="6" t="str">
        <f>IFERROR(__xludf.DUMMYFUNCTION("""COMPUTED_VALUE"""),"LESÃO CORPORAL DOLOSA")</f>
        <v>LESÃO CORPORAL DOLOSA</v>
      </c>
      <c r="D460" s="6">
        <f>IFERROR(__xludf.DUMMYFUNCTION("""COMPUTED_VALUE"""),1141.0)</f>
        <v>1141</v>
      </c>
      <c r="E460" s="6">
        <f>IFERROR(__xludf.DUMMYFUNCTION("""COMPUTED_VALUE"""),992.0)</f>
        <v>992</v>
      </c>
      <c r="F460" s="6">
        <f>IFERROR(__xludf.DUMMYFUNCTION("""COMPUTED_VALUE"""),3806.0)</f>
        <v>3806</v>
      </c>
      <c r="G460" s="6">
        <f>IFERROR(__xludf.DUMMYFUNCTION("""COMPUTED_VALUE"""),5939.0)</f>
        <v>5939</v>
      </c>
    </row>
    <row r="461">
      <c r="A461" s="6">
        <f>IFERROR(__xludf.DUMMYFUNCTION("""COMPUTED_VALUE"""),2014.0)</f>
        <v>2014</v>
      </c>
      <c r="B461" s="6" t="str">
        <f>IFERROR(__xludf.DUMMYFUNCTION("""COMPUTED_VALUE"""),"Março")</f>
        <v>Março</v>
      </c>
      <c r="C461" s="6" t="str">
        <f>IFERROR(__xludf.DUMMYFUNCTION("""COMPUTED_VALUE"""),"MAUS TRATOS")</f>
        <v>MAUS TRATOS</v>
      </c>
      <c r="D461" s="6">
        <f>IFERROR(__xludf.DUMMYFUNCTION("""COMPUTED_VALUE"""),4.0)</f>
        <v>4</v>
      </c>
      <c r="E461" s="6">
        <f>IFERROR(__xludf.DUMMYFUNCTION("""COMPUTED_VALUE"""),2.0)</f>
        <v>2</v>
      </c>
      <c r="F461" s="6">
        <f>IFERROR(__xludf.DUMMYFUNCTION("""COMPUTED_VALUE"""),30.0)</f>
        <v>30</v>
      </c>
      <c r="G461" s="6">
        <f>IFERROR(__xludf.DUMMYFUNCTION("""COMPUTED_VALUE"""),36.0)</f>
        <v>36</v>
      </c>
    </row>
    <row r="462">
      <c r="A462" s="6">
        <f>IFERROR(__xludf.DUMMYFUNCTION("""COMPUTED_VALUE"""),2014.0)</f>
        <v>2014</v>
      </c>
      <c r="B462" s="6" t="str">
        <f>IFERROR(__xludf.DUMMYFUNCTION("""COMPUTED_VALUE"""),"Março")</f>
        <v>Março</v>
      </c>
      <c r="C462" s="6" t="str">
        <f>IFERROR(__xludf.DUMMYFUNCTION("""COMPUTED_VALUE"""),"OUTROS C/C/ DIGNIDADE SEXUAL")</f>
        <v>OUTROS C/C/ DIGNIDADE SEXUAL</v>
      </c>
      <c r="D462" s="6">
        <f>IFERROR(__xludf.DUMMYFUNCTION("""COMPUTED_VALUE"""),1.0)</f>
        <v>1</v>
      </c>
      <c r="E462" s="6">
        <f>IFERROR(__xludf.DUMMYFUNCTION("""COMPUTED_VALUE"""),0.0)</f>
        <v>0</v>
      </c>
      <c r="F462" s="6">
        <f>IFERROR(__xludf.DUMMYFUNCTION("""COMPUTED_VALUE"""),8.0)</f>
        <v>8</v>
      </c>
      <c r="G462" s="6">
        <f>IFERROR(__xludf.DUMMYFUNCTION("""COMPUTED_VALUE"""),9.0)</f>
        <v>9</v>
      </c>
    </row>
    <row r="463">
      <c r="A463" s="6">
        <f>IFERROR(__xludf.DUMMYFUNCTION("""COMPUTED_VALUE"""),2014.0)</f>
        <v>2014</v>
      </c>
      <c r="B463" s="6" t="str">
        <f>IFERROR(__xludf.DUMMYFUNCTION("""COMPUTED_VALUE"""),"Março")</f>
        <v>Março</v>
      </c>
      <c r="C463" s="6" t="str">
        <f>IFERROR(__xludf.DUMMYFUNCTION("""COMPUTED_VALUE"""),"TENTATIVA DE HOMICÍDIO")</f>
        <v>TENTATIVA DE HOMICÍDIO</v>
      </c>
      <c r="D463" s="6">
        <f>IFERROR(__xludf.DUMMYFUNCTION("""COMPUTED_VALUE"""),0.0)</f>
        <v>0</v>
      </c>
      <c r="E463" s="6">
        <f>IFERROR(__xludf.DUMMYFUNCTION("""COMPUTED_VALUE"""),1.0)</f>
        <v>1</v>
      </c>
      <c r="F463" s="6">
        <f>IFERROR(__xludf.DUMMYFUNCTION("""COMPUTED_VALUE"""),13.0)</f>
        <v>13</v>
      </c>
      <c r="G463" s="6">
        <f>IFERROR(__xludf.DUMMYFUNCTION("""COMPUTED_VALUE"""),14.0)</f>
        <v>14</v>
      </c>
    </row>
    <row r="464">
      <c r="A464" s="6">
        <f>IFERROR(__xludf.DUMMYFUNCTION("""COMPUTED_VALUE"""),2014.0)</f>
        <v>2014</v>
      </c>
      <c r="B464" s="6" t="str">
        <f>IFERROR(__xludf.DUMMYFUNCTION("""COMPUTED_VALUE"""),"Julho")</f>
        <v>Julho</v>
      </c>
      <c r="C464" s="6" t="str">
        <f>IFERROR(__xludf.DUMMYFUNCTION("""COMPUTED_VALUE"""),"AMEAÇA")</f>
        <v>AMEAÇA</v>
      </c>
      <c r="D464" s="6">
        <f>IFERROR(__xludf.DUMMYFUNCTION("""COMPUTED_VALUE"""),1.018)</f>
        <v>1.018</v>
      </c>
      <c r="E464" s="6">
        <f>IFERROR(__xludf.DUMMYFUNCTION("""COMPUTED_VALUE"""),886.0)</f>
        <v>886</v>
      </c>
      <c r="F464" s="6">
        <f>IFERROR(__xludf.DUMMYFUNCTION("""COMPUTED_VALUE"""),3.401)</f>
        <v>3.401</v>
      </c>
      <c r="G464" s="6">
        <f>IFERROR(__xludf.DUMMYFUNCTION("""COMPUTED_VALUE"""),5.305)</f>
        <v>5.305</v>
      </c>
    </row>
    <row r="465">
      <c r="A465" s="6">
        <f>IFERROR(__xludf.DUMMYFUNCTION("""COMPUTED_VALUE"""),2014.0)</f>
        <v>2014</v>
      </c>
      <c r="B465" s="6" t="str">
        <f>IFERROR(__xludf.DUMMYFUNCTION("""COMPUTED_VALUE"""),"Julho")</f>
        <v>Julho</v>
      </c>
      <c r="C465" s="6" t="str">
        <f>IFERROR(__xludf.DUMMYFUNCTION("""COMPUTED_VALUE"""),"CALÚNIA - DIFAMAÇÃO - INJÚRIA")</f>
        <v>CALÚNIA - DIFAMAÇÃO - INJÚRIA</v>
      </c>
      <c r="D465" s="6">
        <f>IFERROR(__xludf.DUMMYFUNCTION("""COMPUTED_VALUE"""),216.0)</f>
        <v>216</v>
      </c>
      <c r="E465" s="6">
        <f>IFERROR(__xludf.DUMMYFUNCTION("""COMPUTED_VALUE"""),162.0)</f>
        <v>162</v>
      </c>
      <c r="F465" s="6">
        <f>IFERROR(__xludf.DUMMYFUNCTION("""COMPUTED_VALUE"""),797.0)</f>
        <v>797</v>
      </c>
      <c r="G465" s="6">
        <f>IFERROR(__xludf.DUMMYFUNCTION("""COMPUTED_VALUE"""),1.175)</f>
        <v>1.175</v>
      </c>
    </row>
    <row r="466">
      <c r="A466" s="6">
        <f>IFERROR(__xludf.DUMMYFUNCTION("""COMPUTED_VALUE"""),2014.0)</f>
        <v>2014</v>
      </c>
      <c r="B466" s="6" t="str">
        <f>IFERROR(__xludf.DUMMYFUNCTION("""COMPUTED_VALUE"""),"Julho")</f>
        <v>Julho</v>
      </c>
      <c r="C466" s="6" t="str">
        <f>IFERROR(__xludf.DUMMYFUNCTION("""COMPUTED_VALUE"""),"CONSTRANGIMENTO ILEGAL")</f>
        <v>CONSTRANGIMENTO ILEGAL</v>
      </c>
      <c r="D466" s="6">
        <f>IFERROR(__xludf.DUMMYFUNCTION("""COMPUTED_VALUE"""),2.0)</f>
        <v>2</v>
      </c>
      <c r="E466" s="6">
        <f>IFERROR(__xludf.DUMMYFUNCTION("""COMPUTED_VALUE"""),1.0)</f>
        <v>1</v>
      </c>
      <c r="F466" s="6">
        <f>IFERROR(__xludf.DUMMYFUNCTION("""COMPUTED_VALUE"""),11.0)</f>
        <v>11</v>
      </c>
      <c r="G466" s="6">
        <f>IFERROR(__xludf.DUMMYFUNCTION("""COMPUTED_VALUE"""),14.0)</f>
        <v>14</v>
      </c>
    </row>
    <row r="467">
      <c r="A467" s="6">
        <f>IFERROR(__xludf.DUMMYFUNCTION("""COMPUTED_VALUE"""),2014.0)</f>
        <v>2014</v>
      </c>
      <c r="B467" s="6" t="str">
        <f>IFERROR(__xludf.DUMMYFUNCTION("""COMPUTED_VALUE"""),"Julho")</f>
        <v>Julho</v>
      </c>
      <c r="C467" s="6" t="str">
        <f>IFERROR(__xludf.DUMMYFUNCTION("""COMPUTED_VALUE"""),"DANO")</f>
        <v>DANO</v>
      </c>
      <c r="D467" s="6">
        <f>IFERROR(__xludf.DUMMYFUNCTION("""COMPUTED_VALUE"""),11.0)</f>
        <v>11</v>
      </c>
      <c r="E467" s="6">
        <f>IFERROR(__xludf.DUMMYFUNCTION("""COMPUTED_VALUE"""),11.0)</f>
        <v>11</v>
      </c>
      <c r="F467" s="6">
        <f>IFERROR(__xludf.DUMMYFUNCTION("""COMPUTED_VALUE"""),70.0)</f>
        <v>70</v>
      </c>
      <c r="G467" s="6">
        <f>IFERROR(__xludf.DUMMYFUNCTION("""COMPUTED_VALUE"""),92.0)</f>
        <v>92</v>
      </c>
    </row>
    <row r="468">
      <c r="A468" s="6">
        <f>IFERROR(__xludf.DUMMYFUNCTION("""COMPUTED_VALUE"""),2014.0)</f>
        <v>2014</v>
      </c>
      <c r="B468" s="6" t="str">
        <f>IFERROR(__xludf.DUMMYFUNCTION("""COMPUTED_VALUE"""),"Julho")</f>
        <v>Julho</v>
      </c>
      <c r="C468" s="6" t="str">
        <f>IFERROR(__xludf.DUMMYFUNCTION("""COMPUTED_VALUE"""),"ESTUPRO CONSUMADO")</f>
        <v>ESTUPRO CONSUMADO</v>
      </c>
      <c r="D468" s="6">
        <f>IFERROR(__xludf.DUMMYFUNCTION("""COMPUTED_VALUE"""),17.0)</f>
        <v>17</v>
      </c>
      <c r="E468" s="6">
        <f>IFERROR(__xludf.DUMMYFUNCTION("""COMPUTED_VALUE"""),8.0)</f>
        <v>8</v>
      </c>
      <c r="F468" s="6">
        <f>IFERROR(__xludf.DUMMYFUNCTION("""COMPUTED_VALUE"""),19.0)</f>
        <v>19</v>
      </c>
      <c r="G468" s="6">
        <f>IFERROR(__xludf.DUMMYFUNCTION("""COMPUTED_VALUE"""),44.0)</f>
        <v>44</v>
      </c>
    </row>
    <row r="469">
      <c r="A469" s="6">
        <f>IFERROR(__xludf.DUMMYFUNCTION("""COMPUTED_VALUE"""),2014.0)</f>
        <v>2014</v>
      </c>
      <c r="B469" s="6" t="str">
        <f>IFERROR(__xludf.DUMMYFUNCTION("""COMPUTED_VALUE"""),"Julho")</f>
        <v>Julho</v>
      </c>
      <c r="C469" s="6" t="str">
        <f>IFERROR(__xludf.DUMMYFUNCTION("""COMPUTED_VALUE"""),"ESTUPRO DE VULNERÁVEL CONSUMADO")</f>
        <v>ESTUPRO DE VULNERÁVEL CONSUMADO</v>
      </c>
      <c r="D469" s="6">
        <f>IFERROR(__xludf.DUMMYFUNCTION("""COMPUTED_VALUE"""),5.0)</f>
        <v>5</v>
      </c>
      <c r="E469" s="6">
        <f>IFERROR(__xludf.DUMMYFUNCTION("""COMPUTED_VALUE"""),7.0)</f>
        <v>7</v>
      </c>
      <c r="F469" s="6">
        <f>IFERROR(__xludf.DUMMYFUNCTION("""COMPUTED_VALUE"""),21.0)</f>
        <v>21</v>
      </c>
      <c r="G469" s="6">
        <f>IFERROR(__xludf.DUMMYFUNCTION("""COMPUTED_VALUE"""),33.0)</f>
        <v>33</v>
      </c>
    </row>
    <row r="470">
      <c r="A470" s="6">
        <f>IFERROR(__xludf.DUMMYFUNCTION("""COMPUTED_VALUE"""),2014.0)</f>
        <v>2014</v>
      </c>
      <c r="B470" s="6" t="str">
        <f>IFERROR(__xludf.DUMMYFUNCTION("""COMPUTED_VALUE"""),"Julho")</f>
        <v>Julho</v>
      </c>
      <c r="C470" s="6" t="str">
        <f>IFERROR(__xludf.DUMMYFUNCTION("""COMPUTED_VALUE"""),"ESTUPRO TENTADO")</f>
        <v>ESTUPRO TENTADO</v>
      </c>
      <c r="D470" s="6">
        <f>IFERROR(__xludf.DUMMYFUNCTION("""COMPUTED_VALUE"""),0.0)</f>
        <v>0</v>
      </c>
      <c r="E470" s="6">
        <f>IFERROR(__xludf.DUMMYFUNCTION("""COMPUTED_VALUE"""),0.0)</f>
        <v>0</v>
      </c>
      <c r="F470" s="6">
        <f>IFERROR(__xludf.DUMMYFUNCTION("""COMPUTED_VALUE"""),1.0)</f>
        <v>1</v>
      </c>
      <c r="G470" s="6">
        <f>IFERROR(__xludf.DUMMYFUNCTION("""COMPUTED_VALUE"""),1.0)</f>
        <v>1</v>
      </c>
    </row>
    <row r="471">
      <c r="A471" s="6">
        <f>IFERROR(__xludf.DUMMYFUNCTION("""COMPUTED_VALUE"""),2014.0)</f>
        <v>2014</v>
      </c>
      <c r="B471" s="6" t="str">
        <f>IFERROR(__xludf.DUMMYFUNCTION("""COMPUTED_VALUE"""),"Julho")</f>
        <v>Julho</v>
      </c>
      <c r="C471" s="6" t="str">
        <f>IFERROR(__xludf.DUMMYFUNCTION("""COMPUTED_VALUE"""),"HOMICÍDIO CULPOSO")</f>
        <v>HOMICÍDIO CULPOSO</v>
      </c>
      <c r="D471" s="6">
        <f>IFERROR(__xludf.DUMMYFUNCTION("""COMPUTED_VALUE"""),0.0)</f>
        <v>0</v>
      </c>
      <c r="E471" s="6">
        <f>IFERROR(__xludf.DUMMYFUNCTION("""COMPUTED_VALUE"""),0.0)</f>
        <v>0</v>
      </c>
      <c r="F471" s="6">
        <f>IFERROR(__xludf.DUMMYFUNCTION("""COMPUTED_VALUE"""),0.0)</f>
        <v>0</v>
      </c>
      <c r="G471" s="6">
        <f>IFERROR(__xludf.DUMMYFUNCTION("""COMPUTED_VALUE"""),0.0)</f>
        <v>0</v>
      </c>
    </row>
    <row r="472">
      <c r="A472" s="6">
        <f>IFERROR(__xludf.DUMMYFUNCTION("""COMPUTED_VALUE"""),2014.0)</f>
        <v>2014</v>
      </c>
      <c r="B472" s="6" t="str">
        <f>IFERROR(__xludf.DUMMYFUNCTION("""COMPUTED_VALUE"""),"Julho")</f>
        <v>Julho</v>
      </c>
      <c r="C472" s="6" t="str">
        <f>IFERROR(__xludf.DUMMYFUNCTION("""COMPUTED_VALUE"""),"HOMICÍDIO DOLOSO (exclui FEMINICÍDIO)")</f>
        <v>HOMICÍDIO DOLOSO (exclui FEMINICÍDIO)</v>
      </c>
      <c r="D472" s="6">
        <f>IFERROR(__xludf.DUMMYFUNCTION("""COMPUTED_VALUE"""),3.0)</f>
        <v>3</v>
      </c>
      <c r="E472" s="6">
        <f>IFERROR(__xludf.DUMMYFUNCTION("""COMPUTED_VALUE"""),1.0)</f>
        <v>1</v>
      </c>
      <c r="F472" s="6">
        <f>IFERROR(__xludf.DUMMYFUNCTION("""COMPUTED_VALUE"""),1.0)</f>
        <v>1</v>
      </c>
      <c r="G472" s="6">
        <f>IFERROR(__xludf.DUMMYFUNCTION("""COMPUTED_VALUE"""),5.0)</f>
        <v>5</v>
      </c>
    </row>
    <row r="473">
      <c r="A473" s="6">
        <f>IFERROR(__xludf.DUMMYFUNCTION("""COMPUTED_VALUE"""),2014.0)</f>
        <v>2014</v>
      </c>
      <c r="B473" s="6" t="str">
        <f>IFERROR(__xludf.DUMMYFUNCTION("""COMPUTED_VALUE"""),"Julho")</f>
        <v>Julho</v>
      </c>
      <c r="C473" s="6" t="str">
        <f>IFERROR(__xludf.DUMMYFUNCTION("""COMPUTED_VALUE"""),"INVASÃO DE DOMICÍLIO")</f>
        <v>INVASÃO DE DOMICÍLIO</v>
      </c>
      <c r="D473" s="6">
        <f>IFERROR(__xludf.DUMMYFUNCTION("""COMPUTED_VALUE"""),0.0)</f>
        <v>0</v>
      </c>
      <c r="E473" s="6">
        <f>IFERROR(__xludf.DUMMYFUNCTION("""COMPUTED_VALUE"""),3.0)</f>
        <v>3</v>
      </c>
      <c r="F473" s="6">
        <f>IFERROR(__xludf.DUMMYFUNCTION("""COMPUTED_VALUE"""),13.0)</f>
        <v>13</v>
      </c>
      <c r="G473" s="6">
        <f>IFERROR(__xludf.DUMMYFUNCTION("""COMPUTED_VALUE"""),16.0)</f>
        <v>16</v>
      </c>
    </row>
    <row r="474">
      <c r="A474" s="6">
        <f>IFERROR(__xludf.DUMMYFUNCTION("""COMPUTED_VALUE"""),2014.0)</f>
        <v>2014</v>
      </c>
      <c r="B474" s="6" t="str">
        <f>IFERROR(__xludf.DUMMYFUNCTION("""COMPUTED_VALUE"""),"Julho")</f>
        <v>Julho</v>
      </c>
      <c r="C474" s="6" t="str">
        <f>IFERROR(__xludf.DUMMYFUNCTION("""COMPUTED_VALUE"""),"LESÃO CORPORAL DOLOSA")</f>
        <v>LESÃO CORPORAL DOLOSA</v>
      </c>
      <c r="D474" s="6">
        <f>IFERROR(__xludf.DUMMYFUNCTION("""COMPUTED_VALUE"""),1.015)</f>
        <v>1.015</v>
      </c>
      <c r="E474" s="6">
        <f>IFERROR(__xludf.DUMMYFUNCTION("""COMPUTED_VALUE"""),848.0)</f>
        <v>848</v>
      </c>
      <c r="F474" s="6">
        <f>IFERROR(__xludf.DUMMYFUNCTION("""COMPUTED_VALUE"""),3.184)</f>
        <v>3.184</v>
      </c>
      <c r="G474" s="6">
        <f>IFERROR(__xludf.DUMMYFUNCTION("""COMPUTED_VALUE"""),5.047)</f>
        <v>5.047</v>
      </c>
    </row>
    <row r="475">
      <c r="A475" s="6">
        <f>IFERROR(__xludf.DUMMYFUNCTION("""COMPUTED_VALUE"""),2014.0)</f>
        <v>2014</v>
      </c>
      <c r="B475" s="6" t="str">
        <f>IFERROR(__xludf.DUMMYFUNCTION("""COMPUTED_VALUE"""),"Julho")</f>
        <v>Julho</v>
      </c>
      <c r="C475" s="6" t="str">
        <f>IFERROR(__xludf.DUMMYFUNCTION("""COMPUTED_VALUE"""),"MAUS TRATOS")</f>
        <v>MAUS TRATOS</v>
      </c>
      <c r="D475" s="6">
        <f>IFERROR(__xludf.DUMMYFUNCTION("""COMPUTED_VALUE"""),5.0)</f>
        <v>5</v>
      </c>
      <c r="E475" s="6">
        <f>IFERROR(__xludf.DUMMYFUNCTION("""COMPUTED_VALUE"""),2.0)</f>
        <v>2</v>
      </c>
      <c r="F475" s="6">
        <f>IFERROR(__xludf.DUMMYFUNCTION("""COMPUTED_VALUE"""),21.0)</f>
        <v>21</v>
      </c>
      <c r="G475" s="6">
        <f>IFERROR(__xludf.DUMMYFUNCTION("""COMPUTED_VALUE"""),28.0)</f>
        <v>28</v>
      </c>
    </row>
    <row r="476">
      <c r="A476" s="6">
        <f>IFERROR(__xludf.DUMMYFUNCTION("""COMPUTED_VALUE"""),2014.0)</f>
        <v>2014</v>
      </c>
      <c r="B476" s="6" t="str">
        <f>IFERROR(__xludf.DUMMYFUNCTION("""COMPUTED_VALUE"""),"Julho")</f>
        <v>Julho</v>
      </c>
      <c r="C476" s="6" t="str">
        <f>IFERROR(__xludf.DUMMYFUNCTION("""COMPUTED_VALUE"""),"OUTROS C/C/ DIGNIDADE SEXUAL")</f>
        <v>OUTROS C/C/ DIGNIDADE SEXUAL</v>
      </c>
      <c r="D476" s="6">
        <f>IFERROR(__xludf.DUMMYFUNCTION("""COMPUTED_VALUE"""),0.0)</f>
        <v>0</v>
      </c>
      <c r="E476" s="6">
        <f>IFERROR(__xludf.DUMMYFUNCTION("""COMPUTED_VALUE"""),0.0)</f>
        <v>0</v>
      </c>
      <c r="F476" s="6">
        <f>IFERROR(__xludf.DUMMYFUNCTION("""COMPUTED_VALUE"""),2.0)</f>
        <v>2</v>
      </c>
      <c r="G476" s="6">
        <f>IFERROR(__xludf.DUMMYFUNCTION("""COMPUTED_VALUE"""),2.0)</f>
        <v>2</v>
      </c>
    </row>
    <row r="477">
      <c r="A477" s="6">
        <f>IFERROR(__xludf.DUMMYFUNCTION("""COMPUTED_VALUE"""),2014.0)</f>
        <v>2014</v>
      </c>
      <c r="B477" s="6" t="str">
        <f>IFERROR(__xludf.DUMMYFUNCTION("""COMPUTED_VALUE"""),"Julho")</f>
        <v>Julho</v>
      </c>
      <c r="C477" s="6" t="str">
        <f>IFERROR(__xludf.DUMMYFUNCTION("""COMPUTED_VALUE"""),"TENTATIVA DE HOMICÍDIO")</f>
        <v>TENTATIVA DE HOMICÍDIO</v>
      </c>
      <c r="D477" s="6">
        <f>IFERROR(__xludf.DUMMYFUNCTION("""COMPUTED_VALUE"""),4.0)</f>
        <v>4</v>
      </c>
      <c r="E477" s="6">
        <f>IFERROR(__xludf.DUMMYFUNCTION("""COMPUTED_VALUE"""),4.0)</f>
        <v>4</v>
      </c>
      <c r="F477" s="6">
        <f>IFERROR(__xludf.DUMMYFUNCTION("""COMPUTED_VALUE"""),13.0)</f>
        <v>13</v>
      </c>
      <c r="G477" s="6">
        <f>IFERROR(__xludf.DUMMYFUNCTION("""COMPUTED_VALUE"""),21.0)</f>
        <v>21</v>
      </c>
    </row>
    <row r="478">
      <c r="A478" s="6">
        <f>IFERROR(__xludf.DUMMYFUNCTION("""COMPUTED_VALUE"""),2014.0)</f>
        <v>2014</v>
      </c>
      <c r="B478" s="6" t="str">
        <f>IFERROR(__xludf.DUMMYFUNCTION("""COMPUTED_VALUE"""),"Agosto")</f>
        <v>Agosto</v>
      </c>
      <c r="C478" s="6" t="str">
        <f>IFERROR(__xludf.DUMMYFUNCTION("""COMPUTED_VALUE"""),"AMEAÇA")</f>
        <v>AMEAÇA</v>
      </c>
      <c r="D478" s="6">
        <f>IFERROR(__xludf.DUMMYFUNCTION("""COMPUTED_VALUE"""),934.0)</f>
        <v>934</v>
      </c>
      <c r="E478" s="6">
        <f>IFERROR(__xludf.DUMMYFUNCTION("""COMPUTED_VALUE"""),813.0)</f>
        <v>813</v>
      </c>
      <c r="F478" s="6">
        <f>IFERROR(__xludf.DUMMYFUNCTION("""COMPUTED_VALUE"""),3.267)</f>
        <v>3.267</v>
      </c>
      <c r="G478" s="6">
        <f>IFERROR(__xludf.DUMMYFUNCTION("""COMPUTED_VALUE"""),5.014)</f>
        <v>5.014</v>
      </c>
    </row>
    <row r="479">
      <c r="A479" s="6">
        <f>IFERROR(__xludf.DUMMYFUNCTION("""COMPUTED_VALUE"""),2014.0)</f>
        <v>2014</v>
      </c>
      <c r="B479" s="6" t="str">
        <f>IFERROR(__xludf.DUMMYFUNCTION("""COMPUTED_VALUE"""),"Agosto")</f>
        <v>Agosto</v>
      </c>
      <c r="C479" s="6" t="str">
        <f>IFERROR(__xludf.DUMMYFUNCTION("""COMPUTED_VALUE"""),"CALÚNIA - DIFAMAÇÃO - INJÚRIA")</f>
        <v>CALÚNIA - DIFAMAÇÃO - INJÚRIA</v>
      </c>
      <c r="D479" s="6">
        <f>IFERROR(__xludf.DUMMYFUNCTION("""COMPUTED_VALUE"""),209.0)</f>
        <v>209</v>
      </c>
      <c r="E479" s="6">
        <f>IFERROR(__xludf.DUMMYFUNCTION("""COMPUTED_VALUE"""),183.0)</f>
        <v>183</v>
      </c>
      <c r="F479" s="6">
        <f>IFERROR(__xludf.DUMMYFUNCTION("""COMPUTED_VALUE"""),863.0)</f>
        <v>863</v>
      </c>
      <c r="G479" s="6">
        <f>IFERROR(__xludf.DUMMYFUNCTION("""COMPUTED_VALUE"""),1.255)</f>
        <v>1.255</v>
      </c>
    </row>
    <row r="480">
      <c r="A480" s="6">
        <f>IFERROR(__xludf.DUMMYFUNCTION("""COMPUTED_VALUE"""),2014.0)</f>
        <v>2014</v>
      </c>
      <c r="B480" s="6" t="str">
        <f>IFERROR(__xludf.DUMMYFUNCTION("""COMPUTED_VALUE"""),"Agosto")</f>
        <v>Agosto</v>
      </c>
      <c r="C480" s="6" t="str">
        <f>IFERROR(__xludf.DUMMYFUNCTION("""COMPUTED_VALUE"""),"CONSTRANGIMENTO ILEGAL")</f>
        <v>CONSTRANGIMENTO ILEGAL</v>
      </c>
      <c r="D480" s="6">
        <f>IFERROR(__xludf.DUMMYFUNCTION("""COMPUTED_VALUE"""),2.0)</f>
        <v>2</v>
      </c>
      <c r="E480" s="6">
        <f>IFERROR(__xludf.DUMMYFUNCTION("""COMPUTED_VALUE"""),1.0)</f>
        <v>1</v>
      </c>
      <c r="F480" s="6">
        <f>IFERROR(__xludf.DUMMYFUNCTION("""COMPUTED_VALUE"""),11.0)</f>
        <v>11</v>
      </c>
      <c r="G480" s="6">
        <f>IFERROR(__xludf.DUMMYFUNCTION("""COMPUTED_VALUE"""),14.0)</f>
        <v>14</v>
      </c>
    </row>
    <row r="481">
      <c r="A481" s="6">
        <f>IFERROR(__xludf.DUMMYFUNCTION("""COMPUTED_VALUE"""),2014.0)</f>
        <v>2014</v>
      </c>
      <c r="B481" s="6" t="str">
        <f>IFERROR(__xludf.DUMMYFUNCTION("""COMPUTED_VALUE"""),"Agosto")</f>
        <v>Agosto</v>
      </c>
      <c r="C481" s="6" t="str">
        <f>IFERROR(__xludf.DUMMYFUNCTION("""COMPUTED_VALUE"""),"DANO")</f>
        <v>DANO</v>
      </c>
      <c r="D481" s="6">
        <f>IFERROR(__xludf.DUMMYFUNCTION("""COMPUTED_VALUE"""),14.0)</f>
        <v>14</v>
      </c>
      <c r="E481" s="6">
        <f>IFERROR(__xludf.DUMMYFUNCTION("""COMPUTED_VALUE"""),13.0)</f>
        <v>13</v>
      </c>
      <c r="F481" s="6">
        <f>IFERROR(__xludf.DUMMYFUNCTION("""COMPUTED_VALUE"""),76.0)</f>
        <v>76</v>
      </c>
      <c r="G481" s="6">
        <f>IFERROR(__xludf.DUMMYFUNCTION("""COMPUTED_VALUE"""),103.0)</f>
        <v>103</v>
      </c>
    </row>
    <row r="482">
      <c r="A482" s="6">
        <f>IFERROR(__xludf.DUMMYFUNCTION("""COMPUTED_VALUE"""),2014.0)</f>
        <v>2014</v>
      </c>
      <c r="B482" s="6" t="str">
        <f>IFERROR(__xludf.DUMMYFUNCTION("""COMPUTED_VALUE"""),"Agosto")</f>
        <v>Agosto</v>
      </c>
      <c r="C482" s="6" t="str">
        <f>IFERROR(__xludf.DUMMYFUNCTION("""COMPUTED_VALUE"""),"ESTUPRO CONSUMADO")</f>
        <v>ESTUPRO CONSUMADO</v>
      </c>
      <c r="D482" s="6">
        <f>IFERROR(__xludf.DUMMYFUNCTION("""COMPUTED_VALUE"""),10.0)</f>
        <v>10</v>
      </c>
      <c r="E482" s="6">
        <f>IFERROR(__xludf.DUMMYFUNCTION("""COMPUTED_VALUE"""),3.0)</f>
        <v>3</v>
      </c>
      <c r="F482" s="6">
        <f>IFERROR(__xludf.DUMMYFUNCTION("""COMPUTED_VALUE"""),32.0)</f>
        <v>32</v>
      </c>
      <c r="G482" s="6">
        <f>IFERROR(__xludf.DUMMYFUNCTION("""COMPUTED_VALUE"""),45.0)</f>
        <v>45</v>
      </c>
    </row>
    <row r="483">
      <c r="A483" s="6">
        <f>IFERROR(__xludf.DUMMYFUNCTION("""COMPUTED_VALUE"""),2014.0)</f>
        <v>2014</v>
      </c>
      <c r="B483" s="6" t="str">
        <f>IFERROR(__xludf.DUMMYFUNCTION("""COMPUTED_VALUE"""),"Agosto")</f>
        <v>Agosto</v>
      </c>
      <c r="C483" s="6" t="str">
        <f>IFERROR(__xludf.DUMMYFUNCTION("""COMPUTED_VALUE"""),"ESTUPRO DE VULNERÁVEL CONSUMADO")</f>
        <v>ESTUPRO DE VULNERÁVEL CONSUMADO</v>
      </c>
      <c r="D483" s="6">
        <f>IFERROR(__xludf.DUMMYFUNCTION("""COMPUTED_VALUE"""),5.0)</f>
        <v>5</v>
      </c>
      <c r="E483" s="6">
        <f>IFERROR(__xludf.DUMMYFUNCTION("""COMPUTED_VALUE"""),4.0)</f>
        <v>4</v>
      </c>
      <c r="F483" s="6">
        <f>IFERROR(__xludf.DUMMYFUNCTION("""COMPUTED_VALUE"""),29.0)</f>
        <v>29</v>
      </c>
      <c r="G483" s="6">
        <f>IFERROR(__xludf.DUMMYFUNCTION("""COMPUTED_VALUE"""),38.0)</f>
        <v>38</v>
      </c>
    </row>
    <row r="484">
      <c r="A484" s="6">
        <f>IFERROR(__xludf.DUMMYFUNCTION("""COMPUTED_VALUE"""),2014.0)</f>
        <v>2014</v>
      </c>
      <c r="B484" s="6" t="str">
        <f>IFERROR(__xludf.DUMMYFUNCTION("""COMPUTED_VALUE"""),"Agosto")</f>
        <v>Agosto</v>
      </c>
      <c r="C484" s="6" t="str">
        <f>IFERROR(__xludf.DUMMYFUNCTION("""COMPUTED_VALUE"""),"ESTUPRO TENTADO")</f>
        <v>ESTUPRO TENTADO</v>
      </c>
      <c r="D484" s="6">
        <f>IFERROR(__xludf.DUMMYFUNCTION("""COMPUTED_VALUE"""),0.0)</f>
        <v>0</v>
      </c>
      <c r="E484" s="6">
        <f>IFERROR(__xludf.DUMMYFUNCTION("""COMPUTED_VALUE"""),1.0)</f>
        <v>1</v>
      </c>
      <c r="F484" s="6">
        <f>IFERROR(__xludf.DUMMYFUNCTION("""COMPUTED_VALUE"""),3.0)</f>
        <v>3</v>
      </c>
      <c r="G484" s="6">
        <f>IFERROR(__xludf.DUMMYFUNCTION("""COMPUTED_VALUE"""),4.0)</f>
        <v>4</v>
      </c>
    </row>
    <row r="485">
      <c r="A485" s="6">
        <f>IFERROR(__xludf.DUMMYFUNCTION("""COMPUTED_VALUE"""),2014.0)</f>
        <v>2014</v>
      </c>
      <c r="B485" s="6" t="str">
        <f>IFERROR(__xludf.DUMMYFUNCTION("""COMPUTED_VALUE"""),"Agosto")</f>
        <v>Agosto</v>
      </c>
      <c r="C485" s="6" t="str">
        <f>IFERROR(__xludf.DUMMYFUNCTION("""COMPUTED_VALUE"""),"HOMICÍDIO CULPOSO")</f>
        <v>HOMICÍDIO CULPOSO</v>
      </c>
      <c r="D485" s="6">
        <f>IFERROR(__xludf.DUMMYFUNCTION("""COMPUTED_VALUE"""),0.0)</f>
        <v>0</v>
      </c>
      <c r="E485" s="6">
        <f>IFERROR(__xludf.DUMMYFUNCTION("""COMPUTED_VALUE"""),0.0)</f>
        <v>0</v>
      </c>
      <c r="F485" s="6">
        <f>IFERROR(__xludf.DUMMYFUNCTION("""COMPUTED_VALUE"""),0.0)</f>
        <v>0</v>
      </c>
      <c r="G485" s="6">
        <f>IFERROR(__xludf.DUMMYFUNCTION("""COMPUTED_VALUE"""),0.0)</f>
        <v>0</v>
      </c>
    </row>
    <row r="486">
      <c r="A486" s="6">
        <f>IFERROR(__xludf.DUMMYFUNCTION("""COMPUTED_VALUE"""),2014.0)</f>
        <v>2014</v>
      </c>
      <c r="B486" s="6" t="str">
        <f>IFERROR(__xludf.DUMMYFUNCTION("""COMPUTED_VALUE"""),"Agosto")</f>
        <v>Agosto</v>
      </c>
      <c r="C486" s="6" t="str">
        <f>IFERROR(__xludf.DUMMYFUNCTION("""COMPUTED_VALUE"""),"HOMICÍDIO DOLOSO (exclui FEMINICÍDIO)")</f>
        <v>HOMICÍDIO DOLOSO (exclui FEMINICÍDIO)</v>
      </c>
      <c r="D486" s="6">
        <f>IFERROR(__xludf.DUMMYFUNCTION("""COMPUTED_VALUE"""),1.0)</f>
        <v>1</v>
      </c>
      <c r="E486" s="6">
        <f>IFERROR(__xludf.DUMMYFUNCTION("""COMPUTED_VALUE"""),1.0)</f>
        <v>1</v>
      </c>
      <c r="F486" s="6">
        <f>IFERROR(__xludf.DUMMYFUNCTION("""COMPUTED_VALUE"""),4.0)</f>
        <v>4</v>
      </c>
      <c r="G486" s="6">
        <f>IFERROR(__xludf.DUMMYFUNCTION("""COMPUTED_VALUE"""),6.0)</f>
        <v>6</v>
      </c>
    </row>
    <row r="487">
      <c r="A487" s="6">
        <f>IFERROR(__xludf.DUMMYFUNCTION("""COMPUTED_VALUE"""),2014.0)</f>
        <v>2014</v>
      </c>
      <c r="B487" s="6" t="str">
        <f>IFERROR(__xludf.DUMMYFUNCTION("""COMPUTED_VALUE"""),"Agosto")</f>
        <v>Agosto</v>
      </c>
      <c r="C487" s="6" t="str">
        <f>IFERROR(__xludf.DUMMYFUNCTION("""COMPUTED_VALUE"""),"INVASÃO DE DOMICÍLIO")</f>
        <v>INVASÃO DE DOMICÍLIO</v>
      </c>
      <c r="D487" s="6">
        <f>IFERROR(__xludf.DUMMYFUNCTION("""COMPUTED_VALUE"""),1.0)</f>
        <v>1</v>
      </c>
      <c r="E487" s="6">
        <f>IFERROR(__xludf.DUMMYFUNCTION("""COMPUTED_VALUE"""),2.0)</f>
        <v>2</v>
      </c>
      <c r="F487" s="6">
        <f>IFERROR(__xludf.DUMMYFUNCTION("""COMPUTED_VALUE"""),21.0)</f>
        <v>21</v>
      </c>
      <c r="G487" s="6">
        <f>IFERROR(__xludf.DUMMYFUNCTION("""COMPUTED_VALUE"""),24.0)</f>
        <v>24</v>
      </c>
    </row>
    <row r="488">
      <c r="A488" s="6">
        <f>IFERROR(__xludf.DUMMYFUNCTION("""COMPUTED_VALUE"""),2014.0)</f>
        <v>2014</v>
      </c>
      <c r="B488" s="6" t="str">
        <f>IFERROR(__xludf.DUMMYFUNCTION("""COMPUTED_VALUE"""),"Agosto")</f>
        <v>Agosto</v>
      </c>
      <c r="C488" s="6" t="str">
        <f>IFERROR(__xludf.DUMMYFUNCTION("""COMPUTED_VALUE"""),"LESÃO CORPORAL DOLOSA")</f>
        <v>LESÃO CORPORAL DOLOSA</v>
      </c>
      <c r="D488" s="6">
        <f>IFERROR(__xludf.DUMMYFUNCTION("""COMPUTED_VALUE"""),964.0)</f>
        <v>964</v>
      </c>
      <c r="E488" s="6">
        <f>IFERROR(__xludf.DUMMYFUNCTION("""COMPUTED_VALUE"""),834.0)</f>
        <v>834</v>
      </c>
      <c r="F488" s="6">
        <f>IFERROR(__xludf.DUMMYFUNCTION("""COMPUTED_VALUE"""),3.293)</f>
        <v>3.293</v>
      </c>
      <c r="G488" s="6">
        <f>IFERROR(__xludf.DUMMYFUNCTION("""COMPUTED_VALUE"""),5.091)</f>
        <v>5.091</v>
      </c>
    </row>
    <row r="489">
      <c r="A489" s="6">
        <f>IFERROR(__xludf.DUMMYFUNCTION("""COMPUTED_VALUE"""),2014.0)</f>
        <v>2014</v>
      </c>
      <c r="B489" s="6" t="str">
        <f>IFERROR(__xludf.DUMMYFUNCTION("""COMPUTED_VALUE"""),"Agosto")</f>
        <v>Agosto</v>
      </c>
      <c r="C489" s="6" t="str">
        <f>IFERROR(__xludf.DUMMYFUNCTION("""COMPUTED_VALUE"""),"MAUS TRATOS")</f>
        <v>MAUS TRATOS</v>
      </c>
      <c r="D489" s="6">
        <f>IFERROR(__xludf.DUMMYFUNCTION("""COMPUTED_VALUE"""),2.0)</f>
        <v>2</v>
      </c>
      <c r="E489" s="6">
        <f>IFERROR(__xludf.DUMMYFUNCTION("""COMPUTED_VALUE"""),3.0)</f>
        <v>3</v>
      </c>
      <c r="F489" s="6">
        <f>IFERROR(__xludf.DUMMYFUNCTION("""COMPUTED_VALUE"""),17.0)</f>
        <v>17</v>
      </c>
      <c r="G489" s="6">
        <f>IFERROR(__xludf.DUMMYFUNCTION("""COMPUTED_VALUE"""),22.0)</f>
        <v>22</v>
      </c>
    </row>
    <row r="490">
      <c r="A490" s="6">
        <f>IFERROR(__xludf.DUMMYFUNCTION("""COMPUTED_VALUE"""),2014.0)</f>
        <v>2014</v>
      </c>
      <c r="B490" s="6" t="str">
        <f>IFERROR(__xludf.DUMMYFUNCTION("""COMPUTED_VALUE"""),"Agosto")</f>
        <v>Agosto</v>
      </c>
      <c r="C490" s="6" t="str">
        <f>IFERROR(__xludf.DUMMYFUNCTION("""COMPUTED_VALUE"""),"OUTROS C/C/ DIGNIDADE SEXUAL")</f>
        <v>OUTROS C/C/ DIGNIDADE SEXUAL</v>
      </c>
      <c r="D490" s="6">
        <f>IFERROR(__xludf.DUMMYFUNCTION("""COMPUTED_VALUE"""),1.0)</f>
        <v>1</v>
      </c>
      <c r="E490" s="6">
        <f>IFERROR(__xludf.DUMMYFUNCTION("""COMPUTED_VALUE"""),0.0)</f>
        <v>0</v>
      </c>
      <c r="F490" s="6">
        <f>IFERROR(__xludf.DUMMYFUNCTION("""COMPUTED_VALUE"""),3.0)</f>
        <v>3</v>
      </c>
      <c r="G490" s="6">
        <f>IFERROR(__xludf.DUMMYFUNCTION("""COMPUTED_VALUE"""),4.0)</f>
        <v>4</v>
      </c>
    </row>
    <row r="491">
      <c r="A491" s="6">
        <f>IFERROR(__xludf.DUMMYFUNCTION("""COMPUTED_VALUE"""),2014.0)</f>
        <v>2014</v>
      </c>
      <c r="B491" s="6" t="str">
        <f>IFERROR(__xludf.DUMMYFUNCTION("""COMPUTED_VALUE"""),"Agosto")</f>
        <v>Agosto</v>
      </c>
      <c r="C491" s="6" t="str">
        <f>IFERROR(__xludf.DUMMYFUNCTION("""COMPUTED_VALUE"""),"TENTATIVA DE HOMICÍDIO")</f>
        <v>TENTATIVA DE HOMICÍDIO</v>
      </c>
      <c r="D491" s="6">
        <f>IFERROR(__xludf.DUMMYFUNCTION("""COMPUTED_VALUE"""),1.0)</f>
        <v>1</v>
      </c>
      <c r="E491" s="6">
        <f>IFERROR(__xludf.DUMMYFUNCTION("""COMPUTED_VALUE"""),2.0)</f>
        <v>2</v>
      </c>
      <c r="F491" s="6">
        <f>IFERROR(__xludf.DUMMYFUNCTION("""COMPUTED_VALUE"""),16.0)</f>
        <v>16</v>
      </c>
      <c r="G491" s="6">
        <f>IFERROR(__xludf.DUMMYFUNCTION("""COMPUTED_VALUE"""),19.0)</f>
        <v>19</v>
      </c>
    </row>
    <row r="492">
      <c r="A492" s="6">
        <f>IFERROR(__xludf.DUMMYFUNCTION("""COMPUTED_VALUE"""),2014.0)</f>
        <v>2014</v>
      </c>
      <c r="B492" s="6" t="str">
        <f>IFERROR(__xludf.DUMMYFUNCTION("""COMPUTED_VALUE"""),"Setembro")</f>
        <v>Setembro</v>
      </c>
      <c r="C492" s="6" t="str">
        <f>IFERROR(__xludf.DUMMYFUNCTION("""COMPUTED_VALUE"""),"AMEAÇA")</f>
        <v>AMEAÇA</v>
      </c>
      <c r="D492" s="6">
        <f>IFERROR(__xludf.DUMMYFUNCTION("""COMPUTED_VALUE"""),990.0)</f>
        <v>990</v>
      </c>
      <c r="E492" s="6">
        <f>IFERROR(__xludf.DUMMYFUNCTION("""COMPUTED_VALUE"""),832.0)</f>
        <v>832</v>
      </c>
      <c r="F492" s="6">
        <f>IFERROR(__xludf.DUMMYFUNCTION("""COMPUTED_VALUE"""),3.219)</f>
        <v>3.219</v>
      </c>
      <c r="G492" s="6">
        <f>IFERROR(__xludf.DUMMYFUNCTION("""COMPUTED_VALUE"""),5.041)</f>
        <v>5.041</v>
      </c>
    </row>
    <row r="493">
      <c r="A493" s="6">
        <f>IFERROR(__xludf.DUMMYFUNCTION("""COMPUTED_VALUE"""),2014.0)</f>
        <v>2014</v>
      </c>
      <c r="B493" s="6" t="str">
        <f>IFERROR(__xludf.DUMMYFUNCTION("""COMPUTED_VALUE"""),"Setembro")</f>
        <v>Setembro</v>
      </c>
      <c r="C493" s="6" t="str">
        <f>IFERROR(__xludf.DUMMYFUNCTION("""COMPUTED_VALUE"""),"CALÚNIA - DIFAMAÇÃO - INJÚRIA")</f>
        <v>CALÚNIA - DIFAMAÇÃO - INJÚRIA</v>
      </c>
      <c r="D493" s="6">
        <f>IFERROR(__xludf.DUMMYFUNCTION("""COMPUTED_VALUE"""),193.0)</f>
        <v>193</v>
      </c>
      <c r="E493" s="6">
        <f>IFERROR(__xludf.DUMMYFUNCTION("""COMPUTED_VALUE"""),178.0)</f>
        <v>178</v>
      </c>
      <c r="F493" s="6">
        <f>IFERROR(__xludf.DUMMYFUNCTION("""COMPUTED_VALUE"""),806.0)</f>
        <v>806</v>
      </c>
      <c r="G493" s="6">
        <f>IFERROR(__xludf.DUMMYFUNCTION("""COMPUTED_VALUE"""),1.177)</f>
        <v>1.177</v>
      </c>
    </row>
    <row r="494">
      <c r="A494" s="6">
        <f>IFERROR(__xludf.DUMMYFUNCTION("""COMPUTED_VALUE"""),2014.0)</f>
        <v>2014</v>
      </c>
      <c r="B494" s="6" t="str">
        <f>IFERROR(__xludf.DUMMYFUNCTION("""COMPUTED_VALUE"""),"Setembro")</f>
        <v>Setembro</v>
      </c>
      <c r="C494" s="6" t="str">
        <f>IFERROR(__xludf.DUMMYFUNCTION("""COMPUTED_VALUE"""),"CONSTRANGIMENTO ILEGAL")</f>
        <v>CONSTRANGIMENTO ILEGAL</v>
      </c>
      <c r="D494" s="6">
        <f>IFERROR(__xludf.DUMMYFUNCTION("""COMPUTED_VALUE"""),2.0)</f>
        <v>2</v>
      </c>
      <c r="E494" s="6">
        <f>IFERROR(__xludf.DUMMYFUNCTION("""COMPUTED_VALUE"""),1.0)</f>
        <v>1</v>
      </c>
      <c r="F494" s="6">
        <f>IFERROR(__xludf.DUMMYFUNCTION("""COMPUTED_VALUE"""),10.0)</f>
        <v>10</v>
      </c>
      <c r="G494" s="6">
        <f>IFERROR(__xludf.DUMMYFUNCTION("""COMPUTED_VALUE"""),13.0)</f>
        <v>13</v>
      </c>
    </row>
    <row r="495">
      <c r="A495" s="6">
        <f>IFERROR(__xludf.DUMMYFUNCTION("""COMPUTED_VALUE"""),2014.0)</f>
        <v>2014</v>
      </c>
      <c r="B495" s="6" t="str">
        <f>IFERROR(__xludf.DUMMYFUNCTION("""COMPUTED_VALUE"""),"Setembro")</f>
        <v>Setembro</v>
      </c>
      <c r="C495" s="6" t="str">
        <f>IFERROR(__xludf.DUMMYFUNCTION("""COMPUTED_VALUE"""),"DANO")</f>
        <v>DANO</v>
      </c>
      <c r="D495" s="6">
        <f>IFERROR(__xludf.DUMMYFUNCTION("""COMPUTED_VALUE"""),12.0)</f>
        <v>12</v>
      </c>
      <c r="E495" s="6">
        <f>IFERROR(__xludf.DUMMYFUNCTION("""COMPUTED_VALUE"""),12.0)</f>
        <v>12</v>
      </c>
      <c r="F495" s="6">
        <f>IFERROR(__xludf.DUMMYFUNCTION("""COMPUTED_VALUE"""),65.0)</f>
        <v>65</v>
      </c>
      <c r="G495" s="6">
        <f>IFERROR(__xludf.DUMMYFUNCTION("""COMPUTED_VALUE"""),89.0)</f>
        <v>89</v>
      </c>
    </row>
    <row r="496">
      <c r="A496" s="6">
        <f>IFERROR(__xludf.DUMMYFUNCTION("""COMPUTED_VALUE"""),2014.0)</f>
        <v>2014</v>
      </c>
      <c r="B496" s="6" t="str">
        <f>IFERROR(__xludf.DUMMYFUNCTION("""COMPUTED_VALUE"""),"Setembro")</f>
        <v>Setembro</v>
      </c>
      <c r="C496" s="6" t="str">
        <f>IFERROR(__xludf.DUMMYFUNCTION("""COMPUTED_VALUE"""),"ESTUPRO CONSUMADO")</f>
        <v>ESTUPRO CONSUMADO</v>
      </c>
      <c r="D496" s="6">
        <f>IFERROR(__xludf.DUMMYFUNCTION("""COMPUTED_VALUE"""),15.0)</f>
        <v>15</v>
      </c>
      <c r="E496" s="6">
        <f>IFERROR(__xludf.DUMMYFUNCTION("""COMPUTED_VALUE"""),6.0)</f>
        <v>6</v>
      </c>
      <c r="F496" s="6">
        <f>IFERROR(__xludf.DUMMYFUNCTION("""COMPUTED_VALUE"""),27.0)</f>
        <v>27</v>
      </c>
      <c r="G496" s="6">
        <f>IFERROR(__xludf.DUMMYFUNCTION("""COMPUTED_VALUE"""),48.0)</f>
        <v>48</v>
      </c>
    </row>
    <row r="497">
      <c r="A497" s="6">
        <f>IFERROR(__xludf.DUMMYFUNCTION("""COMPUTED_VALUE"""),2014.0)</f>
        <v>2014</v>
      </c>
      <c r="B497" s="6" t="str">
        <f>IFERROR(__xludf.DUMMYFUNCTION("""COMPUTED_VALUE"""),"Setembro")</f>
        <v>Setembro</v>
      </c>
      <c r="C497" s="6" t="str">
        <f>IFERROR(__xludf.DUMMYFUNCTION("""COMPUTED_VALUE"""),"ESTUPRO DE VULNERÁVEL CONSUMADO")</f>
        <v>ESTUPRO DE VULNERÁVEL CONSUMADO</v>
      </c>
      <c r="D497" s="6">
        <f>IFERROR(__xludf.DUMMYFUNCTION("""COMPUTED_VALUE"""),5.0)</f>
        <v>5</v>
      </c>
      <c r="E497" s="6">
        <f>IFERROR(__xludf.DUMMYFUNCTION("""COMPUTED_VALUE"""),7.0)</f>
        <v>7</v>
      </c>
      <c r="F497" s="6">
        <f>IFERROR(__xludf.DUMMYFUNCTION("""COMPUTED_VALUE"""),24.0)</f>
        <v>24</v>
      </c>
      <c r="G497" s="6">
        <f>IFERROR(__xludf.DUMMYFUNCTION("""COMPUTED_VALUE"""),36.0)</f>
        <v>36</v>
      </c>
    </row>
    <row r="498">
      <c r="A498" s="6">
        <f>IFERROR(__xludf.DUMMYFUNCTION("""COMPUTED_VALUE"""),2014.0)</f>
        <v>2014</v>
      </c>
      <c r="B498" s="6" t="str">
        <f>IFERROR(__xludf.DUMMYFUNCTION("""COMPUTED_VALUE"""),"Setembro")</f>
        <v>Setembro</v>
      </c>
      <c r="C498" s="6" t="str">
        <f>IFERROR(__xludf.DUMMYFUNCTION("""COMPUTED_VALUE"""),"ESTUPRO TENTADO")</f>
        <v>ESTUPRO TENTADO</v>
      </c>
      <c r="D498" s="6">
        <f>IFERROR(__xludf.DUMMYFUNCTION("""COMPUTED_VALUE"""),0.0)</f>
        <v>0</v>
      </c>
      <c r="E498" s="6">
        <f>IFERROR(__xludf.DUMMYFUNCTION("""COMPUTED_VALUE"""),1.0)</f>
        <v>1</v>
      </c>
      <c r="F498" s="6">
        <f>IFERROR(__xludf.DUMMYFUNCTION("""COMPUTED_VALUE"""),2.0)</f>
        <v>2</v>
      </c>
      <c r="G498" s="6">
        <f>IFERROR(__xludf.DUMMYFUNCTION("""COMPUTED_VALUE"""),3.0)</f>
        <v>3</v>
      </c>
    </row>
    <row r="499">
      <c r="A499" s="6">
        <f>IFERROR(__xludf.DUMMYFUNCTION("""COMPUTED_VALUE"""),2014.0)</f>
        <v>2014</v>
      </c>
      <c r="B499" s="6" t="str">
        <f>IFERROR(__xludf.DUMMYFUNCTION("""COMPUTED_VALUE"""),"Setembro")</f>
        <v>Setembro</v>
      </c>
      <c r="C499" s="6" t="str">
        <f>IFERROR(__xludf.DUMMYFUNCTION("""COMPUTED_VALUE"""),"HOMICÍDIO CULPOSO")</f>
        <v>HOMICÍDIO CULPOSO</v>
      </c>
      <c r="D499" s="6">
        <f>IFERROR(__xludf.DUMMYFUNCTION("""COMPUTED_VALUE"""),0.0)</f>
        <v>0</v>
      </c>
      <c r="E499" s="6">
        <f>IFERROR(__xludf.DUMMYFUNCTION("""COMPUTED_VALUE"""),0.0)</f>
        <v>0</v>
      </c>
      <c r="F499" s="6">
        <f>IFERROR(__xludf.DUMMYFUNCTION("""COMPUTED_VALUE"""),0.0)</f>
        <v>0</v>
      </c>
      <c r="G499" s="6">
        <f>IFERROR(__xludf.DUMMYFUNCTION("""COMPUTED_VALUE"""),0.0)</f>
        <v>0</v>
      </c>
    </row>
    <row r="500">
      <c r="A500" s="6">
        <f>IFERROR(__xludf.DUMMYFUNCTION("""COMPUTED_VALUE"""),2014.0)</f>
        <v>2014</v>
      </c>
      <c r="B500" s="6" t="str">
        <f>IFERROR(__xludf.DUMMYFUNCTION("""COMPUTED_VALUE"""),"Setembro")</f>
        <v>Setembro</v>
      </c>
      <c r="C500" s="6" t="str">
        <f>IFERROR(__xludf.DUMMYFUNCTION("""COMPUTED_VALUE"""),"HOMICÍDIO DOLOSO (exclui FEMINICÍDIO)")</f>
        <v>HOMICÍDIO DOLOSO (exclui FEMINICÍDIO)</v>
      </c>
      <c r="D500" s="6">
        <f>IFERROR(__xludf.DUMMYFUNCTION("""COMPUTED_VALUE"""),0.0)</f>
        <v>0</v>
      </c>
      <c r="E500" s="6">
        <f>IFERROR(__xludf.DUMMYFUNCTION("""COMPUTED_VALUE"""),1.0)</f>
        <v>1</v>
      </c>
      <c r="F500" s="6">
        <f>IFERROR(__xludf.DUMMYFUNCTION("""COMPUTED_VALUE"""),3.0)</f>
        <v>3</v>
      </c>
      <c r="G500" s="6">
        <f>IFERROR(__xludf.DUMMYFUNCTION("""COMPUTED_VALUE"""),4.0)</f>
        <v>4</v>
      </c>
    </row>
    <row r="501">
      <c r="A501" s="6">
        <f>IFERROR(__xludf.DUMMYFUNCTION("""COMPUTED_VALUE"""),2014.0)</f>
        <v>2014</v>
      </c>
      <c r="B501" s="6" t="str">
        <f>IFERROR(__xludf.DUMMYFUNCTION("""COMPUTED_VALUE"""),"Setembro")</f>
        <v>Setembro</v>
      </c>
      <c r="C501" s="6" t="str">
        <f>IFERROR(__xludf.DUMMYFUNCTION("""COMPUTED_VALUE"""),"INVASÃO DE DOMICÍLIO")</f>
        <v>INVASÃO DE DOMICÍLIO</v>
      </c>
      <c r="D501" s="6">
        <f>IFERROR(__xludf.DUMMYFUNCTION("""COMPUTED_VALUE"""),2.0)</f>
        <v>2</v>
      </c>
      <c r="E501" s="6">
        <f>IFERROR(__xludf.DUMMYFUNCTION("""COMPUTED_VALUE"""),2.0)</f>
        <v>2</v>
      </c>
      <c r="F501" s="6">
        <f>IFERROR(__xludf.DUMMYFUNCTION("""COMPUTED_VALUE"""),16.0)</f>
        <v>16</v>
      </c>
      <c r="G501" s="6">
        <f>IFERROR(__xludf.DUMMYFUNCTION("""COMPUTED_VALUE"""),20.0)</f>
        <v>20</v>
      </c>
    </row>
    <row r="502">
      <c r="A502" s="6">
        <f>IFERROR(__xludf.DUMMYFUNCTION("""COMPUTED_VALUE"""),2014.0)</f>
        <v>2014</v>
      </c>
      <c r="B502" s="6" t="str">
        <f>IFERROR(__xludf.DUMMYFUNCTION("""COMPUTED_VALUE"""),"Setembro")</f>
        <v>Setembro</v>
      </c>
      <c r="C502" s="6" t="str">
        <f>IFERROR(__xludf.DUMMYFUNCTION("""COMPUTED_VALUE"""),"LESÃO CORPORAL DOLOSA")</f>
        <v>LESÃO CORPORAL DOLOSA</v>
      </c>
      <c r="D502" s="6">
        <f>IFERROR(__xludf.DUMMYFUNCTION("""COMPUTED_VALUE"""),966.0)</f>
        <v>966</v>
      </c>
      <c r="E502" s="6">
        <f>IFERROR(__xludf.DUMMYFUNCTION("""COMPUTED_VALUE"""),846.0)</f>
        <v>846</v>
      </c>
      <c r="F502" s="6">
        <f>IFERROR(__xludf.DUMMYFUNCTION("""COMPUTED_VALUE"""),3.158)</f>
        <v>3.158</v>
      </c>
      <c r="G502" s="6">
        <f>IFERROR(__xludf.DUMMYFUNCTION("""COMPUTED_VALUE"""),4.97)</f>
        <v>4.97</v>
      </c>
    </row>
    <row r="503">
      <c r="A503" s="6">
        <f>IFERROR(__xludf.DUMMYFUNCTION("""COMPUTED_VALUE"""),2014.0)</f>
        <v>2014</v>
      </c>
      <c r="B503" s="6" t="str">
        <f>IFERROR(__xludf.DUMMYFUNCTION("""COMPUTED_VALUE"""),"Setembro")</f>
        <v>Setembro</v>
      </c>
      <c r="C503" s="6" t="str">
        <f>IFERROR(__xludf.DUMMYFUNCTION("""COMPUTED_VALUE"""),"MAUS TRATOS")</f>
        <v>MAUS TRATOS</v>
      </c>
      <c r="D503" s="6">
        <f>IFERROR(__xludf.DUMMYFUNCTION("""COMPUTED_VALUE"""),2.0)</f>
        <v>2</v>
      </c>
      <c r="E503" s="6">
        <f>IFERROR(__xludf.DUMMYFUNCTION("""COMPUTED_VALUE"""),2.0)</f>
        <v>2</v>
      </c>
      <c r="F503" s="6">
        <f>IFERROR(__xludf.DUMMYFUNCTION("""COMPUTED_VALUE"""),17.0)</f>
        <v>17</v>
      </c>
      <c r="G503" s="6">
        <f>IFERROR(__xludf.DUMMYFUNCTION("""COMPUTED_VALUE"""),21.0)</f>
        <v>21</v>
      </c>
    </row>
    <row r="504">
      <c r="A504" s="6">
        <f>IFERROR(__xludf.DUMMYFUNCTION("""COMPUTED_VALUE"""),2014.0)</f>
        <v>2014</v>
      </c>
      <c r="B504" s="6" t="str">
        <f>IFERROR(__xludf.DUMMYFUNCTION("""COMPUTED_VALUE"""),"Setembro")</f>
        <v>Setembro</v>
      </c>
      <c r="C504" s="6" t="str">
        <f>IFERROR(__xludf.DUMMYFUNCTION("""COMPUTED_VALUE"""),"OUTROS C/C/ DIGNIDADE SEXUAL")</f>
        <v>OUTROS C/C/ DIGNIDADE SEXUAL</v>
      </c>
      <c r="D504" s="6">
        <f>IFERROR(__xludf.DUMMYFUNCTION("""COMPUTED_VALUE"""),0.0)</f>
        <v>0</v>
      </c>
      <c r="E504" s="6">
        <f>IFERROR(__xludf.DUMMYFUNCTION("""COMPUTED_VALUE"""),0.0)</f>
        <v>0</v>
      </c>
      <c r="F504" s="6">
        <f>IFERROR(__xludf.DUMMYFUNCTION("""COMPUTED_VALUE"""),4.0)</f>
        <v>4</v>
      </c>
      <c r="G504" s="6">
        <f>IFERROR(__xludf.DUMMYFUNCTION("""COMPUTED_VALUE"""),4.0)</f>
        <v>4</v>
      </c>
    </row>
    <row r="505">
      <c r="A505" s="6">
        <f>IFERROR(__xludf.DUMMYFUNCTION("""COMPUTED_VALUE"""),2014.0)</f>
        <v>2014</v>
      </c>
      <c r="B505" s="6" t="str">
        <f>IFERROR(__xludf.DUMMYFUNCTION("""COMPUTED_VALUE"""),"Setembro")</f>
        <v>Setembro</v>
      </c>
      <c r="C505" s="6" t="str">
        <f>IFERROR(__xludf.DUMMYFUNCTION("""COMPUTED_VALUE"""),"TENTATIVA DE HOMICÍDIO")</f>
        <v>TENTATIVA DE HOMICÍDIO</v>
      </c>
      <c r="D505" s="6">
        <f>IFERROR(__xludf.DUMMYFUNCTION("""COMPUTED_VALUE"""),3.0)</f>
        <v>3</v>
      </c>
      <c r="E505" s="6">
        <f>IFERROR(__xludf.DUMMYFUNCTION("""COMPUTED_VALUE"""),2.0)</f>
        <v>2</v>
      </c>
      <c r="F505" s="6">
        <f>IFERROR(__xludf.DUMMYFUNCTION("""COMPUTED_VALUE"""),14.0)</f>
        <v>14</v>
      </c>
      <c r="G505" s="6">
        <f>IFERROR(__xludf.DUMMYFUNCTION("""COMPUTED_VALUE"""),19.0)</f>
        <v>19</v>
      </c>
    </row>
    <row r="506">
      <c r="A506" s="6">
        <f>IFERROR(__xludf.DUMMYFUNCTION("""COMPUTED_VALUE"""),2014.0)</f>
        <v>2014</v>
      </c>
      <c r="B506" s="6" t="str">
        <f>IFERROR(__xludf.DUMMYFUNCTION("""COMPUTED_VALUE"""),"Outubro")</f>
        <v>Outubro</v>
      </c>
      <c r="C506" s="6" t="str">
        <f>IFERROR(__xludf.DUMMYFUNCTION("""COMPUTED_VALUE"""),"AMEAÇA")</f>
        <v>AMEAÇA</v>
      </c>
      <c r="D506" s="6">
        <f>IFERROR(__xludf.DUMMYFUNCTION("""COMPUTED_VALUE"""),1.011)</f>
        <v>1.011</v>
      </c>
      <c r="E506" s="6">
        <f>IFERROR(__xludf.DUMMYFUNCTION("""COMPUTED_VALUE"""),885.0)</f>
        <v>885</v>
      </c>
      <c r="F506" s="6">
        <f>IFERROR(__xludf.DUMMYFUNCTION("""COMPUTED_VALUE"""),3.539)</f>
        <v>3.539</v>
      </c>
      <c r="G506" s="6">
        <f>IFERROR(__xludf.DUMMYFUNCTION("""COMPUTED_VALUE"""),5.435)</f>
        <v>5.435</v>
      </c>
    </row>
    <row r="507">
      <c r="A507" s="6">
        <f>IFERROR(__xludf.DUMMYFUNCTION("""COMPUTED_VALUE"""),2014.0)</f>
        <v>2014</v>
      </c>
      <c r="B507" s="6" t="str">
        <f>IFERROR(__xludf.DUMMYFUNCTION("""COMPUTED_VALUE"""),"Outubro")</f>
        <v>Outubro</v>
      </c>
      <c r="C507" s="6" t="str">
        <f>IFERROR(__xludf.DUMMYFUNCTION("""COMPUTED_VALUE"""),"CALÚNIA - DIFAMAÇÃO - INJÚRIA")</f>
        <v>CALÚNIA - DIFAMAÇÃO - INJÚRIA</v>
      </c>
      <c r="D507" s="6">
        <f>IFERROR(__xludf.DUMMYFUNCTION("""COMPUTED_VALUE"""),228.0)</f>
        <v>228</v>
      </c>
      <c r="E507" s="6">
        <f>IFERROR(__xludf.DUMMYFUNCTION("""COMPUTED_VALUE"""),211.0)</f>
        <v>211</v>
      </c>
      <c r="F507" s="6">
        <f>IFERROR(__xludf.DUMMYFUNCTION("""COMPUTED_VALUE"""),894.0)</f>
        <v>894</v>
      </c>
      <c r="G507" s="6">
        <f>IFERROR(__xludf.DUMMYFUNCTION("""COMPUTED_VALUE"""),1.333)</f>
        <v>1.333</v>
      </c>
    </row>
    <row r="508">
      <c r="A508" s="6">
        <f>IFERROR(__xludf.DUMMYFUNCTION("""COMPUTED_VALUE"""),2014.0)</f>
        <v>2014</v>
      </c>
      <c r="B508" s="6" t="str">
        <f>IFERROR(__xludf.DUMMYFUNCTION("""COMPUTED_VALUE"""),"Outubro")</f>
        <v>Outubro</v>
      </c>
      <c r="C508" s="6" t="str">
        <f>IFERROR(__xludf.DUMMYFUNCTION("""COMPUTED_VALUE"""),"CONSTRANGIMENTO ILEGAL")</f>
        <v>CONSTRANGIMENTO ILEGAL</v>
      </c>
      <c r="D508" s="6">
        <f>IFERROR(__xludf.DUMMYFUNCTION("""COMPUTED_VALUE"""),2.0)</f>
        <v>2</v>
      </c>
      <c r="E508" s="6">
        <f>IFERROR(__xludf.DUMMYFUNCTION("""COMPUTED_VALUE"""),1.0)</f>
        <v>1</v>
      </c>
      <c r="F508" s="6">
        <f>IFERROR(__xludf.DUMMYFUNCTION("""COMPUTED_VALUE"""),10.0)</f>
        <v>10</v>
      </c>
      <c r="G508" s="6">
        <f>IFERROR(__xludf.DUMMYFUNCTION("""COMPUTED_VALUE"""),13.0)</f>
        <v>13</v>
      </c>
    </row>
    <row r="509">
      <c r="A509" s="6">
        <f>IFERROR(__xludf.DUMMYFUNCTION("""COMPUTED_VALUE"""),2014.0)</f>
        <v>2014</v>
      </c>
      <c r="B509" s="6" t="str">
        <f>IFERROR(__xludf.DUMMYFUNCTION("""COMPUTED_VALUE"""),"Outubro")</f>
        <v>Outubro</v>
      </c>
      <c r="C509" s="6" t="str">
        <f>IFERROR(__xludf.DUMMYFUNCTION("""COMPUTED_VALUE"""),"DANO")</f>
        <v>DANO</v>
      </c>
      <c r="D509" s="6">
        <f>IFERROR(__xludf.DUMMYFUNCTION("""COMPUTED_VALUE"""),14.0)</f>
        <v>14</v>
      </c>
      <c r="E509" s="6">
        <f>IFERROR(__xludf.DUMMYFUNCTION("""COMPUTED_VALUE"""),15.0)</f>
        <v>15</v>
      </c>
      <c r="F509" s="6">
        <f>IFERROR(__xludf.DUMMYFUNCTION("""COMPUTED_VALUE"""),77.0)</f>
        <v>77</v>
      </c>
      <c r="G509" s="6">
        <f>IFERROR(__xludf.DUMMYFUNCTION("""COMPUTED_VALUE"""),106.0)</f>
        <v>106</v>
      </c>
    </row>
    <row r="510">
      <c r="A510" s="6">
        <f>IFERROR(__xludf.DUMMYFUNCTION("""COMPUTED_VALUE"""),2014.0)</f>
        <v>2014</v>
      </c>
      <c r="B510" s="6" t="str">
        <f>IFERROR(__xludf.DUMMYFUNCTION("""COMPUTED_VALUE"""),"Outubro")</f>
        <v>Outubro</v>
      </c>
      <c r="C510" s="6" t="str">
        <f>IFERROR(__xludf.DUMMYFUNCTION("""COMPUTED_VALUE"""),"ESTUPRO CONSUMADO")</f>
        <v>ESTUPRO CONSUMADO</v>
      </c>
      <c r="D510" s="6">
        <f>IFERROR(__xludf.DUMMYFUNCTION("""COMPUTED_VALUE"""),14.0)</f>
        <v>14</v>
      </c>
      <c r="E510" s="6">
        <f>IFERROR(__xludf.DUMMYFUNCTION("""COMPUTED_VALUE"""),8.0)</f>
        <v>8</v>
      </c>
      <c r="F510" s="6">
        <f>IFERROR(__xludf.DUMMYFUNCTION("""COMPUTED_VALUE"""),22.0)</f>
        <v>22</v>
      </c>
      <c r="G510" s="6">
        <f>IFERROR(__xludf.DUMMYFUNCTION("""COMPUTED_VALUE"""),44.0)</f>
        <v>44</v>
      </c>
    </row>
    <row r="511">
      <c r="A511" s="6">
        <f>IFERROR(__xludf.DUMMYFUNCTION("""COMPUTED_VALUE"""),2014.0)</f>
        <v>2014</v>
      </c>
      <c r="B511" s="6" t="str">
        <f>IFERROR(__xludf.DUMMYFUNCTION("""COMPUTED_VALUE"""),"Outubro")</f>
        <v>Outubro</v>
      </c>
      <c r="C511" s="6" t="str">
        <f>IFERROR(__xludf.DUMMYFUNCTION("""COMPUTED_VALUE"""),"ESTUPRO DE VULNERÁVEL CONSUMADO")</f>
        <v>ESTUPRO DE VULNERÁVEL CONSUMADO</v>
      </c>
      <c r="D511" s="6">
        <f>IFERROR(__xludf.DUMMYFUNCTION("""COMPUTED_VALUE"""),4.0)</f>
        <v>4</v>
      </c>
      <c r="E511" s="6">
        <f>IFERROR(__xludf.DUMMYFUNCTION("""COMPUTED_VALUE"""),5.0)</f>
        <v>5</v>
      </c>
      <c r="F511" s="6">
        <f>IFERROR(__xludf.DUMMYFUNCTION("""COMPUTED_VALUE"""),26.0)</f>
        <v>26</v>
      </c>
      <c r="G511" s="6">
        <f>IFERROR(__xludf.DUMMYFUNCTION("""COMPUTED_VALUE"""),35.0)</f>
        <v>35</v>
      </c>
    </row>
    <row r="512">
      <c r="A512" s="6">
        <f>IFERROR(__xludf.DUMMYFUNCTION("""COMPUTED_VALUE"""),2014.0)</f>
        <v>2014</v>
      </c>
      <c r="B512" s="6" t="str">
        <f>IFERROR(__xludf.DUMMYFUNCTION("""COMPUTED_VALUE"""),"Outubro")</f>
        <v>Outubro</v>
      </c>
      <c r="C512" s="6" t="str">
        <f>IFERROR(__xludf.DUMMYFUNCTION("""COMPUTED_VALUE"""),"ESTUPRO TENTADO")</f>
        <v>ESTUPRO TENTADO</v>
      </c>
      <c r="D512" s="6">
        <f>IFERROR(__xludf.DUMMYFUNCTION("""COMPUTED_VALUE"""),1.0)</f>
        <v>1</v>
      </c>
      <c r="E512" s="6">
        <f>IFERROR(__xludf.DUMMYFUNCTION("""COMPUTED_VALUE"""),0.0)</f>
        <v>0</v>
      </c>
      <c r="F512" s="6">
        <f>IFERROR(__xludf.DUMMYFUNCTION("""COMPUTED_VALUE"""),3.0)</f>
        <v>3</v>
      </c>
      <c r="G512" s="6">
        <f>IFERROR(__xludf.DUMMYFUNCTION("""COMPUTED_VALUE"""),4.0)</f>
        <v>4</v>
      </c>
    </row>
    <row r="513">
      <c r="A513" s="6">
        <f>IFERROR(__xludf.DUMMYFUNCTION("""COMPUTED_VALUE"""),2014.0)</f>
        <v>2014</v>
      </c>
      <c r="B513" s="6" t="str">
        <f>IFERROR(__xludf.DUMMYFUNCTION("""COMPUTED_VALUE"""),"Outubro")</f>
        <v>Outubro</v>
      </c>
      <c r="C513" s="6" t="str">
        <f>IFERROR(__xludf.DUMMYFUNCTION("""COMPUTED_VALUE"""),"HOMICÍDIO CULPOSO")</f>
        <v>HOMICÍDIO CULPOSO</v>
      </c>
      <c r="D513" s="6">
        <f>IFERROR(__xludf.DUMMYFUNCTION("""COMPUTED_VALUE"""),0.0)</f>
        <v>0</v>
      </c>
      <c r="E513" s="6">
        <f>IFERROR(__xludf.DUMMYFUNCTION("""COMPUTED_VALUE"""),0.0)</f>
        <v>0</v>
      </c>
      <c r="F513" s="6">
        <f>IFERROR(__xludf.DUMMYFUNCTION("""COMPUTED_VALUE"""),0.0)</f>
        <v>0</v>
      </c>
      <c r="G513" s="6">
        <f>IFERROR(__xludf.DUMMYFUNCTION("""COMPUTED_VALUE"""),0.0)</f>
        <v>0</v>
      </c>
    </row>
    <row r="514">
      <c r="A514" s="6">
        <f>IFERROR(__xludf.DUMMYFUNCTION("""COMPUTED_VALUE"""),2014.0)</f>
        <v>2014</v>
      </c>
      <c r="B514" s="6" t="str">
        <f>IFERROR(__xludf.DUMMYFUNCTION("""COMPUTED_VALUE"""),"Outubro")</f>
        <v>Outubro</v>
      </c>
      <c r="C514" s="6" t="str">
        <f>IFERROR(__xludf.DUMMYFUNCTION("""COMPUTED_VALUE"""),"HOMICÍDIO DOLOSO (exclui FEMINICÍDIO)")</f>
        <v>HOMICÍDIO DOLOSO (exclui FEMINICÍDIO)</v>
      </c>
      <c r="D514" s="6">
        <f>IFERROR(__xludf.DUMMYFUNCTION("""COMPUTED_VALUE"""),3.0)</f>
        <v>3</v>
      </c>
      <c r="E514" s="6">
        <f>IFERROR(__xludf.DUMMYFUNCTION("""COMPUTED_VALUE"""),1.0)</f>
        <v>1</v>
      </c>
      <c r="F514" s="6">
        <f>IFERROR(__xludf.DUMMYFUNCTION("""COMPUTED_VALUE"""),5.0)</f>
        <v>5</v>
      </c>
      <c r="G514" s="6">
        <f>IFERROR(__xludf.DUMMYFUNCTION("""COMPUTED_VALUE"""),9.0)</f>
        <v>9</v>
      </c>
    </row>
    <row r="515">
      <c r="A515" s="6">
        <f>IFERROR(__xludf.DUMMYFUNCTION("""COMPUTED_VALUE"""),2014.0)</f>
        <v>2014</v>
      </c>
      <c r="B515" s="6" t="str">
        <f>IFERROR(__xludf.DUMMYFUNCTION("""COMPUTED_VALUE"""),"Outubro")</f>
        <v>Outubro</v>
      </c>
      <c r="C515" s="6" t="str">
        <f>IFERROR(__xludf.DUMMYFUNCTION("""COMPUTED_VALUE"""),"INVASÃO DE DOMICÍLIO")</f>
        <v>INVASÃO DE DOMICÍLIO</v>
      </c>
      <c r="D515" s="6">
        <f>IFERROR(__xludf.DUMMYFUNCTION("""COMPUTED_VALUE"""),0.0)</f>
        <v>0</v>
      </c>
      <c r="E515" s="6">
        <f>IFERROR(__xludf.DUMMYFUNCTION("""COMPUTED_VALUE"""),3.0)</f>
        <v>3</v>
      </c>
      <c r="F515" s="6">
        <f>IFERROR(__xludf.DUMMYFUNCTION("""COMPUTED_VALUE"""),19.0)</f>
        <v>19</v>
      </c>
      <c r="G515" s="6">
        <f>IFERROR(__xludf.DUMMYFUNCTION("""COMPUTED_VALUE"""),22.0)</f>
        <v>22</v>
      </c>
    </row>
    <row r="516">
      <c r="A516" s="6">
        <f>IFERROR(__xludf.DUMMYFUNCTION("""COMPUTED_VALUE"""),2014.0)</f>
        <v>2014</v>
      </c>
      <c r="B516" s="6" t="str">
        <f>IFERROR(__xludf.DUMMYFUNCTION("""COMPUTED_VALUE"""),"Outubro")</f>
        <v>Outubro</v>
      </c>
      <c r="C516" s="6" t="str">
        <f>IFERROR(__xludf.DUMMYFUNCTION("""COMPUTED_VALUE"""),"LESÃO CORPORAL DOLOSA")</f>
        <v>LESÃO CORPORAL DOLOSA</v>
      </c>
      <c r="D516" s="6">
        <f>IFERROR(__xludf.DUMMYFUNCTION("""COMPUTED_VALUE"""),1.073)</f>
        <v>1.073</v>
      </c>
      <c r="E516" s="6">
        <f>IFERROR(__xludf.DUMMYFUNCTION("""COMPUTED_VALUE"""),927.0)</f>
        <v>927</v>
      </c>
      <c r="F516" s="6">
        <f>IFERROR(__xludf.DUMMYFUNCTION("""COMPUTED_VALUE"""),3.536)</f>
        <v>3.536</v>
      </c>
      <c r="G516" s="6">
        <f>IFERROR(__xludf.DUMMYFUNCTION("""COMPUTED_VALUE"""),5.536)</f>
        <v>5.536</v>
      </c>
    </row>
    <row r="517">
      <c r="A517" s="6">
        <f>IFERROR(__xludf.DUMMYFUNCTION("""COMPUTED_VALUE"""),2014.0)</f>
        <v>2014</v>
      </c>
      <c r="B517" s="6" t="str">
        <f>IFERROR(__xludf.DUMMYFUNCTION("""COMPUTED_VALUE"""),"Outubro")</f>
        <v>Outubro</v>
      </c>
      <c r="C517" s="6" t="str">
        <f>IFERROR(__xludf.DUMMYFUNCTION("""COMPUTED_VALUE"""),"MAUS TRATOS")</f>
        <v>MAUS TRATOS</v>
      </c>
      <c r="D517" s="6">
        <f>IFERROR(__xludf.DUMMYFUNCTION("""COMPUTED_VALUE"""),6.0)</f>
        <v>6</v>
      </c>
      <c r="E517" s="6">
        <f>IFERROR(__xludf.DUMMYFUNCTION("""COMPUTED_VALUE"""),4.0)</f>
        <v>4</v>
      </c>
      <c r="F517" s="6">
        <f>IFERROR(__xludf.DUMMYFUNCTION("""COMPUTED_VALUE"""),21.0)</f>
        <v>21</v>
      </c>
      <c r="G517" s="6">
        <f>IFERROR(__xludf.DUMMYFUNCTION("""COMPUTED_VALUE"""),31.0)</f>
        <v>31</v>
      </c>
    </row>
    <row r="518">
      <c r="A518" s="6">
        <f>IFERROR(__xludf.DUMMYFUNCTION("""COMPUTED_VALUE"""),2014.0)</f>
        <v>2014</v>
      </c>
      <c r="B518" s="6" t="str">
        <f>IFERROR(__xludf.DUMMYFUNCTION("""COMPUTED_VALUE"""),"Outubro")</f>
        <v>Outubro</v>
      </c>
      <c r="C518" s="6" t="str">
        <f>IFERROR(__xludf.DUMMYFUNCTION("""COMPUTED_VALUE"""),"OUTROS C/C/ DIGNIDADE SEXUAL")</f>
        <v>OUTROS C/C/ DIGNIDADE SEXUAL</v>
      </c>
      <c r="D518" s="6">
        <f>IFERROR(__xludf.DUMMYFUNCTION("""COMPUTED_VALUE"""),0.0)</f>
        <v>0</v>
      </c>
      <c r="E518" s="6">
        <f>IFERROR(__xludf.DUMMYFUNCTION("""COMPUTED_VALUE"""),1.0)</f>
        <v>1</v>
      </c>
      <c r="F518" s="6">
        <f>IFERROR(__xludf.DUMMYFUNCTION("""COMPUTED_VALUE"""),3.0)</f>
        <v>3</v>
      </c>
      <c r="G518" s="6">
        <f>IFERROR(__xludf.DUMMYFUNCTION("""COMPUTED_VALUE"""),4.0)</f>
        <v>4</v>
      </c>
    </row>
    <row r="519">
      <c r="A519" s="6">
        <f>IFERROR(__xludf.DUMMYFUNCTION("""COMPUTED_VALUE"""),2014.0)</f>
        <v>2014</v>
      </c>
      <c r="B519" s="6" t="str">
        <f>IFERROR(__xludf.DUMMYFUNCTION("""COMPUTED_VALUE"""),"Outubro")</f>
        <v>Outubro</v>
      </c>
      <c r="C519" s="6" t="str">
        <f>IFERROR(__xludf.DUMMYFUNCTION("""COMPUTED_VALUE"""),"TENTATIVA DE HOMICÍDIO")</f>
        <v>TENTATIVA DE HOMICÍDIO</v>
      </c>
      <c r="D519" s="6">
        <f>IFERROR(__xludf.DUMMYFUNCTION("""COMPUTED_VALUE"""),2.0)</f>
        <v>2</v>
      </c>
      <c r="E519" s="6">
        <f>IFERROR(__xludf.DUMMYFUNCTION("""COMPUTED_VALUE"""),3.0)</f>
        <v>3</v>
      </c>
      <c r="F519" s="6">
        <f>IFERROR(__xludf.DUMMYFUNCTION("""COMPUTED_VALUE"""),15.0)</f>
        <v>15</v>
      </c>
      <c r="G519" s="6">
        <f>IFERROR(__xludf.DUMMYFUNCTION("""COMPUTED_VALUE"""),20.0)</f>
        <v>20</v>
      </c>
    </row>
    <row r="520">
      <c r="A520" s="6">
        <f>IFERROR(__xludf.DUMMYFUNCTION("""COMPUTED_VALUE"""),2014.0)</f>
        <v>2014</v>
      </c>
      <c r="B520" s="6" t="str">
        <f>IFERROR(__xludf.DUMMYFUNCTION("""COMPUTED_VALUE"""),"Novembro")</f>
        <v>Novembro</v>
      </c>
      <c r="C520" s="6" t="str">
        <f>IFERROR(__xludf.DUMMYFUNCTION("""COMPUTED_VALUE"""),"AMEAÇA")</f>
        <v>AMEAÇA</v>
      </c>
      <c r="D520" s="6">
        <f>IFERROR(__xludf.DUMMYFUNCTION("""COMPUTED_VALUE"""),932.0)</f>
        <v>932</v>
      </c>
      <c r="E520" s="6">
        <f>IFERROR(__xludf.DUMMYFUNCTION("""COMPUTED_VALUE"""),836.0)</f>
        <v>836</v>
      </c>
      <c r="F520" s="6">
        <f>IFERROR(__xludf.DUMMYFUNCTION("""COMPUTED_VALUE"""),3.316)</f>
        <v>3.316</v>
      </c>
      <c r="G520" s="6">
        <f>IFERROR(__xludf.DUMMYFUNCTION("""COMPUTED_VALUE"""),5.084)</f>
        <v>5.084</v>
      </c>
    </row>
    <row r="521">
      <c r="A521" s="6">
        <f>IFERROR(__xludf.DUMMYFUNCTION("""COMPUTED_VALUE"""),2014.0)</f>
        <v>2014</v>
      </c>
      <c r="B521" s="6" t="str">
        <f>IFERROR(__xludf.DUMMYFUNCTION("""COMPUTED_VALUE"""),"Novembro")</f>
        <v>Novembro</v>
      </c>
      <c r="C521" s="6" t="str">
        <f>IFERROR(__xludf.DUMMYFUNCTION("""COMPUTED_VALUE"""),"CALÚNIA - DIFAMAÇÃO - INJÚRIA")</f>
        <v>CALÚNIA - DIFAMAÇÃO - INJÚRIA</v>
      </c>
      <c r="D521" s="6">
        <f>IFERROR(__xludf.DUMMYFUNCTION("""COMPUTED_VALUE"""),199.0)</f>
        <v>199</v>
      </c>
      <c r="E521" s="6">
        <f>IFERROR(__xludf.DUMMYFUNCTION("""COMPUTED_VALUE"""),165.0)</f>
        <v>165</v>
      </c>
      <c r="F521" s="6">
        <f>IFERROR(__xludf.DUMMYFUNCTION("""COMPUTED_VALUE"""),752.0)</f>
        <v>752</v>
      </c>
      <c r="G521" s="6">
        <f>IFERROR(__xludf.DUMMYFUNCTION("""COMPUTED_VALUE"""),1.116)</f>
        <v>1.116</v>
      </c>
    </row>
    <row r="522">
      <c r="A522" s="6">
        <f>IFERROR(__xludf.DUMMYFUNCTION("""COMPUTED_VALUE"""),2014.0)</f>
        <v>2014</v>
      </c>
      <c r="B522" s="6" t="str">
        <f>IFERROR(__xludf.DUMMYFUNCTION("""COMPUTED_VALUE"""),"Novembro")</f>
        <v>Novembro</v>
      </c>
      <c r="C522" s="6" t="str">
        <f>IFERROR(__xludf.DUMMYFUNCTION("""COMPUTED_VALUE"""),"CONSTRANGIMENTO ILEGAL")</f>
        <v>CONSTRANGIMENTO ILEGAL</v>
      </c>
      <c r="D522" s="6">
        <f>IFERROR(__xludf.DUMMYFUNCTION("""COMPUTED_VALUE"""),1.0)</f>
        <v>1</v>
      </c>
      <c r="E522" s="6">
        <f>IFERROR(__xludf.DUMMYFUNCTION("""COMPUTED_VALUE"""),0.0)</f>
        <v>0</v>
      </c>
      <c r="F522" s="6">
        <f>IFERROR(__xludf.DUMMYFUNCTION("""COMPUTED_VALUE"""),8.0)</f>
        <v>8</v>
      </c>
      <c r="G522" s="6">
        <f>IFERROR(__xludf.DUMMYFUNCTION("""COMPUTED_VALUE"""),9.0)</f>
        <v>9</v>
      </c>
    </row>
    <row r="523">
      <c r="A523" s="6">
        <f>IFERROR(__xludf.DUMMYFUNCTION("""COMPUTED_VALUE"""),2014.0)</f>
        <v>2014</v>
      </c>
      <c r="B523" s="6" t="str">
        <f>IFERROR(__xludf.DUMMYFUNCTION("""COMPUTED_VALUE"""),"Novembro")</f>
        <v>Novembro</v>
      </c>
      <c r="C523" s="6" t="str">
        <f>IFERROR(__xludf.DUMMYFUNCTION("""COMPUTED_VALUE"""),"DANO")</f>
        <v>DANO</v>
      </c>
      <c r="D523" s="6">
        <f>IFERROR(__xludf.DUMMYFUNCTION("""COMPUTED_VALUE"""),10.0)</f>
        <v>10</v>
      </c>
      <c r="E523" s="6">
        <f>IFERROR(__xludf.DUMMYFUNCTION("""COMPUTED_VALUE"""),12.0)</f>
        <v>12</v>
      </c>
      <c r="F523" s="6">
        <f>IFERROR(__xludf.DUMMYFUNCTION("""COMPUTED_VALUE"""),65.0)</f>
        <v>65</v>
      </c>
      <c r="G523" s="6">
        <f>IFERROR(__xludf.DUMMYFUNCTION("""COMPUTED_VALUE"""),87.0)</f>
        <v>87</v>
      </c>
    </row>
    <row r="524">
      <c r="A524" s="6">
        <f>IFERROR(__xludf.DUMMYFUNCTION("""COMPUTED_VALUE"""),2014.0)</f>
        <v>2014</v>
      </c>
      <c r="B524" s="6" t="str">
        <f>IFERROR(__xludf.DUMMYFUNCTION("""COMPUTED_VALUE"""),"Novembro")</f>
        <v>Novembro</v>
      </c>
      <c r="C524" s="6" t="str">
        <f>IFERROR(__xludf.DUMMYFUNCTION("""COMPUTED_VALUE"""),"ESTUPRO CONSUMADO")</f>
        <v>ESTUPRO CONSUMADO</v>
      </c>
      <c r="D524" s="6">
        <f>IFERROR(__xludf.DUMMYFUNCTION("""COMPUTED_VALUE"""),12.0)</f>
        <v>12</v>
      </c>
      <c r="E524" s="6">
        <f>IFERROR(__xludf.DUMMYFUNCTION("""COMPUTED_VALUE"""),7.0)</f>
        <v>7</v>
      </c>
      <c r="F524" s="6">
        <f>IFERROR(__xludf.DUMMYFUNCTION("""COMPUTED_VALUE"""),24.0)</f>
        <v>24</v>
      </c>
      <c r="G524" s="6">
        <f>IFERROR(__xludf.DUMMYFUNCTION("""COMPUTED_VALUE"""),43.0)</f>
        <v>43</v>
      </c>
    </row>
    <row r="525">
      <c r="A525" s="6">
        <f>IFERROR(__xludf.DUMMYFUNCTION("""COMPUTED_VALUE"""),2014.0)</f>
        <v>2014</v>
      </c>
      <c r="B525" s="6" t="str">
        <f>IFERROR(__xludf.DUMMYFUNCTION("""COMPUTED_VALUE"""),"Novembro")</f>
        <v>Novembro</v>
      </c>
      <c r="C525" s="6" t="str">
        <f>IFERROR(__xludf.DUMMYFUNCTION("""COMPUTED_VALUE"""),"ESTUPRO DE VULNERÁVEL CONSUMADO")</f>
        <v>ESTUPRO DE VULNERÁVEL CONSUMADO</v>
      </c>
      <c r="D525" s="6">
        <f>IFERROR(__xludf.DUMMYFUNCTION("""COMPUTED_VALUE"""),3.0)</f>
        <v>3</v>
      </c>
      <c r="E525" s="6">
        <f>IFERROR(__xludf.DUMMYFUNCTION("""COMPUTED_VALUE"""),7.0)</f>
        <v>7</v>
      </c>
      <c r="F525" s="6">
        <f>IFERROR(__xludf.DUMMYFUNCTION("""COMPUTED_VALUE"""),21.0)</f>
        <v>21</v>
      </c>
      <c r="G525" s="6">
        <f>IFERROR(__xludf.DUMMYFUNCTION("""COMPUTED_VALUE"""),31.0)</f>
        <v>31</v>
      </c>
    </row>
    <row r="526">
      <c r="A526" s="6">
        <f>IFERROR(__xludf.DUMMYFUNCTION("""COMPUTED_VALUE"""),2014.0)</f>
        <v>2014</v>
      </c>
      <c r="B526" s="6" t="str">
        <f>IFERROR(__xludf.DUMMYFUNCTION("""COMPUTED_VALUE"""),"Novembro")</f>
        <v>Novembro</v>
      </c>
      <c r="C526" s="6" t="str">
        <f>IFERROR(__xludf.DUMMYFUNCTION("""COMPUTED_VALUE"""),"ESTUPRO TENTADO")</f>
        <v>ESTUPRO TENTADO</v>
      </c>
      <c r="D526" s="6">
        <f>IFERROR(__xludf.DUMMYFUNCTION("""COMPUTED_VALUE"""),0.0)</f>
        <v>0</v>
      </c>
      <c r="E526" s="6">
        <f>IFERROR(__xludf.DUMMYFUNCTION("""COMPUTED_VALUE"""),0.0)</f>
        <v>0</v>
      </c>
      <c r="F526" s="6">
        <f>IFERROR(__xludf.DUMMYFUNCTION("""COMPUTED_VALUE"""),2.0)</f>
        <v>2</v>
      </c>
      <c r="G526" s="6">
        <f>IFERROR(__xludf.DUMMYFUNCTION("""COMPUTED_VALUE"""),2.0)</f>
        <v>2</v>
      </c>
    </row>
    <row r="527">
      <c r="A527" s="6">
        <f>IFERROR(__xludf.DUMMYFUNCTION("""COMPUTED_VALUE"""),2014.0)</f>
        <v>2014</v>
      </c>
      <c r="B527" s="6" t="str">
        <f>IFERROR(__xludf.DUMMYFUNCTION("""COMPUTED_VALUE"""),"Novembro")</f>
        <v>Novembro</v>
      </c>
      <c r="C527" s="6" t="str">
        <f>IFERROR(__xludf.DUMMYFUNCTION("""COMPUTED_VALUE"""),"HOMICÍDIO CULPOSO")</f>
        <v>HOMICÍDIO CULPOSO</v>
      </c>
      <c r="D527" s="6">
        <f>IFERROR(__xludf.DUMMYFUNCTION("""COMPUTED_VALUE"""),0.0)</f>
        <v>0</v>
      </c>
      <c r="E527" s="6">
        <f>IFERROR(__xludf.DUMMYFUNCTION("""COMPUTED_VALUE"""),0.0)</f>
        <v>0</v>
      </c>
      <c r="F527" s="6">
        <f>IFERROR(__xludf.DUMMYFUNCTION("""COMPUTED_VALUE"""),0.0)</f>
        <v>0</v>
      </c>
      <c r="G527" s="6">
        <f>IFERROR(__xludf.DUMMYFUNCTION("""COMPUTED_VALUE"""),0.0)</f>
        <v>0</v>
      </c>
    </row>
    <row r="528">
      <c r="A528" s="6">
        <f>IFERROR(__xludf.DUMMYFUNCTION("""COMPUTED_VALUE"""),2014.0)</f>
        <v>2014</v>
      </c>
      <c r="B528" s="6" t="str">
        <f>IFERROR(__xludf.DUMMYFUNCTION("""COMPUTED_VALUE"""),"Novembro")</f>
        <v>Novembro</v>
      </c>
      <c r="C528" s="6" t="str">
        <f>IFERROR(__xludf.DUMMYFUNCTION("""COMPUTED_VALUE"""),"HOMICÍDIO DOLOSO (exclui FEMINICÍDIO)")</f>
        <v>HOMICÍDIO DOLOSO (exclui FEMINICÍDIO)</v>
      </c>
      <c r="D528" s="6">
        <f>IFERROR(__xludf.DUMMYFUNCTION("""COMPUTED_VALUE"""),1.0)</f>
        <v>1</v>
      </c>
      <c r="E528" s="6">
        <f>IFERROR(__xludf.DUMMYFUNCTION("""COMPUTED_VALUE"""),1.0)</f>
        <v>1</v>
      </c>
      <c r="F528" s="6">
        <f>IFERROR(__xludf.DUMMYFUNCTION("""COMPUTED_VALUE"""),4.0)</f>
        <v>4</v>
      </c>
      <c r="G528" s="6">
        <f>IFERROR(__xludf.DUMMYFUNCTION("""COMPUTED_VALUE"""),6.0)</f>
        <v>6</v>
      </c>
    </row>
    <row r="529">
      <c r="A529" s="6">
        <f>IFERROR(__xludf.DUMMYFUNCTION("""COMPUTED_VALUE"""),2014.0)</f>
        <v>2014</v>
      </c>
      <c r="B529" s="6" t="str">
        <f>IFERROR(__xludf.DUMMYFUNCTION("""COMPUTED_VALUE"""),"Novembro")</f>
        <v>Novembro</v>
      </c>
      <c r="C529" s="6" t="str">
        <f>IFERROR(__xludf.DUMMYFUNCTION("""COMPUTED_VALUE"""),"INVASÃO DE DOMICÍLIO")</f>
        <v>INVASÃO DE DOMICÍLIO</v>
      </c>
      <c r="D529" s="6">
        <f>IFERROR(__xludf.DUMMYFUNCTION("""COMPUTED_VALUE"""),1.0)</f>
        <v>1</v>
      </c>
      <c r="E529" s="6">
        <f>IFERROR(__xludf.DUMMYFUNCTION("""COMPUTED_VALUE"""),2.0)</f>
        <v>2</v>
      </c>
      <c r="F529" s="6">
        <f>IFERROR(__xludf.DUMMYFUNCTION("""COMPUTED_VALUE"""),16.0)</f>
        <v>16</v>
      </c>
      <c r="G529" s="6">
        <f>IFERROR(__xludf.DUMMYFUNCTION("""COMPUTED_VALUE"""),19.0)</f>
        <v>19</v>
      </c>
    </row>
    <row r="530">
      <c r="A530" s="6">
        <f>IFERROR(__xludf.DUMMYFUNCTION("""COMPUTED_VALUE"""),2014.0)</f>
        <v>2014</v>
      </c>
      <c r="B530" s="6" t="str">
        <f>IFERROR(__xludf.DUMMYFUNCTION("""COMPUTED_VALUE"""),"Novembro")</f>
        <v>Novembro</v>
      </c>
      <c r="C530" s="6" t="str">
        <f>IFERROR(__xludf.DUMMYFUNCTION("""COMPUTED_VALUE"""),"LESÃO CORPORAL DOLOSA")</f>
        <v>LESÃO CORPORAL DOLOSA</v>
      </c>
      <c r="D530" s="6">
        <f>IFERROR(__xludf.DUMMYFUNCTION("""COMPUTED_VALUE"""),965.0)</f>
        <v>965</v>
      </c>
      <c r="E530" s="6">
        <f>IFERROR(__xludf.DUMMYFUNCTION("""COMPUTED_VALUE"""),849.0)</f>
        <v>849</v>
      </c>
      <c r="F530" s="6">
        <f>IFERROR(__xludf.DUMMYFUNCTION("""COMPUTED_VALUE"""),3.33)</f>
        <v>3.33</v>
      </c>
      <c r="G530" s="6">
        <f>IFERROR(__xludf.DUMMYFUNCTION("""COMPUTED_VALUE"""),5.144)</f>
        <v>5.144</v>
      </c>
    </row>
    <row r="531">
      <c r="A531" s="6">
        <f>IFERROR(__xludf.DUMMYFUNCTION("""COMPUTED_VALUE"""),2014.0)</f>
        <v>2014</v>
      </c>
      <c r="B531" s="6" t="str">
        <f>IFERROR(__xludf.DUMMYFUNCTION("""COMPUTED_VALUE"""),"Novembro")</f>
        <v>Novembro</v>
      </c>
      <c r="C531" s="6" t="str">
        <f>IFERROR(__xludf.DUMMYFUNCTION("""COMPUTED_VALUE"""),"MAUS TRATOS")</f>
        <v>MAUS TRATOS</v>
      </c>
      <c r="D531" s="6">
        <f>IFERROR(__xludf.DUMMYFUNCTION("""COMPUTED_VALUE"""),2.0)</f>
        <v>2</v>
      </c>
      <c r="E531" s="6">
        <f>IFERROR(__xludf.DUMMYFUNCTION("""COMPUTED_VALUE"""),3.0)</f>
        <v>3</v>
      </c>
      <c r="F531" s="6">
        <f>IFERROR(__xludf.DUMMYFUNCTION("""COMPUTED_VALUE"""),15.0)</f>
        <v>15</v>
      </c>
      <c r="G531" s="6">
        <f>IFERROR(__xludf.DUMMYFUNCTION("""COMPUTED_VALUE"""),20.0)</f>
        <v>20</v>
      </c>
    </row>
    <row r="532">
      <c r="A532" s="6">
        <f>IFERROR(__xludf.DUMMYFUNCTION("""COMPUTED_VALUE"""),2014.0)</f>
        <v>2014</v>
      </c>
      <c r="B532" s="6" t="str">
        <f>IFERROR(__xludf.DUMMYFUNCTION("""COMPUTED_VALUE"""),"Novembro")</f>
        <v>Novembro</v>
      </c>
      <c r="C532" s="6" t="str">
        <f>IFERROR(__xludf.DUMMYFUNCTION("""COMPUTED_VALUE"""),"OUTROS C/C/ DIGNIDADE SEXUAL")</f>
        <v>OUTROS C/C/ DIGNIDADE SEXUAL</v>
      </c>
      <c r="D532" s="6">
        <f>IFERROR(__xludf.DUMMYFUNCTION("""COMPUTED_VALUE"""),0.0)</f>
        <v>0</v>
      </c>
      <c r="E532" s="6">
        <f>IFERROR(__xludf.DUMMYFUNCTION("""COMPUTED_VALUE"""),0.0)</f>
        <v>0</v>
      </c>
      <c r="F532" s="6">
        <f>IFERROR(__xludf.DUMMYFUNCTION("""COMPUTED_VALUE"""),3.0)</f>
        <v>3</v>
      </c>
      <c r="G532" s="6">
        <f>IFERROR(__xludf.DUMMYFUNCTION("""COMPUTED_VALUE"""),3.0)</f>
        <v>3</v>
      </c>
    </row>
    <row r="533">
      <c r="A533" s="6">
        <f>IFERROR(__xludf.DUMMYFUNCTION("""COMPUTED_VALUE"""),2014.0)</f>
        <v>2014</v>
      </c>
      <c r="B533" s="6" t="str">
        <f>IFERROR(__xludf.DUMMYFUNCTION("""COMPUTED_VALUE"""),"Novembro")</f>
        <v>Novembro</v>
      </c>
      <c r="C533" s="6" t="str">
        <f>IFERROR(__xludf.DUMMYFUNCTION("""COMPUTED_VALUE"""),"TENTATIVA DE HOMICÍDIO")</f>
        <v>TENTATIVA DE HOMICÍDIO</v>
      </c>
      <c r="D533" s="6">
        <f>IFERROR(__xludf.DUMMYFUNCTION("""COMPUTED_VALUE"""),2.0)</f>
        <v>2</v>
      </c>
      <c r="E533" s="6">
        <f>IFERROR(__xludf.DUMMYFUNCTION("""COMPUTED_VALUE"""),2.0)</f>
        <v>2</v>
      </c>
      <c r="F533" s="6">
        <f>IFERROR(__xludf.DUMMYFUNCTION("""COMPUTED_VALUE"""),13.0)</f>
        <v>13</v>
      </c>
      <c r="G533" s="6">
        <f>IFERROR(__xludf.DUMMYFUNCTION("""COMPUTED_VALUE"""),17.0)</f>
        <v>17</v>
      </c>
    </row>
    <row r="534">
      <c r="A534" s="6">
        <f>IFERROR(__xludf.DUMMYFUNCTION("""COMPUTED_VALUE"""),2014.0)</f>
        <v>2014</v>
      </c>
      <c r="B534" s="6" t="str">
        <f>IFERROR(__xludf.DUMMYFUNCTION("""COMPUTED_VALUE"""),"Dezembro")</f>
        <v>Dezembro</v>
      </c>
      <c r="C534" s="6" t="str">
        <f>IFERROR(__xludf.DUMMYFUNCTION("""COMPUTED_VALUE"""),"AMEAÇA")</f>
        <v>AMEAÇA</v>
      </c>
      <c r="D534" s="6">
        <f>IFERROR(__xludf.DUMMYFUNCTION("""COMPUTED_VALUE"""),1.032)</f>
        <v>1.032</v>
      </c>
      <c r="E534" s="6">
        <f>IFERROR(__xludf.DUMMYFUNCTION("""COMPUTED_VALUE"""),947.0)</f>
        <v>947</v>
      </c>
      <c r="F534" s="6">
        <f>IFERROR(__xludf.DUMMYFUNCTION("""COMPUTED_VALUE"""),3.516)</f>
        <v>3.516</v>
      </c>
      <c r="G534" s="6">
        <f>IFERROR(__xludf.DUMMYFUNCTION("""COMPUTED_VALUE"""),5.495)</f>
        <v>5.495</v>
      </c>
    </row>
    <row r="535">
      <c r="A535" s="6">
        <f>IFERROR(__xludf.DUMMYFUNCTION("""COMPUTED_VALUE"""),2014.0)</f>
        <v>2014</v>
      </c>
      <c r="B535" s="6" t="str">
        <f>IFERROR(__xludf.DUMMYFUNCTION("""COMPUTED_VALUE"""),"Dezembro")</f>
        <v>Dezembro</v>
      </c>
      <c r="C535" s="6" t="str">
        <f>IFERROR(__xludf.DUMMYFUNCTION("""COMPUTED_VALUE"""),"CALÚNIA - DIFAMAÇÃO - INJÚRIA")</f>
        <v>CALÚNIA - DIFAMAÇÃO - INJÚRIA</v>
      </c>
      <c r="D535" s="6">
        <f>IFERROR(__xludf.DUMMYFUNCTION("""COMPUTED_VALUE"""),214.0)</f>
        <v>214</v>
      </c>
      <c r="E535" s="6">
        <f>IFERROR(__xludf.DUMMYFUNCTION("""COMPUTED_VALUE"""),178.0)</f>
        <v>178</v>
      </c>
      <c r="F535" s="6">
        <f>IFERROR(__xludf.DUMMYFUNCTION("""COMPUTED_VALUE"""),795.0)</f>
        <v>795</v>
      </c>
      <c r="G535" s="6">
        <f>IFERROR(__xludf.DUMMYFUNCTION("""COMPUTED_VALUE"""),1.187)</f>
        <v>1.187</v>
      </c>
    </row>
    <row r="536">
      <c r="A536" s="6">
        <f>IFERROR(__xludf.DUMMYFUNCTION("""COMPUTED_VALUE"""),2014.0)</f>
        <v>2014</v>
      </c>
      <c r="B536" s="6" t="str">
        <f>IFERROR(__xludf.DUMMYFUNCTION("""COMPUTED_VALUE"""),"Dezembro")</f>
        <v>Dezembro</v>
      </c>
      <c r="C536" s="6" t="str">
        <f>IFERROR(__xludf.DUMMYFUNCTION("""COMPUTED_VALUE"""),"CONSTRANGIMENTO ILEGAL")</f>
        <v>CONSTRANGIMENTO ILEGAL</v>
      </c>
      <c r="D536" s="6">
        <f>IFERROR(__xludf.DUMMYFUNCTION("""COMPUTED_VALUE"""),2.0)</f>
        <v>2</v>
      </c>
      <c r="E536" s="6">
        <f>IFERROR(__xludf.DUMMYFUNCTION("""COMPUTED_VALUE"""),1.0)</f>
        <v>1</v>
      </c>
      <c r="F536" s="6">
        <f>IFERROR(__xludf.DUMMYFUNCTION("""COMPUTED_VALUE"""),9.0)</f>
        <v>9</v>
      </c>
      <c r="G536" s="6">
        <f>IFERROR(__xludf.DUMMYFUNCTION("""COMPUTED_VALUE"""),12.0)</f>
        <v>12</v>
      </c>
    </row>
    <row r="537">
      <c r="A537" s="6">
        <f>IFERROR(__xludf.DUMMYFUNCTION("""COMPUTED_VALUE"""),2014.0)</f>
        <v>2014</v>
      </c>
      <c r="B537" s="6" t="str">
        <f>IFERROR(__xludf.DUMMYFUNCTION("""COMPUTED_VALUE"""),"Dezembro")</f>
        <v>Dezembro</v>
      </c>
      <c r="C537" s="6" t="str">
        <f>IFERROR(__xludf.DUMMYFUNCTION("""COMPUTED_VALUE"""),"DANO")</f>
        <v>DANO</v>
      </c>
      <c r="D537" s="6">
        <f>IFERROR(__xludf.DUMMYFUNCTION("""COMPUTED_VALUE"""),12.0)</f>
        <v>12</v>
      </c>
      <c r="E537" s="6">
        <f>IFERROR(__xludf.DUMMYFUNCTION("""COMPUTED_VALUE"""),13.0)</f>
        <v>13</v>
      </c>
      <c r="F537" s="6">
        <f>IFERROR(__xludf.DUMMYFUNCTION("""COMPUTED_VALUE"""),69.0)</f>
        <v>69</v>
      </c>
      <c r="G537" s="6">
        <f>IFERROR(__xludf.DUMMYFUNCTION("""COMPUTED_VALUE"""),94.0)</f>
        <v>94</v>
      </c>
    </row>
    <row r="538">
      <c r="A538" s="6">
        <f>IFERROR(__xludf.DUMMYFUNCTION("""COMPUTED_VALUE"""),2014.0)</f>
        <v>2014</v>
      </c>
      <c r="B538" s="6" t="str">
        <f>IFERROR(__xludf.DUMMYFUNCTION("""COMPUTED_VALUE"""),"Dezembro")</f>
        <v>Dezembro</v>
      </c>
      <c r="C538" s="6" t="str">
        <f>IFERROR(__xludf.DUMMYFUNCTION("""COMPUTED_VALUE"""),"ESTUPRO CONSUMADO")</f>
        <v>ESTUPRO CONSUMADO</v>
      </c>
      <c r="D538" s="6">
        <f>IFERROR(__xludf.DUMMYFUNCTION("""COMPUTED_VALUE"""),11.0)</f>
        <v>11</v>
      </c>
      <c r="E538" s="6">
        <f>IFERROR(__xludf.DUMMYFUNCTION("""COMPUTED_VALUE"""),6.0)</f>
        <v>6</v>
      </c>
      <c r="F538" s="6">
        <f>IFERROR(__xludf.DUMMYFUNCTION("""COMPUTED_VALUE"""),21.0)</f>
        <v>21</v>
      </c>
      <c r="G538" s="6">
        <f>IFERROR(__xludf.DUMMYFUNCTION("""COMPUTED_VALUE"""),38.0)</f>
        <v>38</v>
      </c>
    </row>
    <row r="539">
      <c r="A539" s="6">
        <f>IFERROR(__xludf.DUMMYFUNCTION("""COMPUTED_VALUE"""),2014.0)</f>
        <v>2014</v>
      </c>
      <c r="B539" s="6" t="str">
        <f>IFERROR(__xludf.DUMMYFUNCTION("""COMPUTED_VALUE"""),"Dezembro")</f>
        <v>Dezembro</v>
      </c>
      <c r="C539" s="6" t="str">
        <f>IFERROR(__xludf.DUMMYFUNCTION("""COMPUTED_VALUE"""),"ESTUPRO DE VULNERÁVEL CONSUMADO")</f>
        <v>ESTUPRO DE VULNERÁVEL CONSUMADO</v>
      </c>
      <c r="D539" s="6">
        <f>IFERROR(__xludf.DUMMYFUNCTION("""COMPUTED_VALUE"""),4.0)</f>
        <v>4</v>
      </c>
      <c r="E539" s="6">
        <f>IFERROR(__xludf.DUMMYFUNCTION("""COMPUTED_VALUE"""),5.0)</f>
        <v>5</v>
      </c>
      <c r="F539" s="6">
        <f>IFERROR(__xludf.DUMMYFUNCTION("""COMPUTED_VALUE"""),19.0)</f>
        <v>19</v>
      </c>
      <c r="G539" s="6">
        <f>IFERROR(__xludf.DUMMYFUNCTION("""COMPUTED_VALUE"""),28.0)</f>
        <v>28</v>
      </c>
    </row>
    <row r="540">
      <c r="A540" s="6">
        <f>IFERROR(__xludf.DUMMYFUNCTION("""COMPUTED_VALUE"""),2014.0)</f>
        <v>2014</v>
      </c>
      <c r="B540" s="6" t="str">
        <f>IFERROR(__xludf.DUMMYFUNCTION("""COMPUTED_VALUE"""),"Dezembro")</f>
        <v>Dezembro</v>
      </c>
      <c r="C540" s="6" t="str">
        <f>IFERROR(__xludf.DUMMYFUNCTION("""COMPUTED_VALUE"""),"ESTUPRO TENTADO")</f>
        <v>ESTUPRO TENTADO</v>
      </c>
      <c r="D540" s="6">
        <f>IFERROR(__xludf.DUMMYFUNCTION("""COMPUTED_VALUE"""),1.0)</f>
        <v>1</v>
      </c>
      <c r="E540" s="6">
        <f>IFERROR(__xludf.DUMMYFUNCTION("""COMPUTED_VALUE"""),0.0)</f>
        <v>0</v>
      </c>
      <c r="F540" s="6">
        <f>IFERROR(__xludf.DUMMYFUNCTION("""COMPUTED_VALUE"""),2.0)</f>
        <v>2</v>
      </c>
      <c r="G540" s="6">
        <f>IFERROR(__xludf.DUMMYFUNCTION("""COMPUTED_VALUE"""),3.0)</f>
        <v>3</v>
      </c>
    </row>
    <row r="541">
      <c r="A541" s="6">
        <f>IFERROR(__xludf.DUMMYFUNCTION("""COMPUTED_VALUE"""),2014.0)</f>
        <v>2014</v>
      </c>
      <c r="B541" s="6" t="str">
        <f>IFERROR(__xludf.DUMMYFUNCTION("""COMPUTED_VALUE"""),"Dezembro")</f>
        <v>Dezembro</v>
      </c>
      <c r="C541" s="6" t="str">
        <f>IFERROR(__xludf.DUMMYFUNCTION("""COMPUTED_VALUE"""),"HOMICÍDIO CULPOSO")</f>
        <v>HOMICÍDIO CULPOSO</v>
      </c>
      <c r="D541" s="6">
        <f>IFERROR(__xludf.DUMMYFUNCTION("""COMPUTED_VALUE"""),0.0)</f>
        <v>0</v>
      </c>
      <c r="E541" s="6">
        <f>IFERROR(__xludf.DUMMYFUNCTION("""COMPUTED_VALUE"""),0.0)</f>
        <v>0</v>
      </c>
      <c r="F541" s="6">
        <f>IFERROR(__xludf.DUMMYFUNCTION("""COMPUTED_VALUE"""),0.0)</f>
        <v>0</v>
      </c>
      <c r="G541" s="6">
        <f>IFERROR(__xludf.DUMMYFUNCTION("""COMPUTED_VALUE"""),0.0)</f>
        <v>0</v>
      </c>
    </row>
    <row r="542">
      <c r="A542" s="6">
        <f>IFERROR(__xludf.DUMMYFUNCTION("""COMPUTED_VALUE"""),2014.0)</f>
        <v>2014</v>
      </c>
      <c r="B542" s="6" t="str">
        <f>IFERROR(__xludf.DUMMYFUNCTION("""COMPUTED_VALUE"""),"Dezembro")</f>
        <v>Dezembro</v>
      </c>
      <c r="C542" s="6" t="str">
        <f>IFERROR(__xludf.DUMMYFUNCTION("""COMPUTED_VALUE"""),"HOMICÍDIO DOLOSO (exclui FEMINICÍDIO)")</f>
        <v>HOMICÍDIO DOLOSO (exclui FEMINICÍDIO)</v>
      </c>
      <c r="D542" s="6">
        <f>IFERROR(__xludf.DUMMYFUNCTION("""COMPUTED_VALUE"""),2.0)</f>
        <v>2</v>
      </c>
      <c r="E542" s="6">
        <f>IFERROR(__xludf.DUMMYFUNCTION("""COMPUTED_VALUE"""),1.0)</f>
        <v>1</v>
      </c>
      <c r="F542" s="6">
        <f>IFERROR(__xludf.DUMMYFUNCTION("""COMPUTED_VALUE"""),6.0)</f>
        <v>6</v>
      </c>
      <c r="G542" s="6">
        <f>IFERROR(__xludf.DUMMYFUNCTION("""COMPUTED_VALUE"""),9.0)</f>
        <v>9</v>
      </c>
    </row>
    <row r="543">
      <c r="A543" s="6">
        <f>IFERROR(__xludf.DUMMYFUNCTION("""COMPUTED_VALUE"""),2014.0)</f>
        <v>2014</v>
      </c>
      <c r="B543" s="6" t="str">
        <f>IFERROR(__xludf.DUMMYFUNCTION("""COMPUTED_VALUE"""),"Dezembro")</f>
        <v>Dezembro</v>
      </c>
      <c r="C543" s="6" t="str">
        <f>IFERROR(__xludf.DUMMYFUNCTION("""COMPUTED_VALUE"""),"INVASÃO DE DOMICÍLIO")</f>
        <v>INVASÃO DE DOMICÍLIO</v>
      </c>
      <c r="D543" s="6">
        <f>IFERROR(__xludf.DUMMYFUNCTION("""COMPUTED_VALUE"""),1.0)</f>
        <v>1</v>
      </c>
      <c r="E543" s="6">
        <f>IFERROR(__xludf.DUMMYFUNCTION("""COMPUTED_VALUE"""),2.0)</f>
        <v>2</v>
      </c>
      <c r="F543" s="6">
        <f>IFERROR(__xludf.DUMMYFUNCTION("""COMPUTED_VALUE"""),18.0)</f>
        <v>18</v>
      </c>
      <c r="G543" s="6">
        <f>IFERROR(__xludf.DUMMYFUNCTION("""COMPUTED_VALUE"""),21.0)</f>
        <v>21</v>
      </c>
    </row>
    <row r="544">
      <c r="A544" s="6">
        <f>IFERROR(__xludf.DUMMYFUNCTION("""COMPUTED_VALUE"""),2014.0)</f>
        <v>2014</v>
      </c>
      <c r="B544" s="6" t="str">
        <f>IFERROR(__xludf.DUMMYFUNCTION("""COMPUTED_VALUE"""),"Dezembro")</f>
        <v>Dezembro</v>
      </c>
      <c r="C544" s="6" t="str">
        <f>IFERROR(__xludf.DUMMYFUNCTION("""COMPUTED_VALUE"""),"LESÃO CORPORAL DOLOSA")</f>
        <v>LESÃO CORPORAL DOLOSA</v>
      </c>
      <c r="D544" s="6">
        <f>IFERROR(__xludf.DUMMYFUNCTION("""COMPUTED_VALUE"""),1.142)</f>
        <v>1.142</v>
      </c>
      <c r="E544" s="6">
        <f>IFERROR(__xludf.DUMMYFUNCTION("""COMPUTED_VALUE"""),997.0)</f>
        <v>997</v>
      </c>
      <c r="F544" s="6">
        <f>IFERROR(__xludf.DUMMYFUNCTION("""COMPUTED_VALUE"""),3.758)</f>
        <v>3.758</v>
      </c>
      <c r="G544" s="6">
        <f>IFERROR(__xludf.DUMMYFUNCTION("""COMPUTED_VALUE"""),5.897)</f>
        <v>5.897</v>
      </c>
    </row>
    <row r="545">
      <c r="A545" s="6">
        <f>IFERROR(__xludf.DUMMYFUNCTION("""COMPUTED_VALUE"""),2014.0)</f>
        <v>2014</v>
      </c>
      <c r="B545" s="6" t="str">
        <f>IFERROR(__xludf.DUMMYFUNCTION("""COMPUTED_VALUE"""),"Dezembro")</f>
        <v>Dezembro</v>
      </c>
      <c r="C545" s="6" t="str">
        <f>IFERROR(__xludf.DUMMYFUNCTION("""COMPUTED_VALUE"""),"MAUS TRATOS")</f>
        <v>MAUS TRATOS</v>
      </c>
      <c r="D545" s="6">
        <f>IFERROR(__xludf.DUMMYFUNCTION("""COMPUTED_VALUE"""),4.0)</f>
        <v>4</v>
      </c>
      <c r="E545" s="6">
        <f>IFERROR(__xludf.DUMMYFUNCTION("""COMPUTED_VALUE"""),3.0)</f>
        <v>3</v>
      </c>
      <c r="F545" s="6">
        <f>IFERROR(__xludf.DUMMYFUNCTION("""COMPUTED_VALUE"""),18.0)</f>
        <v>18</v>
      </c>
      <c r="G545" s="6">
        <f>IFERROR(__xludf.DUMMYFUNCTION("""COMPUTED_VALUE"""),25.0)</f>
        <v>25</v>
      </c>
    </row>
    <row r="546">
      <c r="A546" s="6">
        <f>IFERROR(__xludf.DUMMYFUNCTION("""COMPUTED_VALUE"""),2014.0)</f>
        <v>2014</v>
      </c>
      <c r="B546" s="6" t="str">
        <f>IFERROR(__xludf.DUMMYFUNCTION("""COMPUTED_VALUE"""),"Dezembro")</f>
        <v>Dezembro</v>
      </c>
      <c r="C546" s="6" t="str">
        <f>IFERROR(__xludf.DUMMYFUNCTION("""COMPUTED_VALUE"""),"OUTROS C/C/ DIGNIDADE SEXUAL")</f>
        <v>OUTROS C/C/ DIGNIDADE SEXUAL</v>
      </c>
      <c r="D546" s="6">
        <f>IFERROR(__xludf.DUMMYFUNCTION("""COMPUTED_VALUE"""),0.0)</f>
        <v>0</v>
      </c>
      <c r="E546" s="6">
        <f>IFERROR(__xludf.DUMMYFUNCTION("""COMPUTED_VALUE"""),0.0)</f>
        <v>0</v>
      </c>
      <c r="F546" s="6">
        <f>IFERROR(__xludf.DUMMYFUNCTION("""COMPUTED_VALUE"""),3.0)</f>
        <v>3</v>
      </c>
      <c r="G546" s="6">
        <f>IFERROR(__xludf.DUMMYFUNCTION("""COMPUTED_VALUE"""),3.0)</f>
        <v>3</v>
      </c>
    </row>
    <row r="547">
      <c r="A547" s="6">
        <f>IFERROR(__xludf.DUMMYFUNCTION("""COMPUTED_VALUE"""),2014.0)</f>
        <v>2014</v>
      </c>
      <c r="B547" s="6" t="str">
        <f>IFERROR(__xludf.DUMMYFUNCTION("""COMPUTED_VALUE"""),"Dezembro")</f>
        <v>Dezembro</v>
      </c>
      <c r="C547" s="6" t="str">
        <f>IFERROR(__xludf.DUMMYFUNCTION("""COMPUTED_VALUE"""),"TENTATIVA DE HOMICÍDIO")</f>
        <v>TENTATIVA DE HOMICÍDIO</v>
      </c>
      <c r="D547" s="6">
        <f>IFERROR(__xludf.DUMMYFUNCTION("""COMPUTED_VALUE"""),3.0)</f>
        <v>3</v>
      </c>
      <c r="E547" s="6">
        <f>IFERROR(__xludf.DUMMYFUNCTION("""COMPUTED_VALUE"""),3.0)</f>
        <v>3</v>
      </c>
      <c r="F547" s="6">
        <f>IFERROR(__xludf.DUMMYFUNCTION("""COMPUTED_VALUE"""),15.0)</f>
        <v>15</v>
      </c>
      <c r="G547" s="6">
        <f>IFERROR(__xludf.DUMMYFUNCTION("""COMPUTED_VALUE"""),21.0)</f>
        <v>21</v>
      </c>
    </row>
    <row r="548">
      <c r="A548" s="6">
        <f>IFERROR(__xludf.DUMMYFUNCTION("""COMPUTED_VALUE"""),2015.0)</f>
        <v>2015</v>
      </c>
      <c r="B548" s="6" t="str">
        <f>IFERROR(__xludf.DUMMYFUNCTION("""COMPUTED_VALUE"""),"Janeiro")</f>
        <v>Janeiro</v>
      </c>
      <c r="C548" s="6" t="str">
        <f>IFERROR(__xludf.DUMMYFUNCTION("""COMPUTED_VALUE"""),"HOMICÍDIO DOLOSO (exclui FEMINICÍDIO)")</f>
        <v>HOMICÍDIO DOLOSO (exclui FEMINICÍDIO)</v>
      </c>
      <c r="D548" s="6">
        <f>IFERROR(__xludf.DUMMYFUNCTION("""COMPUTED_VALUE"""),1.0)</f>
        <v>1</v>
      </c>
      <c r="E548" s="6">
        <f>IFERROR(__xludf.DUMMYFUNCTION("""COMPUTED_VALUE"""),0.0)</f>
        <v>0</v>
      </c>
      <c r="F548" s="6">
        <f>IFERROR(__xludf.DUMMYFUNCTION("""COMPUTED_VALUE"""),0.0)</f>
        <v>0</v>
      </c>
      <c r="G548" s="6">
        <f>IFERROR(__xludf.DUMMYFUNCTION("""COMPUTED_VALUE"""),1.0)</f>
        <v>1</v>
      </c>
    </row>
    <row r="549">
      <c r="A549" s="6">
        <f>IFERROR(__xludf.DUMMYFUNCTION("""COMPUTED_VALUE"""),2015.0)</f>
        <v>2015</v>
      </c>
      <c r="B549" s="6" t="str">
        <f>IFERROR(__xludf.DUMMYFUNCTION("""COMPUTED_VALUE"""),"Janeiro")</f>
        <v>Janeiro</v>
      </c>
      <c r="C549" s="6" t="str">
        <f>IFERROR(__xludf.DUMMYFUNCTION("""COMPUTED_VALUE"""),"FEMINICÍDIO")</f>
        <v>FEMINICÍDIO</v>
      </c>
      <c r="D549" s="6">
        <f>IFERROR(__xludf.DUMMYFUNCTION("""COMPUTED_VALUE"""),0.0)</f>
        <v>0</v>
      </c>
      <c r="E549" s="6">
        <f>IFERROR(__xludf.DUMMYFUNCTION("""COMPUTED_VALUE"""),0.0)</f>
        <v>0</v>
      </c>
      <c r="F549" s="6">
        <f>IFERROR(__xludf.DUMMYFUNCTION("""COMPUTED_VALUE"""),0.0)</f>
        <v>0</v>
      </c>
      <c r="G549" s="6">
        <f>IFERROR(__xludf.DUMMYFUNCTION("""COMPUTED_VALUE"""),0.0)</f>
        <v>0</v>
      </c>
    </row>
    <row r="550">
      <c r="A550" s="6">
        <f>IFERROR(__xludf.DUMMYFUNCTION("""COMPUTED_VALUE"""),2015.0)</f>
        <v>2015</v>
      </c>
      <c r="B550" s="6" t="str">
        <f>IFERROR(__xludf.DUMMYFUNCTION("""COMPUTED_VALUE"""),"Janeiro")</f>
        <v>Janeiro</v>
      </c>
      <c r="C550" s="6" t="str">
        <f>IFERROR(__xludf.DUMMYFUNCTION("""COMPUTED_VALUE"""),"HOMICÍDIO CULPOSO")</f>
        <v>HOMICÍDIO CULPOSO</v>
      </c>
      <c r="D550" s="6">
        <f>IFERROR(__xludf.DUMMYFUNCTION("""COMPUTED_VALUE"""),0.0)</f>
        <v>0</v>
      </c>
      <c r="E550" s="6">
        <f>IFERROR(__xludf.DUMMYFUNCTION("""COMPUTED_VALUE"""),0.0)</f>
        <v>0</v>
      </c>
      <c r="F550" s="6">
        <f>IFERROR(__xludf.DUMMYFUNCTION("""COMPUTED_VALUE"""),0.0)</f>
        <v>0</v>
      </c>
      <c r="G550" s="6">
        <f>IFERROR(__xludf.DUMMYFUNCTION("""COMPUTED_VALUE"""),0.0)</f>
        <v>0</v>
      </c>
    </row>
    <row r="551">
      <c r="A551" s="6">
        <f>IFERROR(__xludf.DUMMYFUNCTION("""COMPUTED_VALUE"""),2015.0)</f>
        <v>2015</v>
      </c>
      <c r="B551" s="6" t="str">
        <f>IFERROR(__xludf.DUMMYFUNCTION("""COMPUTED_VALUE"""),"Janeiro")</f>
        <v>Janeiro</v>
      </c>
      <c r="C551" s="6" t="str">
        <f>IFERROR(__xludf.DUMMYFUNCTION("""COMPUTED_VALUE"""),"TENTATIVA DE HOMICÍDIO")</f>
        <v>TENTATIVA DE HOMICÍDIO</v>
      </c>
      <c r="D551" s="6">
        <f>IFERROR(__xludf.DUMMYFUNCTION("""COMPUTED_VALUE"""),1.0)</f>
        <v>1</v>
      </c>
      <c r="E551" s="6">
        <f>IFERROR(__xludf.DUMMYFUNCTION("""COMPUTED_VALUE"""),2.0)</f>
        <v>2</v>
      </c>
      <c r="F551" s="6">
        <f>IFERROR(__xludf.DUMMYFUNCTION("""COMPUTED_VALUE"""),14.0)</f>
        <v>14</v>
      </c>
      <c r="G551" s="6">
        <f>IFERROR(__xludf.DUMMYFUNCTION("""COMPUTED_VALUE"""),17.0)</f>
        <v>17</v>
      </c>
    </row>
    <row r="552">
      <c r="A552" s="6">
        <f>IFERROR(__xludf.DUMMYFUNCTION("""COMPUTED_VALUE"""),2015.0)</f>
        <v>2015</v>
      </c>
      <c r="B552" s="6" t="str">
        <f>IFERROR(__xludf.DUMMYFUNCTION("""COMPUTED_VALUE"""),"Janeiro")</f>
        <v>Janeiro</v>
      </c>
      <c r="C552" s="6" t="str">
        <f>IFERROR(__xludf.DUMMYFUNCTION("""COMPUTED_VALUE"""),"LESÃO CORPORAL DOLOSA")</f>
        <v>LESÃO CORPORAL DOLOSA</v>
      </c>
      <c r="D552" s="6">
        <f>IFERROR(__xludf.DUMMYFUNCTION("""COMPUTED_VALUE"""),1142.0)</f>
        <v>1142</v>
      </c>
      <c r="E552" s="6">
        <f>IFERROR(__xludf.DUMMYFUNCTION("""COMPUTED_VALUE"""),967.0)</f>
        <v>967</v>
      </c>
      <c r="F552" s="6">
        <f>IFERROR(__xludf.DUMMYFUNCTION("""COMPUTED_VALUE"""),3706.0)</f>
        <v>3706</v>
      </c>
      <c r="G552" s="6">
        <f>IFERROR(__xludf.DUMMYFUNCTION("""COMPUTED_VALUE"""),5815.0)</f>
        <v>5815</v>
      </c>
    </row>
    <row r="553">
      <c r="A553" s="6">
        <f>IFERROR(__xludf.DUMMYFUNCTION("""COMPUTED_VALUE"""),2015.0)</f>
        <v>2015</v>
      </c>
      <c r="B553" s="6" t="str">
        <f>IFERROR(__xludf.DUMMYFUNCTION("""COMPUTED_VALUE"""),"Janeiro")</f>
        <v>Janeiro</v>
      </c>
      <c r="C553" s="6" t="str">
        <f>IFERROR(__xludf.DUMMYFUNCTION("""COMPUTED_VALUE"""),"MAUS TRATOS")</f>
        <v>MAUS TRATOS</v>
      </c>
      <c r="D553" s="6">
        <f>IFERROR(__xludf.DUMMYFUNCTION("""COMPUTED_VALUE"""),4.0)</f>
        <v>4</v>
      </c>
      <c r="E553" s="6">
        <f>IFERROR(__xludf.DUMMYFUNCTION("""COMPUTED_VALUE"""),2.0)</f>
        <v>2</v>
      </c>
      <c r="F553" s="6">
        <f>IFERROR(__xludf.DUMMYFUNCTION("""COMPUTED_VALUE"""),23.0)</f>
        <v>23</v>
      </c>
      <c r="G553" s="6">
        <f>IFERROR(__xludf.DUMMYFUNCTION("""COMPUTED_VALUE"""),29.0)</f>
        <v>29</v>
      </c>
    </row>
    <row r="554">
      <c r="A554" s="6">
        <f>IFERROR(__xludf.DUMMYFUNCTION("""COMPUTED_VALUE"""),2015.0)</f>
        <v>2015</v>
      </c>
      <c r="B554" s="6" t="str">
        <f>IFERROR(__xludf.DUMMYFUNCTION("""COMPUTED_VALUE"""),"Janeiro")</f>
        <v>Janeiro</v>
      </c>
      <c r="C554" s="6" t="str">
        <f>IFERROR(__xludf.DUMMYFUNCTION("""COMPUTED_VALUE"""),"CALÚNIA - DIFAMAÇÃO - INJÚRIA")</f>
        <v>CALÚNIA - DIFAMAÇÃO - INJÚRIA</v>
      </c>
      <c r="D554" s="6">
        <f>IFERROR(__xludf.DUMMYFUNCTION("""COMPUTED_VALUE"""),239.0)</f>
        <v>239</v>
      </c>
      <c r="E554" s="6">
        <f>IFERROR(__xludf.DUMMYFUNCTION("""COMPUTED_VALUE"""),196.0)</f>
        <v>196</v>
      </c>
      <c r="F554" s="6">
        <f>IFERROR(__xludf.DUMMYFUNCTION("""COMPUTED_VALUE"""),823.0)</f>
        <v>823</v>
      </c>
      <c r="G554" s="6">
        <f>IFERROR(__xludf.DUMMYFUNCTION("""COMPUTED_VALUE"""),1258.0)</f>
        <v>1258</v>
      </c>
    </row>
    <row r="555">
      <c r="A555" s="6">
        <f>IFERROR(__xludf.DUMMYFUNCTION("""COMPUTED_VALUE"""),2015.0)</f>
        <v>2015</v>
      </c>
      <c r="B555" s="6" t="str">
        <f>IFERROR(__xludf.DUMMYFUNCTION("""COMPUTED_VALUE"""),"Janeiro")</f>
        <v>Janeiro</v>
      </c>
      <c r="C555" s="6" t="str">
        <f>IFERROR(__xludf.DUMMYFUNCTION("""COMPUTED_VALUE"""),"CONSTRANGIMENTO ILEGAL")</f>
        <v>CONSTRANGIMENTO ILEGAL</v>
      </c>
      <c r="D555" s="6">
        <f>IFERROR(__xludf.DUMMYFUNCTION("""COMPUTED_VALUE"""),2.0)</f>
        <v>2</v>
      </c>
      <c r="E555" s="6">
        <f>IFERROR(__xludf.DUMMYFUNCTION("""COMPUTED_VALUE"""),0.0)</f>
        <v>0</v>
      </c>
      <c r="F555" s="6">
        <f>IFERROR(__xludf.DUMMYFUNCTION("""COMPUTED_VALUE"""),6.0)</f>
        <v>6</v>
      </c>
      <c r="G555" s="6">
        <f>IFERROR(__xludf.DUMMYFUNCTION("""COMPUTED_VALUE"""),8.0)</f>
        <v>8</v>
      </c>
    </row>
    <row r="556">
      <c r="A556" s="6">
        <f>IFERROR(__xludf.DUMMYFUNCTION("""COMPUTED_VALUE"""),2015.0)</f>
        <v>2015</v>
      </c>
      <c r="B556" s="6" t="str">
        <f>IFERROR(__xludf.DUMMYFUNCTION("""COMPUTED_VALUE"""),"Janeiro")</f>
        <v>Janeiro</v>
      </c>
      <c r="C556" s="6" t="str">
        <f>IFERROR(__xludf.DUMMYFUNCTION("""COMPUTED_VALUE"""),"AMEAÇA")</f>
        <v>AMEAÇA</v>
      </c>
      <c r="D556" s="6">
        <f>IFERROR(__xludf.DUMMYFUNCTION("""COMPUTED_VALUE"""),1134.0)</f>
        <v>1134</v>
      </c>
      <c r="E556" s="6">
        <f>IFERROR(__xludf.DUMMYFUNCTION("""COMPUTED_VALUE"""),1022.0)</f>
        <v>1022</v>
      </c>
      <c r="F556" s="6">
        <f>IFERROR(__xludf.DUMMYFUNCTION("""COMPUTED_VALUE"""),3986.0)</f>
        <v>3986</v>
      </c>
      <c r="G556" s="6">
        <f>IFERROR(__xludf.DUMMYFUNCTION("""COMPUTED_VALUE"""),6142.0)</f>
        <v>6142</v>
      </c>
    </row>
    <row r="557">
      <c r="A557" s="6">
        <f>IFERROR(__xludf.DUMMYFUNCTION("""COMPUTED_VALUE"""),2015.0)</f>
        <v>2015</v>
      </c>
      <c r="B557" s="6" t="str">
        <f>IFERROR(__xludf.DUMMYFUNCTION("""COMPUTED_VALUE"""),"Janeiro")</f>
        <v>Janeiro</v>
      </c>
      <c r="C557" s="6" t="str">
        <f>IFERROR(__xludf.DUMMYFUNCTION("""COMPUTED_VALUE"""),"INVASÃO DE DOMICÍLIO")</f>
        <v>INVASÃO DE DOMICÍLIO</v>
      </c>
      <c r="D557" s="6">
        <f>IFERROR(__xludf.DUMMYFUNCTION("""COMPUTED_VALUE"""),3.0)</f>
        <v>3</v>
      </c>
      <c r="E557" s="6">
        <f>IFERROR(__xludf.DUMMYFUNCTION("""COMPUTED_VALUE"""),5.0)</f>
        <v>5</v>
      </c>
      <c r="F557" s="6">
        <f>IFERROR(__xludf.DUMMYFUNCTION("""COMPUTED_VALUE"""),16.0)</f>
        <v>16</v>
      </c>
      <c r="G557" s="6">
        <f>IFERROR(__xludf.DUMMYFUNCTION("""COMPUTED_VALUE"""),24.0)</f>
        <v>24</v>
      </c>
    </row>
    <row r="558">
      <c r="A558" s="6">
        <f>IFERROR(__xludf.DUMMYFUNCTION("""COMPUTED_VALUE"""),2015.0)</f>
        <v>2015</v>
      </c>
      <c r="B558" s="6" t="str">
        <f>IFERROR(__xludf.DUMMYFUNCTION("""COMPUTED_VALUE"""),"Janeiro")</f>
        <v>Janeiro</v>
      </c>
      <c r="C558" s="6" t="str">
        <f>IFERROR(__xludf.DUMMYFUNCTION("""COMPUTED_VALUE"""),"DANO")</f>
        <v>DANO</v>
      </c>
      <c r="D558" s="6">
        <f>IFERROR(__xludf.DUMMYFUNCTION("""COMPUTED_VALUE"""),16.0)</f>
        <v>16</v>
      </c>
      <c r="E558" s="6">
        <f>IFERROR(__xludf.DUMMYFUNCTION("""COMPUTED_VALUE"""),13.0)</f>
        <v>13</v>
      </c>
      <c r="F558" s="6">
        <f>IFERROR(__xludf.DUMMYFUNCTION("""COMPUTED_VALUE"""),79.0)</f>
        <v>79</v>
      </c>
      <c r="G558" s="6">
        <f>IFERROR(__xludf.DUMMYFUNCTION("""COMPUTED_VALUE"""),108.0)</f>
        <v>108</v>
      </c>
    </row>
    <row r="559">
      <c r="A559" s="6">
        <f>IFERROR(__xludf.DUMMYFUNCTION("""COMPUTED_VALUE"""),2015.0)</f>
        <v>2015</v>
      </c>
      <c r="B559" s="6" t="str">
        <f>IFERROR(__xludf.DUMMYFUNCTION("""COMPUTED_VALUE"""),"Janeiro")</f>
        <v>Janeiro</v>
      </c>
      <c r="C559" s="6" t="str">
        <f>IFERROR(__xludf.DUMMYFUNCTION("""COMPUTED_VALUE"""),"ESTUPRO CONSUMADO")</f>
        <v>ESTUPRO CONSUMADO</v>
      </c>
      <c r="D559" s="6">
        <f>IFERROR(__xludf.DUMMYFUNCTION("""COMPUTED_VALUE"""),13.0)</f>
        <v>13</v>
      </c>
      <c r="E559" s="6">
        <f>IFERROR(__xludf.DUMMYFUNCTION("""COMPUTED_VALUE"""),11.0)</f>
        <v>11</v>
      </c>
      <c r="F559" s="6">
        <f>IFERROR(__xludf.DUMMYFUNCTION("""COMPUTED_VALUE"""),26.0)</f>
        <v>26</v>
      </c>
      <c r="G559" s="6">
        <f>IFERROR(__xludf.DUMMYFUNCTION("""COMPUTED_VALUE"""),50.0)</f>
        <v>50</v>
      </c>
    </row>
    <row r="560">
      <c r="A560" s="6">
        <f>IFERROR(__xludf.DUMMYFUNCTION("""COMPUTED_VALUE"""),2015.0)</f>
        <v>2015</v>
      </c>
      <c r="B560" s="6" t="str">
        <f>IFERROR(__xludf.DUMMYFUNCTION("""COMPUTED_VALUE"""),"Janeiro")</f>
        <v>Janeiro</v>
      </c>
      <c r="C560" s="6" t="str">
        <f>IFERROR(__xludf.DUMMYFUNCTION("""COMPUTED_VALUE"""),"ESTUPRO TENTADO")</f>
        <v>ESTUPRO TENTADO</v>
      </c>
      <c r="D560" s="6">
        <f>IFERROR(__xludf.DUMMYFUNCTION("""COMPUTED_VALUE"""),1.0)</f>
        <v>1</v>
      </c>
      <c r="E560" s="6">
        <f>IFERROR(__xludf.DUMMYFUNCTION("""COMPUTED_VALUE"""),1.0)</f>
        <v>1</v>
      </c>
      <c r="F560" s="6">
        <f>IFERROR(__xludf.DUMMYFUNCTION("""COMPUTED_VALUE"""),3.0)</f>
        <v>3</v>
      </c>
      <c r="G560" s="6">
        <f>IFERROR(__xludf.DUMMYFUNCTION("""COMPUTED_VALUE"""),5.0)</f>
        <v>5</v>
      </c>
    </row>
    <row r="561">
      <c r="A561" s="6">
        <f>IFERROR(__xludf.DUMMYFUNCTION("""COMPUTED_VALUE"""),2015.0)</f>
        <v>2015</v>
      </c>
      <c r="B561" s="6" t="str">
        <f>IFERROR(__xludf.DUMMYFUNCTION("""COMPUTED_VALUE"""),"Janeiro")</f>
        <v>Janeiro</v>
      </c>
      <c r="C561" s="6" t="str">
        <f>IFERROR(__xludf.DUMMYFUNCTION("""COMPUTED_VALUE"""),"ESTUPRO DE VULNERÁVEL CONSUMADO")</f>
        <v>ESTUPRO DE VULNERÁVEL CONSUMADO</v>
      </c>
      <c r="D561" s="6">
        <f>IFERROR(__xludf.DUMMYFUNCTION("""COMPUTED_VALUE"""),3.0)</f>
        <v>3</v>
      </c>
      <c r="E561" s="6">
        <f>IFERROR(__xludf.DUMMYFUNCTION("""COMPUTED_VALUE"""),5.0)</f>
        <v>5</v>
      </c>
      <c r="F561" s="6">
        <f>IFERROR(__xludf.DUMMYFUNCTION("""COMPUTED_VALUE"""),24.0)</f>
        <v>24</v>
      </c>
      <c r="G561" s="6">
        <f>IFERROR(__xludf.DUMMYFUNCTION("""COMPUTED_VALUE"""),32.0)</f>
        <v>32</v>
      </c>
    </row>
    <row r="562">
      <c r="A562" s="6">
        <f>IFERROR(__xludf.DUMMYFUNCTION("""COMPUTED_VALUE"""),2015.0)</f>
        <v>2015</v>
      </c>
      <c r="B562" s="6" t="str">
        <f>IFERROR(__xludf.DUMMYFUNCTION("""COMPUTED_VALUE"""),"Janeiro")</f>
        <v>Janeiro</v>
      </c>
      <c r="C562" s="6" t="str">
        <f>IFERROR(__xludf.DUMMYFUNCTION("""COMPUTED_VALUE"""),"OUTROS C/C/ DIGNIDADE SEXUAL")</f>
        <v>OUTROS C/C/ DIGNIDADE SEXUAL</v>
      </c>
      <c r="D562" s="6">
        <f>IFERROR(__xludf.DUMMYFUNCTION("""COMPUTED_VALUE"""),0.0)</f>
        <v>0</v>
      </c>
      <c r="E562" s="6">
        <f>IFERROR(__xludf.DUMMYFUNCTION("""COMPUTED_VALUE"""),0.0)</f>
        <v>0</v>
      </c>
      <c r="F562" s="6">
        <f>IFERROR(__xludf.DUMMYFUNCTION("""COMPUTED_VALUE"""),3.0)</f>
        <v>3</v>
      </c>
      <c r="G562" s="6">
        <f>IFERROR(__xludf.DUMMYFUNCTION("""COMPUTED_VALUE"""),3.0)</f>
        <v>3</v>
      </c>
    </row>
    <row r="563">
      <c r="A563" s="6">
        <f>IFERROR(__xludf.DUMMYFUNCTION("""COMPUTED_VALUE"""),2015.0)</f>
        <v>2015</v>
      </c>
      <c r="B563" s="6" t="str">
        <f>IFERROR(__xludf.DUMMYFUNCTION("""COMPUTED_VALUE"""),"Fevereiro")</f>
        <v>Fevereiro</v>
      </c>
      <c r="C563" s="6" t="str">
        <f>IFERROR(__xludf.DUMMYFUNCTION("""COMPUTED_VALUE"""),"HOMICÍDIO DOLOSO (exclui FEMINICÍDIO)")</f>
        <v>HOMICÍDIO DOLOSO (exclui FEMINICÍDIO)</v>
      </c>
      <c r="D563" s="6">
        <f>IFERROR(__xludf.DUMMYFUNCTION("""COMPUTED_VALUE"""),3.0)</f>
        <v>3</v>
      </c>
      <c r="E563" s="6">
        <f>IFERROR(__xludf.DUMMYFUNCTION("""COMPUTED_VALUE"""),1.0)</f>
        <v>1</v>
      </c>
      <c r="F563" s="6">
        <f>IFERROR(__xludf.DUMMYFUNCTION("""COMPUTED_VALUE"""),2.0)</f>
        <v>2</v>
      </c>
      <c r="G563" s="6">
        <f>IFERROR(__xludf.DUMMYFUNCTION("""COMPUTED_VALUE"""),6.0)</f>
        <v>6</v>
      </c>
    </row>
    <row r="564">
      <c r="A564" s="6">
        <f>IFERROR(__xludf.DUMMYFUNCTION("""COMPUTED_VALUE"""),2015.0)</f>
        <v>2015</v>
      </c>
      <c r="B564" s="6" t="str">
        <f>IFERROR(__xludf.DUMMYFUNCTION("""COMPUTED_VALUE"""),"Fevereiro")</f>
        <v>Fevereiro</v>
      </c>
      <c r="C564" s="6" t="str">
        <f>IFERROR(__xludf.DUMMYFUNCTION("""COMPUTED_VALUE"""),"FEMINICÍDIO")</f>
        <v>FEMINICÍDIO</v>
      </c>
      <c r="D564" s="6">
        <f>IFERROR(__xludf.DUMMYFUNCTION("""COMPUTED_VALUE"""),0.0)</f>
        <v>0</v>
      </c>
      <c r="E564" s="6">
        <f>IFERROR(__xludf.DUMMYFUNCTION("""COMPUTED_VALUE"""),0.0)</f>
        <v>0</v>
      </c>
      <c r="F564" s="6">
        <f>IFERROR(__xludf.DUMMYFUNCTION("""COMPUTED_VALUE"""),0.0)</f>
        <v>0</v>
      </c>
      <c r="G564" s="6">
        <f>IFERROR(__xludf.DUMMYFUNCTION("""COMPUTED_VALUE"""),0.0)</f>
        <v>0</v>
      </c>
    </row>
    <row r="565">
      <c r="A565" s="6">
        <f>IFERROR(__xludf.DUMMYFUNCTION("""COMPUTED_VALUE"""),2015.0)</f>
        <v>2015</v>
      </c>
      <c r="B565" s="6" t="str">
        <f>IFERROR(__xludf.DUMMYFUNCTION("""COMPUTED_VALUE"""),"Fevereiro")</f>
        <v>Fevereiro</v>
      </c>
      <c r="C565" s="6" t="str">
        <f>IFERROR(__xludf.DUMMYFUNCTION("""COMPUTED_VALUE"""),"HOMICÍDIO CULPOSO")</f>
        <v>HOMICÍDIO CULPOSO</v>
      </c>
      <c r="D565" s="6">
        <f>IFERROR(__xludf.DUMMYFUNCTION("""COMPUTED_VALUE"""),0.0)</f>
        <v>0</v>
      </c>
      <c r="E565" s="6">
        <f>IFERROR(__xludf.DUMMYFUNCTION("""COMPUTED_VALUE"""),0.0)</f>
        <v>0</v>
      </c>
      <c r="F565" s="6">
        <f>IFERROR(__xludf.DUMMYFUNCTION("""COMPUTED_VALUE"""),0.0)</f>
        <v>0</v>
      </c>
      <c r="G565" s="6">
        <f>IFERROR(__xludf.DUMMYFUNCTION("""COMPUTED_VALUE"""),0.0)</f>
        <v>0</v>
      </c>
    </row>
    <row r="566">
      <c r="A566" s="6">
        <f>IFERROR(__xludf.DUMMYFUNCTION("""COMPUTED_VALUE"""),2015.0)</f>
        <v>2015</v>
      </c>
      <c r="B566" s="6" t="str">
        <f>IFERROR(__xludf.DUMMYFUNCTION("""COMPUTED_VALUE"""),"Fevereiro")</f>
        <v>Fevereiro</v>
      </c>
      <c r="C566" s="6" t="str">
        <f>IFERROR(__xludf.DUMMYFUNCTION("""COMPUTED_VALUE"""),"TENTATIVA DE HOMICÍDIO")</f>
        <v>TENTATIVA DE HOMICÍDIO</v>
      </c>
      <c r="D566" s="6">
        <f>IFERROR(__xludf.DUMMYFUNCTION("""COMPUTED_VALUE"""),1.0)</f>
        <v>1</v>
      </c>
      <c r="E566" s="6">
        <f>IFERROR(__xludf.DUMMYFUNCTION("""COMPUTED_VALUE"""),2.0)</f>
        <v>2</v>
      </c>
      <c r="F566" s="6">
        <f>IFERROR(__xludf.DUMMYFUNCTION("""COMPUTED_VALUE"""),12.0)</f>
        <v>12</v>
      </c>
      <c r="G566" s="6">
        <f>IFERROR(__xludf.DUMMYFUNCTION("""COMPUTED_VALUE"""),15.0)</f>
        <v>15</v>
      </c>
    </row>
    <row r="567">
      <c r="A567" s="6">
        <f>IFERROR(__xludf.DUMMYFUNCTION("""COMPUTED_VALUE"""),2015.0)</f>
        <v>2015</v>
      </c>
      <c r="B567" s="6" t="str">
        <f>IFERROR(__xludf.DUMMYFUNCTION("""COMPUTED_VALUE"""),"Fevereiro")</f>
        <v>Fevereiro</v>
      </c>
      <c r="C567" s="6" t="str">
        <f>IFERROR(__xludf.DUMMYFUNCTION("""COMPUTED_VALUE"""),"LESÃO CORPORAL DOLOSA")</f>
        <v>LESÃO CORPORAL DOLOSA</v>
      </c>
      <c r="D567" s="6">
        <f>IFERROR(__xludf.DUMMYFUNCTION("""COMPUTED_VALUE"""),974.0)</f>
        <v>974</v>
      </c>
      <c r="E567" s="6">
        <f>IFERROR(__xludf.DUMMYFUNCTION("""COMPUTED_VALUE"""),824.0)</f>
        <v>824</v>
      </c>
      <c r="F567" s="6">
        <f>IFERROR(__xludf.DUMMYFUNCTION("""COMPUTED_VALUE"""),3137.0)</f>
        <v>3137</v>
      </c>
      <c r="G567" s="6">
        <f>IFERROR(__xludf.DUMMYFUNCTION("""COMPUTED_VALUE"""),4935.0)</f>
        <v>4935</v>
      </c>
    </row>
    <row r="568">
      <c r="A568" s="6">
        <f>IFERROR(__xludf.DUMMYFUNCTION("""COMPUTED_VALUE"""),2015.0)</f>
        <v>2015</v>
      </c>
      <c r="B568" s="6" t="str">
        <f>IFERROR(__xludf.DUMMYFUNCTION("""COMPUTED_VALUE"""),"Fevereiro")</f>
        <v>Fevereiro</v>
      </c>
      <c r="C568" s="6" t="str">
        <f>IFERROR(__xludf.DUMMYFUNCTION("""COMPUTED_VALUE"""),"MAUS TRATOS")</f>
        <v>MAUS TRATOS</v>
      </c>
      <c r="D568" s="6">
        <f>IFERROR(__xludf.DUMMYFUNCTION("""COMPUTED_VALUE"""),3.0)</f>
        <v>3</v>
      </c>
      <c r="E568" s="6">
        <f>IFERROR(__xludf.DUMMYFUNCTION("""COMPUTED_VALUE"""),2.0)</f>
        <v>2</v>
      </c>
      <c r="F568" s="6">
        <f>IFERROR(__xludf.DUMMYFUNCTION("""COMPUTED_VALUE"""),19.0)</f>
        <v>19</v>
      </c>
      <c r="G568" s="6">
        <f>IFERROR(__xludf.DUMMYFUNCTION("""COMPUTED_VALUE"""),24.0)</f>
        <v>24</v>
      </c>
    </row>
    <row r="569">
      <c r="A569" s="6">
        <f>IFERROR(__xludf.DUMMYFUNCTION("""COMPUTED_VALUE"""),2015.0)</f>
        <v>2015</v>
      </c>
      <c r="B569" s="6" t="str">
        <f>IFERROR(__xludf.DUMMYFUNCTION("""COMPUTED_VALUE"""),"Fevereiro")</f>
        <v>Fevereiro</v>
      </c>
      <c r="C569" s="6" t="str">
        <f>IFERROR(__xludf.DUMMYFUNCTION("""COMPUTED_VALUE"""),"CALÚNIA - DIFAMAÇÃO - INJÚRIA")</f>
        <v>CALÚNIA - DIFAMAÇÃO - INJÚRIA</v>
      </c>
      <c r="D569" s="6">
        <f>IFERROR(__xludf.DUMMYFUNCTION("""COMPUTED_VALUE"""),185.0)</f>
        <v>185</v>
      </c>
      <c r="E569" s="6">
        <f>IFERROR(__xludf.DUMMYFUNCTION("""COMPUTED_VALUE"""),174.0)</f>
        <v>174</v>
      </c>
      <c r="F569" s="6">
        <f>IFERROR(__xludf.DUMMYFUNCTION("""COMPUTED_VALUE"""),722.0)</f>
        <v>722</v>
      </c>
      <c r="G569" s="6">
        <f>IFERROR(__xludf.DUMMYFUNCTION("""COMPUTED_VALUE"""),1081.0)</f>
        <v>1081</v>
      </c>
    </row>
    <row r="570">
      <c r="A570" s="6">
        <f>IFERROR(__xludf.DUMMYFUNCTION("""COMPUTED_VALUE"""),2015.0)</f>
        <v>2015</v>
      </c>
      <c r="B570" s="6" t="str">
        <f>IFERROR(__xludf.DUMMYFUNCTION("""COMPUTED_VALUE"""),"Fevereiro")</f>
        <v>Fevereiro</v>
      </c>
      <c r="C570" s="6" t="str">
        <f>IFERROR(__xludf.DUMMYFUNCTION("""COMPUTED_VALUE"""),"CONSTRANGIMENTO ILEGAL")</f>
        <v>CONSTRANGIMENTO ILEGAL</v>
      </c>
      <c r="D570" s="6">
        <f>IFERROR(__xludf.DUMMYFUNCTION("""COMPUTED_VALUE"""),1.0)</f>
        <v>1</v>
      </c>
      <c r="E570" s="6">
        <f>IFERROR(__xludf.DUMMYFUNCTION("""COMPUTED_VALUE"""),1.0)</f>
        <v>1</v>
      </c>
      <c r="F570" s="6">
        <f>IFERROR(__xludf.DUMMYFUNCTION("""COMPUTED_VALUE"""),8.0)</f>
        <v>8</v>
      </c>
      <c r="G570" s="6">
        <f>IFERROR(__xludf.DUMMYFUNCTION("""COMPUTED_VALUE"""),10.0)</f>
        <v>10</v>
      </c>
    </row>
    <row r="571">
      <c r="A571" s="6">
        <f>IFERROR(__xludf.DUMMYFUNCTION("""COMPUTED_VALUE"""),2015.0)</f>
        <v>2015</v>
      </c>
      <c r="B571" s="6" t="str">
        <f>IFERROR(__xludf.DUMMYFUNCTION("""COMPUTED_VALUE"""),"Fevereiro")</f>
        <v>Fevereiro</v>
      </c>
      <c r="C571" s="6" t="str">
        <f>IFERROR(__xludf.DUMMYFUNCTION("""COMPUTED_VALUE"""),"AMEAÇA")</f>
        <v>AMEAÇA</v>
      </c>
      <c r="D571" s="6">
        <f>IFERROR(__xludf.DUMMYFUNCTION("""COMPUTED_VALUE"""),895.0)</f>
        <v>895</v>
      </c>
      <c r="E571" s="6">
        <f>IFERROR(__xludf.DUMMYFUNCTION("""COMPUTED_VALUE"""),811.0)</f>
        <v>811</v>
      </c>
      <c r="F571" s="6">
        <f>IFERROR(__xludf.DUMMYFUNCTION("""COMPUTED_VALUE"""),3350.0)</f>
        <v>3350</v>
      </c>
      <c r="G571" s="6">
        <f>IFERROR(__xludf.DUMMYFUNCTION("""COMPUTED_VALUE"""),5056.0)</f>
        <v>5056</v>
      </c>
    </row>
    <row r="572">
      <c r="A572" s="6">
        <f>IFERROR(__xludf.DUMMYFUNCTION("""COMPUTED_VALUE"""),2015.0)</f>
        <v>2015</v>
      </c>
      <c r="B572" s="6" t="str">
        <f>IFERROR(__xludf.DUMMYFUNCTION("""COMPUTED_VALUE"""),"Fevereiro")</f>
        <v>Fevereiro</v>
      </c>
      <c r="C572" s="6" t="str">
        <f>IFERROR(__xludf.DUMMYFUNCTION("""COMPUTED_VALUE"""),"INVASÃO DE DOMICÍLIO")</f>
        <v>INVASÃO DE DOMICÍLIO</v>
      </c>
      <c r="D572" s="6">
        <f>IFERROR(__xludf.DUMMYFUNCTION("""COMPUTED_VALUE"""),1.0)</f>
        <v>1</v>
      </c>
      <c r="E572" s="6">
        <f>IFERROR(__xludf.DUMMYFUNCTION("""COMPUTED_VALUE"""),2.0)</f>
        <v>2</v>
      </c>
      <c r="F572" s="6">
        <f>IFERROR(__xludf.DUMMYFUNCTION("""COMPUTED_VALUE"""),13.0)</f>
        <v>13</v>
      </c>
      <c r="G572" s="6">
        <f>IFERROR(__xludf.DUMMYFUNCTION("""COMPUTED_VALUE"""),16.0)</f>
        <v>16</v>
      </c>
    </row>
    <row r="573">
      <c r="A573" s="6">
        <f>IFERROR(__xludf.DUMMYFUNCTION("""COMPUTED_VALUE"""),2015.0)</f>
        <v>2015</v>
      </c>
      <c r="B573" s="6" t="str">
        <f>IFERROR(__xludf.DUMMYFUNCTION("""COMPUTED_VALUE"""),"Fevereiro")</f>
        <v>Fevereiro</v>
      </c>
      <c r="C573" s="6" t="str">
        <f>IFERROR(__xludf.DUMMYFUNCTION("""COMPUTED_VALUE"""),"DANO")</f>
        <v>DANO</v>
      </c>
      <c r="D573" s="6">
        <f>IFERROR(__xludf.DUMMYFUNCTION("""COMPUTED_VALUE"""),12.0)</f>
        <v>12</v>
      </c>
      <c r="E573" s="6">
        <f>IFERROR(__xludf.DUMMYFUNCTION("""COMPUTED_VALUE"""),12.0)</f>
        <v>12</v>
      </c>
      <c r="F573" s="6">
        <f>IFERROR(__xludf.DUMMYFUNCTION("""COMPUTED_VALUE"""),63.0)</f>
        <v>63</v>
      </c>
      <c r="G573" s="6">
        <f>IFERROR(__xludf.DUMMYFUNCTION("""COMPUTED_VALUE"""),87.0)</f>
        <v>87</v>
      </c>
    </row>
    <row r="574">
      <c r="A574" s="6">
        <f>IFERROR(__xludf.DUMMYFUNCTION("""COMPUTED_VALUE"""),2015.0)</f>
        <v>2015</v>
      </c>
      <c r="B574" s="6" t="str">
        <f>IFERROR(__xludf.DUMMYFUNCTION("""COMPUTED_VALUE"""),"Fevereiro")</f>
        <v>Fevereiro</v>
      </c>
      <c r="C574" s="6" t="str">
        <f>IFERROR(__xludf.DUMMYFUNCTION("""COMPUTED_VALUE"""),"ESTUPRO CONSUMADO")</f>
        <v>ESTUPRO CONSUMADO</v>
      </c>
      <c r="D574" s="6">
        <f>IFERROR(__xludf.DUMMYFUNCTION("""COMPUTED_VALUE"""),10.0)</f>
        <v>10</v>
      </c>
      <c r="E574" s="6">
        <f>IFERROR(__xludf.DUMMYFUNCTION("""COMPUTED_VALUE"""),8.0)</f>
        <v>8</v>
      </c>
      <c r="F574" s="6">
        <f>IFERROR(__xludf.DUMMYFUNCTION("""COMPUTED_VALUE"""),21.0)</f>
        <v>21</v>
      </c>
      <c r="G574" s="6">
        <f>IFERROR(__xludf.DUMMYFUNCTION("""COMPUTED_VALUE"""),39.0)</f>
        <v>39</v>
      </c>
    </row>
    <row r="575">
      <c r="A575" s="6">
        <f>IFERROR(__xludf.DUMMYFUNCTION("""COMPUTED_VALUE"""),2015.0)</f>
        <v>2015</v>
      </c>
      <c r="B575" s="6" t="str">
        <f>IFERROR(__xludf.DUMMYFUNCTION("""COMPUTED_VALUE"""),"Fevereiro")</f>
        <v>Fevereiro</v>
      </c>
      <c r="C575" s="6" t="str">
        <f>IFERROR(__xludf.DUMMYFUNCTION("""COMPUTED_VALUE"""),"ESTUPRO TENTADO")</f>
        <v>ESTUPRO TENTADO</v>
      </c>
      <c r="D575" s="6">
        <f>IFERROR(__xludf.DUMMYFUNCTION("""COMPUTED_VALUE"""),0.0)</f>
        <v>0</v>
      </c>
      <c r="E575" s="6">
        <f>IFERROR(__xludf.DUMMYFUNCTION("""COMPUTED_VALUE"""),0.0)</f>
        <v>0</v>
      </c>
      <c r="F575" s="6">
        <f>IFERROR(__xludf.DUMMYFUNCTION("""COMPUTED_VALUE"""),1.0)</f>
        <v>1</v>
      </c>
      <c r="G575" s="6">
        <f>IFERROR(__xludf.DUMMYFUNCTION("""COMPUTED_VALUE"""),1.0)</f>
        <v>1</v>
      </c>
    </row>
    <row r="576">
      <c r="A576" s="6">
        <f>IFERROR(__xludf.DUMMYFUNCTION("""COMPUTED_VALUE"""),2015.0)</f>
        <v>2015</v>
      </c>
      <c r="B576" s="6" t="str">
        <f>IFERROR(__xludf.DUMMYFUNCTION("""COMPUTED_VALUE"""),"Fevereiro")</f>
        <v>Fevereiro</v>
      </c>
      <c r="C576" s="6" t="str">
        <f>IFERROR(__xludf.DUMMYFUNCTION("""COMPUTED_VALUE"""),"ESTUPRO DE VULNERÁVEL CONSUMADO")</f>
        <v>ESTUPRO DE VULNERÁVEL CONSUMADO</v>
      </c>
      <c r="D576" s="6">
        <f>IFERROR(__xludf.DUMMYFUNCTION("""COMPUTED_VALUE"""),5.0)</f>
        <v>5</v>
      </c>
      <c r="E576" s="6">
        <f>IFERROR(__xludf.DUMMYFUNCTION("""COMPUTED_VALUE"""),5.0)</f>
        <v>5</v>
      </c>
      <c r="F576" s="6">
        <f>IFERROR(__xludf.DUMMYFUNCTION("""COMPUTED_VALUE"""),21.0)</f>
        <v>21</v>
      </c>
      <c r="G576" s="6">
        <f>IFERROR(__xludf.DUMMYFUNCTION("""COMPUTED_VALUE"""),31.0)</f>
        <v>31</v>
      </c>
    </row>
    <row r="577">
      <c r="A577" s="6">
        <f>IFERROR(__xludf.DUMMYFUNCTION("""COMPUTED_VALUE"""),2015.0)</f>
        <v>2015</v>
      </c>
      <c r="B577" s="6" t="str">
        <f>IFERROR(__xludf.DUMMYFUNCTION("""COMPUTED_VALUE"""),"Fevereiro")</f>
        <v>Fevereiro</v>
      </c>
      <c r="C577" s="6" t="str">
        <f>IFERROR(__xludf.DUMMYFUNCTION("""COMPUTED_VALUE"""),"OUTROS C/C/ DIGNIDADE SEXUAL")</f>
        <v>OUTROS C/C/ DIGNIDADE SEXUAL</v>
      </c>
      <c r="D577" s="6">
        <f>IFERROR(__xludf.DUMMYFUNCTION("""COMPUTED_VALUE"""),0.0)</f>
        <v>0</v>
      </c>
      <c r="E577" s="6">
        <f>IFERROR(__xludf.DUMMYFUNCTION("""COMPUTED_VALUE"""),0.0)</f>
        <v>0</v>
      </c>
      <c r="F577" s="6">
        <f>IFERROR(__xludf.DUMMYFUNCTION("""COMPUTED_VALUE"""),2.0)</f>
        <v>2</v>
      </c>
      <c r="G577" s="6">
        <f>IFERROR(__xludf.DUMMYFUNCTION("""COMPUTED_VALUE"""),2.0)</f>
        <v>2</v>
      </c>
    </row>
    <row r="578">
      <c r="A578" s="6">
        <f>IFERROR(__xludf.DUMMYFUNCTION("""COMPUTED_VALUE"""),2015.0)</f>
        <v>2015</v>
      </c>
      <c r="B578" s="6" t="str">
        <f>IFERROR(__xludf.DUMMYFUNCTION("""COMPUTED_VALUE"""),"Março")</f>
        <v>Março</v>
      </c>
      <c r="C578" s="6" t="str">
        <f>IFERROR(__xludf.DUMMYFUNCTION("""COMPUTED_VALUE"""),"HOMICÍDIO DOLOSO (exclui FEMINICÍDIO)")</f>
        <v>HOMICÍDIO DOLOSO (exclui FEMINICÍDIO)</v>
      </c>
      <c r="D578" s="6">
        <f>IFERROR(__xludf.DUMMYFUNCTION("""COMPUTED_VALUE"""),0.0)</f>
        <v>0</v>
      </c>
      <c r="E578" s="6">
        <f>IFERROR(__xludf.DUMMYFUNCTION("""COMPUTED_VALUE"""),1.0)</f>
        <v>1</v>
      </c>
      <c r="F578" s="6">
        <f>IFERROR(__xludf.DUMMYFUNCTION("""COMPUTED_VALUE"""),5.0)</f>
        <v>5</v>
      </c>
      <c r="G578" s="6">
        <f>IFERROR(__xludf.DUMMYFUNCTION("""COMPUTED_VALUE"""),6.0)</f>
        <v>6</v>
      </c>
    </row>
    <row r="579">
      <c r="A579" s="6">
        <f>IFERROR(__xludf.DUMMYFUNCTION("""COMPUTED_VALUE"""),2015.0)</f>
        <v>2015</v>
      </c>
      <c r="B579" s="6" t="str">
        <f>IFERROR(__xludf.DUMMYFUNCTION("""COMPUTED_VALUE"""),"Março")</f>
        <v>Março</v>
      </c>
      <c r="C579" s="6" t="str">
        <f>IFERROR(__xludf.DUMMYFUNCTION("""COMPUTED_VALUE"""),"FEMINICÍDIO")</f>
        <v>FEMINICÍDIO</v>
      </c>
      <c r="D579" s="6">
        <f>IFERROR(__xludf.DUMMYFUNCTION("""COMPUTED_VALUE"""),1.0)</f>
        <v>1</v>
      </c>
      <c r="E579" s="6">
        <f>IFERROR(__xludf.DUMMYFUNCTION("""COMPUTED_VALUE"""),0.0)</f>
        <v>0</v>
      </c>
      <c r="F579" s="6">
        <f>IFERROR(__xludf.DUMMYFUNCTION("""COMPUTED_VALUE"""),0.0)</f>
        <v>0</v>
      </c>
      <c r="G579" s="6">
        <f>IFERROR(__xludf.DUMMYFUNCTION("""COMPUTED_VALUE"""),1.0)</f>
        <v>1</v>
      </c>
    </row>
    <row r="580">
      <c r="A580" s="6">
        <f>IFERROR(__xludf.DUMMYFUNCTION("""COMPUTED_VALUE"""),2015.0)</f>
        <v>2015</v>
      </c>
      <c r="B580" s="6" t="str">
        <f>IFERROR(__xludf.DUMMYFUNCTION("""COMPUTED_VALUE"""),"Março")</f>
        <v>Março</v>
      </c>
      <c r="C580" s="6" t="str">
        <f>IFERROR(__xludf.DUMMYFUNCTION("""COMPUTED_VALUE"""),"HOMICÍDIO CULPOSO")</f>
        <v>HOMICÍDIO CULPOSO</v>
      </c>
      <c r="D580" s="6">
        <f>IFERROR(__xludf.DUMMYFUNCTION("""COMPUTED_VALUE"""),0.0)</f>
        <v>0</v>
      </c>
      <c r="E580" s="6">
        <f>IFERROR(__xludf.DUMMYFUNCTION("""COMPUTED_VALUE"""),0.0)</f>
        <v>0</v>
      </c>
      <c r="F580" s="6">
        <f>IFERROR(__xludf.DUMMYFUNCTION("""COMPUTED_VALUE"""),0.0)</f>
        <v>0</v>
      </c>
      <c r="G580" s="6">
        <f>IFERROR(__xludf.DUMMYFUNCTION("""COMPUTED_VALUE"""),0.0)</f>
        <v>0</v>
      </c>
    </row>
    <row r="581">
      <c r="A581" s="6">
        <f>IFERROR(__xludf.DUMMYFUNCTION("""COMPUTED_VALUE"""),2015.0)</f>
        <v>2015</v>
      </c>
      <c r="B581" s="6" t="str">
        <f>IFERROR(__xludf.DUMMYFUNCTION("""COMPUTED_VALUE"""),"Março")</f>
        <v>Março</v>
      </c>
      <c r="C581" s="6" t="str">
        <f>IFERROR(__xludf.DUMMYFUNCTION("""COMPUTED_VALUE"""),"TENTATIVA DE HOMICÍDIO")</f>
        <v>TENTATIVA DE HOMICÍDIO</v>
      </c>
      <c r="D581" s="6">
        <f>IFERROR(__xludf.DUMMYFUNCTION("""COMPUTED_VALUE"""),1.0)</f>
        <v>1</v>
      </c>
      <c r="E581" s="6">
        <f>IFERROR(__xludf.DUMMYFUNCTION("""COMPUTED_VALUE"""),3.0)</f>
        <v>3</v>
      </c>
      <c r="F581" s="6">
        <f>IFERROR(__xludf.DUMMYFUNCTION("""COMPUTED_VALUE"""),16.0)</f>
        <v>16</v>
      </c>
      <c r="G581" s="6">
        <f>IFERROR(__xludf.DUMMYFUNCTION("""COMPUTED_VALUE"""),20.0)</f>
        <v>20</v>
      </c>
    </row>
    <row r="582">
      <c r="A582" s="6">
        <f>IFERROR(__xludf.DUMMYFUNCTION("""COMPUTED_VALUE"""),2015.0)</f>
        <v>2015</v>
      </c>
      <c r="B582" s="6" t="str">
        <f>IFERROR(__xludf.DUMMYFUNCTION("""COMPUTED_VALUE"""),"Março")</f>
        <v>Março</v>
      </c>
      <c r="C582" s="6" t="str">
        <f>IFERROR(__xludf.DUMMYFUNCTION("""COMPUTED_VALUE"""),"LESÃO CORPORAL DOLOSA")</f>
        <v>LESÃO CORPORAL DOLOSA</v>
      </c>
      <c r="D582" s="6">
        <f>IFERROR(__xludf.DUMMYFUNCTION("""COMPUTED_VALUE"""),1024.0)</f>
        <v>1024</v>
      </c>
      <c r="E582" s="6">
        <f>IFERROR(__xludf.DUMMYFUNCTION("""COMPUTED_VALUE"""),892.0)</f>
        <v>892</v>
      </c>
      <c r="F582" s="6">
        <f>IFERROR(__xludf.DUMMYFUNCTION("""COMPUTED_VALUE"""),3291.0)</f>
        <v>3291</v>
      </c>
      <c r="G582" s="6">
        <f>IFERROR(__xludf.DUMMYFUNCTION("""COMPUTED_VALUE"""),5207.0)</f>
        <v>5207</v>
      </c>
    </row>
    <row r="583">
      <c r="A583" s="6">
        <f>IFERROR(__xludf.DUMMYFUNCTION("""COMPUTED_VALUE"""),2015.0)</f>
        <v>2015</v>
      </c>
      <c r="B583" s="6" t="str">
        <f>IFERROR(__xludf.DUMMYFUNCTION("""COMPUTED_VALUE"""),"Março")</f>
        <v>Março</v>
      </c>
      <c r="C583" s="6" t="str">
        <f>IFERROR(__xludf.DUMMYFUNCTION("""COMPUTED_VALUE"""),"MAUS TRATOS")</f>
        <v>MAUS TRATOS</v>
      </c>
      <c r="D583" s="6">
        <f>IFERROR(__xludf.DUMMYFUNCTION("""COMPUTED_VALUE"""),5.0)</f>
        <v>5</v>
      </c>
      <c r="E583" s="6">
        <f>IFERROR(__xludf.DUMMYFUNCTION("""COMPUTED_VALUE"""),4.0)</f>
        <v>4</v>
      </c>
      <c r="F583" s="6">
        <f>IFERROR(__xludf.DUMMYFUNCTION("""COMPUTED_VALUE"""),24.0)</f>
        <v>24</v>
      </c>
      <c r="G583" s="6">
        <f>IFERROR(__xludf.DUMMYFUNCTION("""COMPUTED_VALUE"""),33.0)</f>
        <v>33</v>
      </c>
    </row>
    <row r="584">
      <c r="A584" s="6">
        <f>IFERROR(__xludf.DUMMYFUNCTION("""COMPUTED_VALUE"""),2015.0)</f>
        <v>2015</v>
      </c>
      <c r="B584" s="6" t="str">
        <f>IFERROR(__xludf.DUMMYFUNCTION("""COMPUTED_VALUE"""),"Março")</f>
        <v>Março</v>
      </c>
      <c r="C584" s="6" t="str">
        <f>IFERROR(__xludf.DUMMYFUNCTION("""COMPUTED_VALUE"""),"CALÚNIA - DIFAMAÇÃO - INJÚRIA")</f>
        <v>CALÚNIA - DIFAMAÇÃO - INJÚRIA</v>
      </c>
      <c r="D584" s="6">
        <f>IFERROR(__xludf.DUMMYFUNCTION("""COMPUTED_VALUE"""),214.0)</f>
        <v>214</v>
      </c>
      <c r="E584" s="6">
        <f>IFERROR(__xludf.DUMMYFUNCTION("""COMPUTED_VALUE"""),198.0)</f>
        <v>198</v>
      </c>
      <c r="F584" s="6">
        <f>IFERROR(__xludf.DUMMYFUNCTION("""COMPUTED_VALUE"""),832.0)</f>
        <v>832</v>
      </c>
      <c r="G584" s="6">
        <f>IFERROR(__xludf.DUMMYFUNCTION("""COMPUTED_VALUE"""),1244.0)</f>
        <v>1244</v>
      </c>
    </row>
    <row r="585">
      <c r="A585" s="6">
        <f>IFERROR(__xludf.DUMMYFUNCTION("""COMPUTED_VALUE"""),2015.0)</f>
        <v>2015</v>
      </c>
      <c r="B585" s="6" t="str">
        <f>IFERROR(__xludf.DUMMYFUNCTION("""COMPUTED_VALUE"""),"Março")</f>
        <v>Março</v>
      </c>
      <c r="C585" s="6" t="str">
        <f>IFERROR(__xludf.DUMMYFUNCTION("""COMPUTED_VALUE"""),"CONSTRANGIMENTO ILEGAL")</f>
        <v>CONSTRANGIMENTO ILEGAL</v>
      </c>
      <c r="D585" s="6">
        <f>IFERROR(__xludf.DUMMYFUNCTION("""COMPUTED_VALUE"""),2.0)</f>
        <v>2</v>
      </c>
      <c r="E585" s="6">
        <f>IFERROR(__xludf.DUMMYFUNCTION("""COMPUTED_VALUE"""),1.0)</f>
        <v>1</v>
      </c>
      <c r="F585" s="6">
        <f>IFERROR(__xludf.DUMMYFUNCTION("""COMPUTED_VALUE"""),10.0)</f>
        <v>10</v>
      </c>
      <c r="G585" s="6">
        <f>IFERROR(__xludf.DUMMYFUNCTION("""COMPUTED_VALUE"""),13.0)</f>
        <v>13</v>
      </c>
    </row>
    <row r="586">
      <c r="A586" s="6">
        <f>IFERROR(__xludf.DUMMYFUNCTION("""COMPUTED_VALUE"""),2015.0)</f>
        <v>2015</v>
      </c>
      <c r="B586" s="6" t="str">
        <f>IFERROR(__xludf.DUMMYFUNCTION("""COMPUTED_VALUE"""),"Março")</f>
        <v>Março</v>
      </c>
      <c r="C586" s="6" t="str">
        <f>IFERROR(__xludf.DUMMYFUNCTION("""COMPUTED_VALUE"""),"AMEAÇA")</f>
        <v>AMEAÇA</v>
      </c>
      <c r="D586" s="6">
        <f>IFERROR(__xludf.DUMMYFUNCTION("""COMPUTED_VALUE"""),1018.0)</f>
        <v>1018</v>
      </c>
      <c r="E586" s="6">
        <f>IFERROR(__xludf.DUMMYFUNCTION("""COMPUTED_VALUE"""),913.0)</f>
        <v>913</v>
      </c>
      <c r="F586" s="6">
        <f>IFERROR(__xludf.DUMMYFUNCTION("""COMPUTED_VALUE"""),3418.0)</f>
        <v>3418</v>
      </c>
      <c r="G586" s="6">
        <f>IFERROR(__xludf.DUMMYFUNCTION("""COMPUTED_VALUE"""),5349.0)</f>
        <v>5349</v>
      </c>
    </row>
    <row r="587">
      <c r="A587" s="6">
        <f>IFERROR(__xludf.DUMMYFUNCTION("""COMPUTED_VALUE"""),2015.0)</f>
        <v>2015</v>
      </c>
      <c r="B587" s="6" t="str">
        <f>IFERROR(__xludf.DUMMYFUNCTION("""COMPUTED_VALUE"""),"Março")</f>
        <v>Março</v>
      </c>
      <c r="C587" s="6" t="str">
        <f>IFERROR(__xludf.DUMMYFUNCTION("""COMPUTED_VALUE"""),"INVASÃO DE DOMICÍLIO")</f>
        <v>INVASÃO DE DOMICÍLIO</v>
      </c>
      <c r="D587" s="6">
        <f>IFERROR(__xludf.DUMMYFUNCTION("""COMPUTED_VALUE"""),2.0)</f>
        <v>2</v>
      </c>
      <c r="E587" s="6">
        <f>IFERROR(__xludf.DUMMYFUNCTION("""COMPUTED_VALUE"""),3.0)</f>
        <v>3</v>
      </c>
      <c r="F587" s="6">
        <f>IFERROR(__xludf.DUMMYFUNCTION("""COMPUTED_VALUE"""),18.0)</f>
        <v>18</v>
      </c>
      <c r="G587" s="6">
        <f>IFERROR(__xludf.DUMMYFUNCTION("""COMPUTED_VALUE"""),23.0)</f>
        <v>23</v>
      </c>
    </row>
    <row r="588">
      <c r="A588" s="6">
        <f>IFERROR(__xludf.DUMMYFUNCTION("""COMPUTED_VALUE"""),2015.0)</f>
        <v>2015</v>
      </c>
      <c r="B588" s="6" t="str">
        <f>IFERROR(__xludf.DUMMYFUNCTION("""COMPUTED_VALUE"""),"Março")</f>
        <v>Março</v>
      </c>
      <c r="C588" s="6" t="str">
        <f>IFERROR(__xludf.DUMMYFUNCTION("""COMPUTED_VALUE"""),"DANO")</f>
        <v>DANO</v>
      </c>
      <c r="D588" s="6">
        <f>IFERROR(__xludf.DUMMYFUNCTION("""COMPUTED_VALUE"""),14.0)</f>
        <v>14</v>
      </c>
      <c r="E588" s="6">
        <f>IFERROR(__xludf.DUMMYFUNCTION("""COMPUTED_VALUE"""),13.0)</f>
        <v>13</v>
      </c>
      <c r="F588" s="6">
        <f>IFERROR(__xludf.DUMMYFUNCTION("""COMPUTED_VALUE"""),72.0)</f>
        <v>72</v>
      </c>
      <c r="G588" s="6">
        <f>IFERROR(__xludf.DUMMYFUNCTION("""COMPUTED_VALUE"""),99.0)</f>
        <v>99</v>
      </c>
    </row>
    <row r="589">
      <c r="A589" s="6">
        <f>IFERROR(__xludf.DUMMYFUNCTION("""COMPUTED_VALUE"""),2015.0)</f>
        <v>2015</v>
      </c>
      <c r="B589" s="6" t="str">
        <f>IFERROR(__xludf.DUMMYFUNCTION("""COMPUTED_VALUE"""),"Março")</f>
        <v>Março</v>
      </c>
      <c r="C589" s="6" t="str">
        <f>IFERROR(__xludf.DUMMYFUNCTION("""COMPUTED_VALUE"""),"ESTUPRO CONSUMADO")</f>
        <v>ESTUPRO CONSUMADO</v>
      </c>
      <c r="D589" s="6">
        <f>IFERROR(__xludf.DUMMYFUNCTION("""COMPUTED_VALUE"""),12.0)</f>
        <v>12</v>
      </c>
      <c r="E589" s="6">
        <f>IFERROR(__xludf.DUMMYFUNCTION("""COMPUTED_VALUE"""),9.0)</f>
        <v>9</v>
      </c>
      <c r="F589" s="6">
        <f>IFERROR(__xludf.DUMMYFUNCTION("""COMPUTED_VALUE"""),24.0)</f>
        <v>24</v>
      </c>
      <c r="G589" s="6">
        <f>IFERROR(__xludf.DUMMYFUNCTION("""COMPUTED_VALUE"""),45.0)</f>
        <v>45</v>
      </c>
    </row>
    <row r="590">
      <c r="A590" s="6">
        <f>IFERROR(__xludf.DUMMYFUNCTION("""COMPUTED_VALUE"""),2015.0)</f>
        <v>2015</v>
      </c>
      <c r="B590" s="6" t="str">
        <f>IFERROR(__xludf.DUMMYFUNCTION("""COMPUTED_VALUE"""),"Março")</f>
        <v>Março</v>
      </c>
      <c r="C590" s="6" t="str">
        <f>IFERROR(__xludf.DUMMYFUNCTION("""COMPUTED_VALUE"""),"ESTUPRO TENTADO")</f>
        <v>ESTUPRO TENTADO</v>
      </c>
      <c r="D590" s="6">
        <f>IFERROR(__xludf.DUMMYFUNCTION("""COMPUTED_VALUE"""),1.0)</f>
        <v>1</v>
      </c>
      <c r="E590" s="6">
        <f>IFERROR(__xludf.DUMMYFUNCTION("""COMPUTED_VALUE"""),0.0)</f>
        <v>0</v>
      </c>
      <c r="F590" s="6">
        <f>IFERROR(__xludf.DUMMYFUNCTION("""COMPUTED_VALUE"""),2.0)</f>
        <v>2</v>
      </c>
      <c r="G590" s="6">
        <f>IFERROR(__xludf.DUMMYFUNCTION("""COMPUTED_VALUE"""),3.0)</f>
        <v>3</v>
      </c>
    </row>
    <row r="591">
      <c r="A591" s="6">
        <f>IFERROR(__xludf.DUMMYFUNCTION("""COMPUTED_VALUE"""),2015.0)</f>
        <v>2015</v>
      </c>
      <c r="B591" s="6" t="str">
        <f>IFERROR(__xludf.DUMMYFUNCTION("""COMPUTED_VALUE"""),"Março")</f>
        <v>Março</v>
      </c>
      <c r="C591" s="6" t="str">
        <f>IFERROR(__xludf.DUMMYFUNCTION("""COMPUTED_VALUE"""),"ESTUPRO DE VULNERÁVEL CONSUMADO")</f>
        <v>ESTUPRO DE VULNERÁVEL CONSUMADO</v>
      </c>
      <c r="D591" s="6">
        <f>IFERROR(__xludf.DUMMYFUNCTION("""COMPUTED_VALUE"""),4.0)</f>
        <v>4</v>
      </c>
      <c r="E591" s="6">
        <f>IFERROR(__xludf.DUMMYFUNCTION("""COMPUTED_VALUE"""),6.0)</f>
        <v>6</v>
      </c>
      <c r="F591" s="6">
        <f>IFERROR(__xludf.DUMMYFUNCTION("""COMPUTED_VALUE"""),22.0)</f>
        <v>22</v>
      </c>
      <c r="G591" s="6">
        <f>IFERROR(__xludf.DUMMYFUNCTION("""COMPUTED_VALUE"""),32.0)</f>
        <v>32</v>
      </c>
    </row>
    <row r="592">
      <c r="A592" s="6">
        <f>IFERROR(__xludf.DUMMYFUNCTION("""COMPUTED_VALUE"""),2015.0)</f>
        <v>2015</v>
      </c>
      <c r="B592" s="6" t="str">
        <f>IFERROR(__xludf.DUMMYFUNCTION("""COMPUTED_VALUE"""),"Março")</f>
        <v>Março</v>
      </c>
      <c r="C592" s="6" t="str">
        <f>IFERROR(__xludf.DUMMYFUNCTION("""COMPUTED_VALUE"""),"OUTROS C/C/ DIGNIDADE SEXUAL")</f>
        <v>OUTROS C/C/ DIGNIDADE SEXUAL</v>
      </c>
      <c r="D592" s="6">
        <f>IFERROR(__xludf.DUMMYFUNCTION("""COMPUTED_VALUE"""),0.0)</f>
        <v>0</v>
      </c>
      <c r="E592" s="6">
        <f>IFERROR(__xludf.DUMMYFUNCTION("""COMPUTED_VALUE"""),1.0)</f>
        <v>1</v>
      </c>
      <c r="F592" s="6">
        <f>IFERROR(__xludf.DUMMYFUNCTION("""COMPUTED_VALUE"""),3.0)</f>
        <v>3</v>
      </c>
      <c r="G592" s="6">
        <f>IFERROR(__xludf.DUMMYFUNCTION("""COMPUTED_VALUE"""),4.0)</f>
        <v>4</v>
      </c>
    </row>
    <row r="593">
      <c r="A593" s="6">
        <f>IFERROR(__xludf.DUMMYFUNCTION("""COMPUTED_VALUE"""),2015.0)</f>
        <v>2015</v>
      </c>
      <c r="B593" s="6" t="str">
        <f>IFERROR(__xludf.DUMMYFUNCTION("""COMPUTED_VALUE"""),"Abril")</f>
        <v>Abril</v>
      </c>
      <c r="C593" s="6" t="str">
        <f>IFERROR(__xludf.DUMMYFUNCTION("""COMPUTED_VALUE"""),"HOMICÍDIO DOLOSO (exclui FEMINICÍDIO)")</f>
        <v>HOMICÍDIO DOLOSO (exclui FEMINICÍDIO)</v>
      </c>
      <c r="D593" s="6">
        <f>IFERROR(__xludf.DUMMYFUNCTION("""COMPUTED_VALUE"""),1.0)</f>
        <v>1</v>
      </c>
      <c r="E593" s="6">
        <f>IFERROR(__xludf.DUMMYFUNCTION("""COMPUTED_VALUE"""),0.0)</f>
        <v>0</v>
      </c>
      <c r="F593" s="6">
        <f>IFERROR(__xludf.DUMMYFUNCTION("""COMPUTED_VALUE"""),3.0)</f>
        <v>3</v>
      </c>
      <c r="G593" s="6">
        <f>IFERROR(__xludf.DUMMYFUNCTION("""COMPUTED_VALUE"""),4.0)</f>
        <v>4</v>
      </c>
    </row>
    <row r="594">
      <c r="A594" s="6">
        <f>IFERROR(__xludf.DUMMYFUNCTION("""COMPUTED_VALUE"""),2015.0)</f>
        <v>2015</v>
      </c>
      <c r="B594" s="6" t="str">
        <f>IFERROR(__xludf.DUMMYFUNCTION("""COMPUTED_VALUE"""),"Abril")</f>
        <v>Abril</v>
      </c>
      <c r="C594" s="6" t="str">
        <f>IFERROR(__xludf.DUMMYFUNCTION("""COMPUTED_VALUE"""),"FEMINICÍDIO")</f>
        <v>FEMINICÍDIO</v>
      </c>
      <c r="D594" s="6">
        <f>IFERROR(__xludf.DUMMYFUNCTION("""COMPUTED_VALUE"""),1.0)</f>
        <v>1</v>
      </c>
      <c r="E594" s="6">
        <f>IFERROR(__xludf.DUMMYFUNCTION("""COMPUTED_VALUE"""),0.0)</f>
        <v>0</v>
      </c>
      <c r="F594" s="6">
        <f>IFERROR(__xludf.DUMMYFUNCTION("""COMPUTED_VALUE"""),1.0)</f>
        <v>1</v>
      </c>
      <c r="G594" s="6">
        <f>IFERROR(__xludf.DUMMYFUNCTION("""COMPUTED_VALUE"""),2.0)</f>
        <v>2</v>
      </c>
    </row>
    <row r="595">
      <c r="A595" s="6">
        <f>IFERROR(__xludf.DUMMYFUNCTION("""COMPUTED_VALUE"""),2015.0)</f>
        <v>2015</v>
      </c>
      <c r="B595" s="6" t="str">
        <f>IFERROR(__xludf.DUMMYFUNCTION("""COMPUTED_VALUE"""),"Abril")</f>
        <v>Abril</v>
      </c>
      <c r="C595" s="6" t="str">
        <f>IFERROR(__xludf.DUMMYFUNCTION("""COMPUTED_VALUE"""),"HOMICÍDIO CULPOSO")</f>
        <v>HOMICÍDIO CULPOSO</v>
      </c>
      <c r="D595" s="6">
        <f>IFERROR(__xludf.DUMMYFUNCTION("""COMPUTED_VALUE"""),0.0)</f>
        <v>0</v>
      </c>
      <c r="E595" s="6">
        <f>IFERROR(__xludf.DUMMYFUNCTION("""COMPUTED_VALUE"""),0.0)</f>
        <v>0</v>
      </c>
      <c r="F595" s="6">
        <f>IFERROR(__xludf.DUMMYFUNCTION("""COMPUTED_VALUE"""),0.0)</f>
        <v>0</v>
      </c>
      <c r="G595" s="6">
        <f>IFERROR(__xludf.DUMMYFUNCTION("""COMPUTED_VALUE"""),0.0)</f>
        <v>0</v>
      </c>
    </row>
    <row r="596">
      <c r="A596" s="6">
        <f>IFERROR(__xludf.DUMMYFUNCTION("""COMPUTED_VALUE"""),2015.0)</f>
        <v>2015</v>
      </c>
      <c r="B596" s="6" t="str">
        <f>IFERROR(__xludf.DUMMYFUNCTION("""COMPUTED_VALUE"""),"Abril")</f>
        <v>Abril</v>
      </c>
      <c r="C596" s="6" t="str">
        <f>IFERROR(__xludf.DUMMYFUNCTION("""COMPUTED_VALUE"""),"TENTATIVA DE HOMICÍDIO")</f>
        <v>TENTATIVA DE HOMICÍDIO</v>
      </c>
      <c r="D596" s="6">
        <f>IFERROR(__xludf.DUMMYFUNCTION("""COMPUTED_VALUE"""),1.0)</f>
        <v>1</v>
      </c>
      <c r="E596" s="6">
        <f>IFERROR(__xludf.DUMMYFUNCTION("""COMPUTED_VALUE"""),2.0)</f>
        <v>2</v>
      </c>
      <c r="F596" s="6">
        <f>IFERROR(__xludf.DUMMYFUNCTION("""COMPUTED_VALUE"""),11.0)</f>
        <v>11</v>
      </c>
      <c r="G596" s="6">
        <f>IFERROR(__xludf.DUMMYFUNCTION("""COMPUTED_VALUE"""),14.0)</f>
        <v>14</v>
      </c>
    </row>
    <row r="597">
      <c r="A597" s="6">
        <f>IFERROR(__xludf.DUMMYFUNCTION("""COMPUTED_VALUE"""),2015.0)</f>
        <v>2015</v>
      </c>
      <c r="B597" s="6" t="str">
        <f>IFERROR(__xludf.DUMMYFUNCTION("""COMPUTED_VALUE"""),"Abril")</f>
        <v>Abril</v>
      </c>
      <c r="C597" s="6" t="str">
        <f>IFERROR(__xludf.DUMMYFUNCTION("""COMPUTED_VALUE"""),"LESÃO CORPORAL DOLOSA")</f>
        <v>LESÃO CORPORAL DOLOSA</v>
      </c>
      <c r="D597" s="6">
        <f>IFERROR(__xludf.DUMMYFUNCTION("""COMPUTED_VALUE"""),935.0)</f>
        <v>935</v>
      </c>
      <c r="E597" s="6">
        <f>IFERROR(__xludf.DUMMYFUNCTION("""COMPUTED_VALUE"""),811.0)</f>
        <v>811</v>
      </c>
      <c r="F597" s="6">
        <f>IFERROR(__xludf.DUMMYFUNCTION("""COMPUTED_VALUE"""),3105.0)</f>
        <v>3105</v>
      </c>
      <c r="G597" s="6">
        <f>IFERROR(__xludf.DUMMYFUNCTION("""COMPUTED_VALUE"""),4851.0)</f>
        <v>4851</v>
      </c>
    </row>
    <row r="598">
      <c r="A598" s="6">
        <f>IFERROR(__xludf.DUMMYFUNCTION("""COMPUTED_VALUE"""),2015.0)</f>
        <v>2015</v>
      </c>
      <c r="B598" s="6" t="str">
        <f>IFERROR(__xludf.DUMMYFUNCTION("""COMPUTED_VALUE"""),"Abril")</f>
        <v>Abril</v>
      </c>
      <c r="C598" s="6" t="str">
        <f>IFERROR(__xludf.DUMMYFUNCTION("""COMPUTED_VALUE"""),"MAUS TRATOS")</f>
        <v>MAUS TRATOS</v>
      </c>
      <c r="D598" s="6">
        <f>IFERROR(__xludf.DUMMYFUNCTION("""COMPUTED_VALUE"""),2.0)</f>
        <v>2</v>
      </c>
      <c r="E598" s="6">
        <f>IFERROR(__xludf.DUMMYFUNCTION("""COMPUTED_VALUE"""),3.0)</f>
        <v>3</v>
      </c>
      <c r="F598" s="6">
        <f>IFERROR(__xludf.DUMMYFUNCTION("""COMPUTED_VALUE"""),18.0)</f>
        <v>18</v>
      </c>
      <c r="G598" s="6">
        <f>IFERROR(__xludf.DUMMYFUNCTION("""COMPUTED_VALUE"""),23.0)</f>
        <v>23</v>
      </c>
    </row>
    <row r="599">
      <c r="A599" s="6">
        <f>IFERROR(__xludf.DUMMYFUNCTION("""COMPUTED_VALUE"""),2015.0)</f>
        <v>2015</v>
      </c>
      <c r="B599" s="6" t="str">
        <f>IFERROR(__xludf.DUMMYFUNCTION("""COMPUTED_VALUE"""),"Abril")</f>
        <v>Abril</v>
      </c>
      <c r="C599" s="6" t="str">
        <f>IFERROR(__xludf.DUMMYFUNCTION("""COMPUTED_VALUE"""),"CALÚNIA - DIFAMAÇÃO - INJÚRIA")</f>
        <v>CALÚNIA - DIFAMAÇÃO - INJÚRIA</v>
      </c>
      <c r="D599" s="6">
        <f>IFERROR(__xludf.DUMMYFUNCTION("""COMPUTED_VALUE"""),184.0)</f>
        <v>184</v>
      </c>
      <c r="E599" s="6">
        <f>IFERROR(__xludf.DUMMYFUNCTION("""COMPUTED_VALUE"""),162.0)</f>
        <v>162</v>
      </c>
      <c r="F599" s="6">
        <f>IFERROR(__xludf.DUMMYFUNCTION("""COMPUTED_VALUE"""),711.0)</f>
        <v>711</v>
      </c>
      <c r="G599" s="6">
        <f>IFERROR(__xludf.DUMMYFUNCTION("""COMPUTED_VALUE"""),1057.0)</f>
        <v>1057</v>
      </c>
    </row>
    <row r="600">
      <c r="A600" s="6">
        <f>IFERROR(__xludf.DUMMYFUNCTION("""COMPUTED_VALUE"""),2015.0)</f>
        <v>2015</v>
      </c>
      <c r="B600" s="6" t="str">
        <f>IFERROR(__xludf.DUMMYFUNCTION("""COMPUTED_VALUE"""),"Abril")</f>
        <v>Abril</v>
      </c>
      <c r="C600" s="6" t="str">
        <f>IFERROR(__xludf.DUMMYFUNCTION("""COMPUTED_VALUE"""),"CONSTRANGIMENTO ILEGAL")</f>
        <v>CONSTRANGIMENTO ILEGAL</v>
      </c>
      <c r="D600" s="6">
        <f>IFERROR(__xludf.DUMMYFUNCTION("""COMPUTED_VALUE"""),1.0)</f>
        <v>1</v>
      </c>
      <c r="E600" s="6">
        <f>IFERROR(__xludf.DUMMYFUNCTION("""COMPUTED_VALUE"""),0.0)</f>
        <v>0</v>
      </c>
      <c r="F600" s="6">
        <f>IFERROR(__xludf.DUMMYFUNCTION("""COMPUTED_VALUE"""),6.0)</f>
        <v>6</v>
      </c>
      <c r="G600" s="6">
        <f>IFERROR(__xludf.DUMMYFUNCTION("""COMPUTED_VALUE"""),7.0)</f>
        <v>7</v>
      </c>
    </row>
    <row r="601">
      <c r="A601" s="6">
        <f>IFERROR(__xludf.DUMMYFUNCTION("""COMPUTED_VALUE"""),2015.0)</f>
        <v>2015</v>
      </c>
      <c r="B601" s="6" t="str">
        <f>IFERROR(__xludf.DUMMYFUNCTION("""COMPUTED_VALUE"""),"Abril")</f>
        <v>Abril</v>
      </c>
      <c r="C601" s="6" t="str">
        <f>IFERROR(__xludf.DUMMYFUNCTION("""COMPUTED_VALUE"""),"AMEAÇA")</f>
        <v>AMEAÇA</v>
      </c>
      <c r="D601" s="6">
        <f>IFERROR(__xludf.DUMMYFUNCTION("""COMPUTED_VALUE"""),896.0)</f>
        <v>896</v>
      </c>
      <c r="E601" s="6">
        <f>IFERROR(__xludf.DUMMYFUNCTION("""COMPUTED_VALUE"""),804.0)</f>
        <v>804</v>
      </c>
      <c r="F601" s="6">
        <f>IFERROR(__xludf.DUMMYFUNCTION("""COMPUTED_VALUE"""),3118.0)</f>
        <v>3118</v>
      </c>
      <c r="G601" s="6">
        <f>IFERROR(__xludf.DUMMYFUNCTION("""COMPUTED_VALUE"""),4818.0)</f>
        <v>4818</v>
      </c>
    </row>
    <row r="602">
      <c r="A602" s="6">
        <f>IFERROR(__xludf.DUMMYFUNCTION("""COMPUTED_VALUE"""),2015.0)</f>
        <v>2015</v>
      </c>
      <c r="B602" s="6" t="str">
        <f>IFERROR(__xludf.DUMMYFUNCTION("""COMPUTED_VALUE"""),"Abril")</f>
        <v>Abril</v>
      </c>
      <c r="C602" s="6" t="str">
        <f>IFERROR(__xludf.DUMMYFUNCTION("""COMPUTED_VALUE"""),"INVASÃO DE DOMICÍLIO")</f>
        <v>INVASÃO DE DOMICÍLIO</v>
      </c>
      <c r="D602" s="6">
        <f>IFERROR(__xludf.DUMMYFUNCTION("""COMPUTED_VALUE"""),1.0)</f>
        <v>1</v>
      </c>
      <c r="E602" s="6">
        <f>IFERROR(__xludf.DUMMYFUNCTION("""COMPUTED_VALUE"""),2.0)</f>
        <v>2</v>
      </c>
      <c r="F602" s="6">
        <f>IFERROR(__xludf.DUMMYFUNCTION("""COMPUTED_VALUE"""),14.0)</f>
        <v>14</v>
      </c>
      <c r="G602" s="6">
        <f>IFERROR(__xludf.DUMMYFUNCTION("""COMPUTED_VALUE"""),17.0)</f>
        <v>17</v>
      </c>
    </row>
    <row r="603">
      <c r="A603" s="6">
        <f>IFERROR(__xludf.DUMMYFUNCTION("""COMPUTED_VALUE"""),2015.0)</f>
        <v>2015</v>
      </c>
      <c r="B603" s="6" t="str">
        <f>IFERROR(__xludf.DUMMYFUNCTION("""COMPUTED_VALUE"""),"Abril")</f>
        <v>Abril</v>
      </c>
      <c r="C603" s="6" t="str">
        <f>IFERROR(__xludf.DUMMYFUNCTION("""COMPUTED_VALUE"""),"DANO")</f>
        <v>DANO</v>
      </c>
      <c r="D603" s="6">
        <f>IFERROR(__xludf.DUMMYFUNCTION("""COMPUTED_VALUE"""),10.0)</f>
        <v>10</v>
      </c>
      <c r="E603" s="6">
        <f>IFERROR(__xludf.DUMMYFUNCTION("""COMPUTED_VALUE"""),10.0)</f>
        <v>10</v>
      </c>
      <c r="F603" s="6">
        <f>IFERROR(__xludf.DUMMYFUNCTION("""COMPUTED_VALUE"""),58.0)</f>
        <v>58</v>
      </c>
      <c r="G603" s="6">
        <f>IFERROR(__xludf.DUMMYFUNCTION("""COMPUTED_VALUE"""),78.0)</f>
        <v>78</v>
      </c>
    </row>
    <row r="604">
      <c r="A604" s="6">
        <f>IFERROR(__xludf.DUMMYFUNCTION("""COMPUTED_VALUE"""),2015.0)</f>
        <v>2015</v>
      </c>
      <c r="B604" s="6" t="str">
        <f>IFERROR(__xludf.DUMMYFUNCTION("""COMPUTED_VALUE"""),"Abril")</f>
        <v>Abril</v>
      </c>
      <c r="C604" s="6" t="str">
        <f>IFERROR(__xludf.DUMMYFUNCTION("""COMPUTED_VALUE"""),"ESTUPRO CONSUMADO")</f>
        <v>ESTUPRO CONSUMADO</v>
      </c>
      <c r="D604" s="6">
        <f>IFERROR(__xludf.DUMMYFUNCTION("""COMPUTED_VALUE"""),10.0)</f>
        <v>10</v>
      </c>
      <c r="E604" s="6">
        <f>IFERROR(__xludf.DUMMYFUNCTION("""COMPUTED_VALUE"""),7.0)</f>
        <v>7</v>
      </c>
      <c r="F604" s="6">
        <f>IFERROR(__xludf.DUMMYFUNCTION("""COMPUTED_VALUE"""),19.0)</f>
        <v>19</v>
      </c>
      <c r="G604" s="6">
        <f>IFERROR(__xludf.DUMMYFUNCTION("""COMPUTED_VALUE"""),36.0)</f>
        <v>36</v>
      </c>
    </row>
    <row r="605">
      <c r="A605" s="6">
        <f>IFERROR(__xludf.DUMMYFUNCTION("""COMPUTED_VALUE"""),2015.0)</f>
        <v>2015</v>
      </c>
      <c r="B605" s="6" t="str">
        <f>IFERROR(__xludf.DUMMYFUNCTION("""COMPUTED_VALUE"""),"Abril")</f>
        <v>Abril</v>
      </c>
      <c r="C605" s="6" t="str">
        <f>IFERROR(__xludf.DUMMYFUNCTION("""COMPUTED_VALUE"""),"ESTUPRO TENTADO")</f>
        <v>ESTUPRO TENTADO</v>
      </c>
      <c r="D605" s="6">
        <f>IFERROR(__xludf.DUMMYFUNCTION("""COMPUTED_VALUE"""),0.0)</f>
        <v>0</v>
      </c>
      <c r="E605" s="6">
        <f>IFERROR(__xludf.DUMMYFUNCTION("""COMPUTED_VALUE"""),0.0)</f>
        <v>0</v>
      </c>
      <c r="F605" s="6">
        <f>IFERROR(__xludf.DUMMYFUNCTION("""COMPUTED_VALUE"""),1.0)</f>
        <v>1</v>
      </c>
      <c r="G605" s="6">
        <f>IFERROR(__xludf.DUMMYFUNCTION("""COMPUTED_VALUE"""),1.0)</f>
        <v>1</v>
      </c>
    </row>
    <row r="606">
      <c r="A606" s="6">
        <f>IFERROR(__xludf.DUMMYFUNCTION("""COMPUTED_VALUE"""),2015.0)</f>
        <v>2015</v>
      </c>
      <c r="B606" s="6" t="str">
        <f>IFERROR(__xludf.DUMMYFUNCTION("""COMPUTED_VALUE"""),"Abril")</f>
        <v>Abril</v>
      </c>
      <c r="C606" s="6" t="str">
        <f>IFERROR(__xludf.DUMMYFUNCTION("""COMPUTED_VALUE"""),"ESTUPRO DE VULNERÁVEL CONSUMADO")</f>
        <v>ESTUPRO DE VULNERÁVEL CONSUMADO</v>
      </c>
      <c r="D606" s="6">
        <f>IFERROR(__xludf.DUMMYFUNCTION("""COMPUTED_VALUE"""),3.0)</f>
        <v>3</v>
      </c>
      <c r="E606" s="6">
        <f>IFERROR(__xludf.DUMMYFUNCTION("""COMPUTED_VALUE"""),5.0)</f>
        <v>5</v>
      </c>
      <c r="F606" s="6">
        <f>IFERROR(__xludf.DUMMYFUNCTION("""COMPUTED_VALUE"""),18.0)</f>
        <v>18</v>
      </c>
      <c r="G606" s="6">
        <f>IFERROR(__xludf.DUMMYFUNCTION("""COMPUTED_VALUE"""),26.0)</f>
        <v>26</v>
      </c>
    </row>
    <row r="607">
      <c r="A607" s="6">
        <f>IFERROR(__xludf.DUMMYFUNCTION("""COMPUTED_VALUE"""),2015.0)</f>
        <v>2015</v>
      </c>
      <c r="B607" s="6" t="str">
        <f>IFERROR(__xludf.DUMMYFUNCTION("""COMPUTED_VALUE"""),"Abril")</f>
        <v>Abril</v>
      </c>
      <c r="C607" s="6" t="str">
        <f>IFERROR(__xludf.DUMMYFUNCTION("""COMPUTED_VALUE"""),"OUTROS C/C/ DIGNIDADE SEXUAL")</f>
        <v>OUTROS C/C/ DIGNIDADE SEXUAL</v>
      </c>
      <c r="D607" s="6">
        <f>IFERROR(__xludf.DUMMYFUNCTION("""COMPUTED_VALUE"""),0.0)</f>
        <v>0</v>
      </c>
      <c r="E607" s="6">
        <f>IFERROR(__xludf.DUMMYFUNCTION("""COMPUTED_VALUE"""),0.0)</f>
        <v>0</v>
      </c>
      <c r="F607" s="6">
        <f>IFERROR(__xludf.DUMMYFUNCTION("""COMPUTED_VALUE"""),2.0)</f>
        <v>2</v>
      </c>
      <c r="G607" s="6">
        <f>IFERROR(__xludf.DUMMYFUNCTION("""COMPUTED_VALUE"""),2.0)</f>
        <v>2</v>
      </c>
    </row>
    <row r="608">
      <c r="A608" s="6">
        <f>IFERROR(__xludf.DUMMYFUNCTION("""COMPUTED_VALUE"""),2015.0)</f>
        <v>2015</v>
      </c>
      <c r="B608" s="6" t="str">
        <f>IFERROR(__xludf.DUMMYFUNCTION("""COMPUTED_VALUE"""),"Maio")</f>
        <v>Maio</v>
      </c>
      <c r="C608" s="6" t="str">
        <f>IFERROR(__xludf.DUMMYFUNCTION("""COMPUTED_VALUE"""),"HOMICÍDIO DOLOSO (exclui FEMINICÍDIO)")</f>
        <v>HOMICÍDIO DOLOSO (exclui FEMINICÍDIO)</v>
      </c>
      <c r="D608" s="6">
        <f>IFERROR(__xludf.DUMMYFUNCTION("""COMPUTED_VALUE"""),0.0)</f>
        <v>0</v>
      </c>
      <c r="E608" s="6">
        <f>IFERROR(__xludf.DUMMYFUNCTION("""COMPUTED_VALUE"""),1.0)</f>
        <v>1</v>
      </c>
      <c r="F608" s="6">
        <f>IFERROR(__xludf.DUMMYFUNCTION("""COMPUTED_VALUE"""),2.0)</f>
        <v>2</v>
      </c>
      <c r="G608" s="6">
        <f>IFERROR(__xludf.DUMMYFUNCTION("""COMPUTED_VALUE"""),3.0)</f>
        <v>3</v>
      </c>
    </row>
    <row r="609">
      <c r="A609" s="6">
        <f>IFERROR(__xludf.DUMMYFUNCTION("""COMPUTED_VALUE"""),2015.0)</f>
        <v>2015</v>
      </c>
      <c r="B609" s="6" t="str">
        <f>IFERROR(__xludf.DUMMYFUNCTION("""COMPUTED_VALUE"""),"Maio")</f>
        <v>Maio</v>
      </c>
      <c r="C609" s="6" t="str">
        <f>IFERROR(__xludf.DUMMYFUNCTION("""COMPUTED_VALUE"""),"FEMINICÍDIO")</f>
        <v>FEMINICÍDIO</v>
      </c>
      <c r="D609" s="6">
        <f>IFERROR(__xludf.DUMMYFUNCTION("""COMPUTED_VALUE"""),1.0)</f>
        <v>1</v>
      </c>
      <c r="E609" s="6">
        <f>IFERROR(__xludf.DUMMYFUNCTION("""COMPUTED_VALUE"""),1.0)</f>
        <v>1</v>
      </c>
      <c r="F609" s="6">
        <f>IFERROR(__xludf.DUMMYFUNCTION("""COMPUTED_VALUE"""),3.0)</f>
        <v>3</v>
      </c>
      <c r="G609" s="6">
        <f>IFERROR(__xludf.DUMMYFUNCTION("""COMPUTED_VALUE"""),5.0)</f>
        <v>5</v>
      </c>
    </row>
    <row r="610">
      <c r="A610" s="6">
        <f>IFERROR(__xludf.DUMMYFUNCTION("""COMPUTED_VALUE"""),2015.0)</f>
        <v>2015</v>
      </c>
      <c r="B610" s="6" t="str">
        <f>IFERROR(__xludf.DUMMYFUNCTION("""COMPUTED_VALUE"""),"Maio")</f>
        <v>Maio</v>
      </c>
      <c r="C610" s="6" t="str">
        <f>IFERROR(__xludf.DUMMYFUNCTION("""COMPUTED_VALUE"""),"HOMICÍDIO CULPOSO")</f>
        <v>HOMICÍDIO CULPOSO</v>
      </c>
      <c r="D610" s="6">
        <f>IFERROR(__xludf.DUMMYFUNCTION("""COMPUTED_VALUE"""),0.0)</f>
        <v>0</v>
      </c>
      <c r="E610" s="6">
        <f>IFERROR(__xludf.DUMMYFUNCTION("""COMPUTED_VALUE"""),0.0)</f>
        <v>0</v>
      </c>
      <c r="F610" s="6">
        <f>IFERROR(__xludf.DUMMYFUNCTION("""COMPUTED_VALUE"""),0.0)</f>
        <v>0</v>
      </c>
      <c r="G610" s="6">
        <f>IFERROR(__xludf.DUMMYFUNCTION("""COMPUTED_VALUE"""),0.0)</f>
        <v>0</v>
      </c>
    </row>
    <row r="611">
      <c r="A611" s="6">
        <f>IFERROR(__xludf.DUMMYFUNCTION("""COMPUTED_VALUE"""),2015.0)</f>
        <v>2015</v>
      </c>
      <c r="B611" s="6" t="str">
        <f>IFERROR(__xludf.DUMMYFUNCTION("""COMPUTED_VALUE"""),"Maio")</f>
        <v>Maio</v>
      </c>
      <c r="C611" s="6" t="str">
        <f>IFERROR(__xludf.DUMMYFUNCTION("""COMPUTED_VALUE"""),"TENTATIVA DE HOMICÍDIO")</f>
        <v>TENTATIVA DE HOMICÍDIO</v>
      </c>
      <c r="D611" s="6">
        <f>IFERROR(__xludf.DUMMYFUNCTION("""COMPUTED_VALUE"""),1.0)</f>
        <v>1</v>
      </c>
      <c r="E611" s="6">
        <f>IFERROR(__xludf.DUMMYFUNCTION("""COMPUTED_VALUE"""),3.0)</f>
        <v>3</v>
      </c>
      <c r="F611" s="6">
        <f>IFERROR(__xludf.DUMMYFUNCTION("""COMPUTED_VALUE"""),15.0)</f>
        <v>15</v>
      </c>
      <c r="G611" s="6">
        <f>IFERROR(__xludf.DUMMYFUNCTION("""COMPUTED_VALUE"""),19.0)</f>
        <v>19</v>
      </c>
    </row>
    <row r="612">
      <c r="A612" s="6">
        <f>IFERROR(__xludf.DUMMYFUNCTION("""COMPUTED_VALUE"""),2015.0)</f>
        <v>2015</v>
      </c>
      <c r="B612" s="6" t="str">
        <f>IFERROR(__xludf.DUMMYFUNCTION("""COMPUTED_VALUE"""),"Maio")</f>
        <v>Maio</v>
      </c>
      <c r="C612" s="6" t="str">
        <f>IFERROR(__xludf.DUMMYFUNCTION("""COMPUTED_VALUE"""),"LESÃO CORPORAL DOLOSA")</f>
        <v>LESÃO CORPORAL DOLOSA</v>
      </c>
      <c r="D612" s="6">
        <f>IFERROR(__xludf.DUMMYFUNCTION("""COMPUTED_VALUE"""),967.0)</f>
        <v>967</v>
      </c>
      <c r="E612" s="6">
        <f>IFERROR(__xludf.DUMMYFUNCTION("""COMPUTED_VALUE"""),832.0)</f>
        <v>832</v>
      </c>
      <c r="F612" s="6">
        <f>IFERROR(__xludf.DUMMYFUNCTION("""COMPUTED_VALUE"""),3159.0)</f>
        <v>3159</v>
      </c>
      <c r="G612" s="6">
        <f>IFERROR(__xludf.DUMMYFUNCTION("""COMPUTED_VALUE"""),4958.0)</f>
        <v>4958</v>
      </c>
    </row>
    <row r="613">
      <c r="A613" s="6">
        <f>IFERROR(__xludf.DUMMYFUNCTION("""COMPUTED_VALUE"""),2015.0)</f>
        <v>2015</v>
      </c>
      <c r="B613" s="6" t="str">
        <f>IFERROR(__xludf.DUMMYFUNCTION("""COMPUTED_VALUE"""),"Maio")</f>
        <v>Maio</v>
      </c>
      <c r="C613" s="6" t="str">
        <f>IFERROR(__xludf.DUMMYFUNCTION("""COMPUTED_VALUE"""),"MAUS TRATOS")</f>
        <v>MAUS TRATOS</v>
      </c>
      <c r="D613" s="6">
        <f>IFERROR(__xludf.DUMMYFUNCTION("""COMPUTED_VALUE"""),4.0)</f>
        <v>4</v>
      </c>
      <c r="E613" s="6">
        <f>IFERROR(__xludf.DUMMYFUNCTION("""COMPUTED_VALUE"""),2.0)</f>
        <v>2</v>
      </c>
      <c r="F613" s="6">
        <f>IFERROR(__xludf.DUMMYFUNCTION("""COMPUTED_VALUE"""),19.0)</f>
        <v>19</v>
      </c>
      <c r="G613" s="6">
        <f>IFERROR(__xludf.DUMMYFUNCTION("""COMPUTED_VALUE"""),25.0)</f>
        <v>25</v>
      </c>
    </row>
    <row r="614">
      <c r="A614" s="6">
        <f>IFERROR(__xludf.DUMMYFUNCTION("""COMPUTED_VALUE"""),2015.0)</f>
        <v>2015</v>
      </c>
      <c r="B614" s="6" t="str">
        <f>IFERROR(__xludf.DUMMYFUNCTION("""COMPUTED_VALUE"""),"Maio")</f>
        <v>Maio</v>
      </c>
      <c r="C614" s="6" t="str">
        <f>IFERROR(__xludf.DUMMYFUNCTION("""COMPUTED_VALUE"""),"CALÚNIA - DIFAMAÇÃO - INJÚRIA")</f>
        <v>CALÚNIA - DIFAMAÇÃO - INJÚRIA</v>
      </c>
      <c r="D614" s="6">
        <f>IFERROR(__xludf.DUMMYFUNCTION("""COMPUTED_VALUE"""),206.0)</f>
        <v>206</v>
      </c>
      <c r="E614" s="6">
        <f>IFERROR(__xludf.DUMMYFUNCTION("""COMPUTED_VALUE"""),184.0)</f>
        <v>184</v>
      </c>
      <c r="F614" s="6">
        <f>IFERROR(__xludf.DUMMYFUNCTION("""COMPUTED_VALUE"""),794.0)</f>
        <v>794</v>
      </c>
      <c r="G614" s="6">
        <f>IFERROR(__xludf.DUMMYFUNCTION("""COMPUTED_VALUE"""),1184.0)</f>
        <v>1184</v>
      </c>
    </row>
    <row r="615">
      <c r="A615" s="6">
        <f>IFERROR(__xludf.DUMMYFUNCTION("""COMPUTED_VALUE"""),2015.0)</f>
        <v>2015</v>
      </c>
      <c r="B615" s="6" t="str">
        <f>IFERROR(__xludf.DUMMYFUNCTION("""COMPUTED_VALUE"""),"Maio")</f>
        <v>Maio</v>
      </c>
      <c r="C615" s="6" t="str">
        <f>IFERROR(__xludf.DUMMYFUNCTION("""COMPUTED_VALUE"""),"CONSTRANGIMENTO ILEGAL")</f>
        <v>CONSTRANGIMENTO ILEGAL</v>
      </c>
      <c r="D615" s="6">
        <f>IFERROR(__xludf.DUMMYFUNCTION("""COMPUTED_VALUE"""),2.0)</f>
        <v>2</v>
      </c>
      <c r="E615" s="6">
        <f>IFERROR(__xludf.DUMMYFUNCTION("""COMPUTED_VALUE"""),1.0)</f>
        <v>1</v>
      </c>
      <c r="F615" s="6">
        <f>IFERROR(__xludf.DUMMYFUNCTION("""COMPUTED_VALUE"""),9.0)</f>
        <v>9</v>
      </c>
      <c r="G615" s="6">
        <f>IFERROR(__xludf.DUMMYFUNCTION("""COMPUTED_VALUE"""),12.0)</f>
        <v>12</v>
      </c>
    </row>
    <row r="616">
      <c r="A616" s="6">
        <f>IFERROR(__xludf.DUMMYFUNCTION("""COMPUTED_VALUE"""),2015.0)</f>
        <v>2015</v>
      </c>
      <c r="B616" s="6" t="str">
        <f>IFERROR(__xludf.DUMMYFUNCTION("""COMPUTED_VALUE"""),"Maio")</f>
        <v>Maio</v>
      </c>
      <c r="C616" s="6" t="str">
        <f>IFERROR(__xludf.DUMMYFUNCTION("""COMPUTED_VALUE"""),"AMEAÇA")</f>
        <v>AMEAÇA</v>
      </c>
      <c r="D616" s="6">
        <f>IFERROR(__xludf.DUMMYFUNCTION("""COMPUTED_VALUE"""),915.0)</f>
        <v>915</v>
      </c>
      <c r="E616" s="6">
        <f>IFERROR(__xludf.DUMMYFUNCTION("""COMPUTED_VALUE"""),834.0)</f>
        <v>834</v>
      </c>
      <c r="F616" s="6">
        <f>IFERROR(__xludf.DUMMYFUNCTION("""COMPUTED_VALUE"""),3216.0)</f>
        <v>3216</v>
      </c>
      <c r="G616" s="6">
        <f>IFERROR(__xludf.DUMMYFUNCTION("""COMPUTED_VALUE"""),4965.0)</f>
        <v>4965</v>
      </c>
    </row>
    <row r="617">
      <c r="A617" s="6">
        <f>IFERROR(__xludf.DUMMYFUNCTION("""COMPUTED_VALUE"""),2015.0)</f>
        <v>2015</v>
      </c>
      <c r="B617" s="6" t="str">
        <f>IFERROR(__xludf.DUMMYFUNCTION("""COMPUTED_VALUE"""),"Maio")</f>
        <v>Maio</v>
      </c>
      <c r="C617" s="6" t="str">
        <f>IFERROR(__xludf.DUMMYFUNCTION("""COMPUTED_VALUE"""),"INVASÃO DE DOMICÍLIO")</f>
        <v>INVASÃO DE DOMICÍLIO</v>
      </c>
      <c r="D617" s="6">
        <f>IFERROR(__xludf.DUMMYFUNCTION("""COMPUTED_VALUE"""),1.0)</f>
        <v>1</v>
      </c>
      <c r="E617" s="6">
        <f>IFERROR(__xludf.DUMMYFUNCTION("""COMPUTED_VALUE"""),2.0)</f>
        <v>2</v>
      </c>
      <c r="F617" s="6">
        <f>IFERROR(__xludf.DUMMYFUNCTION("""COMPUTED_VALUE"""),16.0)</f>
        <v>16</v>
      </c>
      <c r="G617" s="6">
        <f>IFERROR(__xludf.DUMMYFUNCTION("""COMPUTED_VALUE"""),19.0)</f>
        <v>19</v>
      </c>
    </row>
    <row r="618">
      <c r="A618" s="6">
        <f>IFERROR(__xludf.DUMMYFUNCTION("""COMPUTED_VALUE"""),2015.0)</f>
        <v>2015</v>
      </c>
      <c r="B618" s="6" t="str">
        <f>IFERROR(__xludf.DUMMYFUNCTION("""COMPUTED_VALUE"""),"Maio")</f>
        <v>Maio</v>
      </c>
      <c r="C618" s="6" t="str">
        <f>IFERROR(__xludf.DUMMYFUNCTION("""COMPUTED_VALUE"""),"DANO")</f>
        <v>DANO</v>
      </c>
      <c r="D618" s="6">
        <f>IFERROR(__xludf.DUMMYFUNCTION("""COMPUTED_VALUE"""),12.0)</f>
        <v>12</v>
      </c>
      <c r="E618" s="6">
        <f>IFERROR(__xludf.DUMMYFUNCTION("""COMPUTED_VALUE"""),11.0)</f>
        <v>11</v>
      </c>
      <c r="F618" s="6">
        <f>IFERROR(__xludf.DUMMYFUNCTION("""COMPUTED_VALUE"""),64.0)</f>
        <v>64</v>
      </c>
      <c r="G618" s="6">
        <f>IFERROR(__xludf.DUMMYFUNCTION("""COMPUTED_VALUE"""),87.0)</f>
        <v>87</v>
      </c>
    </row>
    <row r="619">
      <c r="A619" s="6">
        <f>IFERROR(__xludf.DUMMYFUNCTION("""COMPUTED_VALUE"""),2015.0)</f>
        <v>2015</v>
      </c>
      <c r="B619" s="6" t="str">
        <f>IFERROR(__xludf.DUMMYFUNCTION("""COMPUTED_VALUE"""),"Maio")</f>
        <v>Maio</v>
      </c>
      <c r="C619" s="6" t="str">
        <f>IFERROR(__xludf.DUMMYFUNCTION("""COMPUTED_VALUE"""),"ESTUPRO CONSUMADO")</f>
        <v>ESTUPRO CONSUMADO</v>
      </c>
      <c r="D619" s="6">
        <f>IFERROR(__xludf.DUMMYFUNCTION("""COMPUTED_VALUE"""),11.0)</f>
        <v>11</v>
      </c>
      <c r="E619" s="6">
        <f>IFERROR(__xludf.DUMMYFUNCTION("""COMPUTED_VALUE"""),8.0)</f>
        <v>8</v>
      </c>
      <c r="F619" s="6">
        <f>IFERROR(__xludf.DUMMYFUNCTION("""COMPUTED_VALUE"""),21.0)</f>
        <v>21</v>
      </c>
      <c r="G619" s="6">
        <f>IFERROR(__xludf.DUMMYFUNCTION("""COMPUTED_VALUE"""),40.0)</f>
        <v>40</v>
      </c>
    </row>
    <row r="620">
      <c r="A620" s="6">
        <f>IFERROR(__xludf.DUMMYFUNCTION("""COMPUTED_VALUE"""),2015.0)</f>
        <v>2015</v>
      </c>
      <c r="B620" s="6" t="str">
        <f>IFERROR(__xludf.DUMMYFUNCTION("""COMPUTED_VALUE"""),"Maio")</f>
        <v>Maio</v>
      </c>
      <c r="C620" s="6" t="str">
        <f>IFERROR(__xludf.DUMMYFUNCTION("""COMPUTED_VALUE"""),"ESTUPRO TENTADO")</f>
        <v>ESTUPRO TENTADO</v>
      </c>
      <c r="D620" s="6">
        <f>IFERROR(__xludf.DUMMYFUNCTION("""COMPUTED_VALUE"""),1.0)</f>
        <v>1</v>
      </c>
      <c r="E620" s="6">
        <f>IFERROR(__xludf.DUMMYFUNCTION("""COMPUTED_VALUE"""),0.0)</f>
        <v>0</v>
      </c>
      <c r="F620" s="6">
        <f>IFERROR(__xludf.DUMMYFUNCTION("""COMPUTED_VALUE"""),2.0)</f>
        <v>2</v>
      </c>
      <c r="G620" s="6">
        <f>IFERROR(__xludf.DUMMYFUNCTION("""COMPUTED_VALUE"""),3.0)</f>
        <v>3</v>
      </c>
    </row>
    <row r="621">
      <c r="A621" s="6">
        <f>IFERROR(__xludf.DUMMYFUNCTION("""COMPUTED_VALUE"""),2015.0)</f>
        <v>2015</v>
      </c>
      <c r="B621" s="6" t="str">
        <f>IFERROR(__xludf.DUMMYFUNCTION("""COMPUTED_VALUE"""),"Maio")</f>
        <v>Maio</v>
      </c>
      <c r="C621" s="6" t="str">
        <f>IFERROR(__xludf.DUMMYFUNCTION("""COMPUTED_VALUE"""),"ESTUPRO DE VULNERÁVEL CONSUMADO")</f>
        <v>ESTUPRO DE VULNERÁVEL CONSUMADO</v>
      </c>
      <c r="D621" s="6">
        <f>IFERROR(__xludf.DUMMYFUNCTION("""COMPUTED_VALUE"""),4.0)</f>
        <v>4</v>
      </c>
      <c r="E621" s="6">
        <f>IFERROR(__xludf.DUMMYFUNCTION("""COMPUTED_VALUE"""),5.0)</f>
        <v>5</v>
      </c>
      <c r="F621" s="6">
        <f>IFERROR(__xludf.DUMMYFUNCTION("""COMPUTED_VALUE"""),20.0)</f>
        <v>20</v>
      </c>
      <c r="G621" s="6">
        <f>IFERROR(__xludf.DUMMYFUNCTION("""COMPUTED_VALUE"""),29.0)</f>
        <v>29</v>
      </c>
    </row>
    <row r="622">
      <c r="A622" s="6">
        <f>IFERROR(__xludf.DUMMYFUNCTION("""COMPUTED_VALUE"""),2015.0)</f>
        <v>2015</v>
      </c>
      <c r="B622" s="6" t="str">
        <f>IFERROR(__xludf.DUMMYFUNCTION("""COMPUTED_VALUE"""),"Maio")</f>
        <v>Maio</v>
      </c>
      <c r="C622" s="6" t="str">
        <f>IFERROR(__xludf.DUMMYFUNCTION("""COMPUTED_VALUE"""),"OUTROS C/C/ DIGNIDADE SEXUAL")</f>
        <v>OUTROS C/C/ DIGNIDADE SEXUAL</v>
      </c>
      <c r="D622" s="6">
        <f>IFERROR(__xludf.DUMMYFUNCTION("""COMPUTED_VALUE"""),0.0)</f>
        <v>0</v>
      </c>
      <c r="E622" s="6">
        <f>IFERROR(__xludf.DUMMYFUNCTION("""COMPUTED_VALUE"""),0.0)</f>
        <v>0</v>
      </c>
      <c r="F622" s="6">
        <f>IFERROR(__xludf.DUMMYFUNCTION("""COMPUTED_VALUE"""),3.0)</f>
        <v>3</v>
      </c>
      <c r="G622" s="6">
        <f>IFERROR(__xludf.DUMMYFUNCTION("""COMPUTED_VALUE"""),3.0)</f>
        <v>3</v>
      </c>
    </row>
    <row r="623">
      <c r="A623" s="6">
        <f>IFERROR(__xludf.DUMMYFUNCTION("""COMPUTED_VALUE"""),2015.0)</f>
        <v>2015</v>
      </c>
      <c r="B623" s="6" t="str">
        <f>IFERROR(__xludf.DUMMYFUNCTION("""COMPUTED_VALUE"""),"Junho")</f>
        <v>Junho</v>
      </c>
      <c r="C623" s="6" t="str">
        <f>IFERROR(__xludf.DUMMYFUNCTION("""COMPUTED_VALUE"""),"HOMICÍDIO DOLOSO (exclui FEMINICÍDIO)")</f>
        <v>HOMICÍDIO DOLOSO (exclui FEMINICÍDIO)</v>
      </c>
      <c r="D623" s="6">
        <f>IFERROR(__xludf.DUMMYFUNCTION("""COMPUTED_VALUE"""),1.0)</f>
        <v>1</v>
      </c>
      <c r="E623" s="6">
        <f>IFERROR(__xludf.DUMMYFUNCTION("""COMPUTED_VALUE"""),0.0)</f>
        <v>0</v>
      </c>
      <c r="F623" s="6">
        <f>IFERROR(__xludf.DUMMYFUNCTION("""COMPUTED_VALUE"""),2.0)</f>
        <v>2</v>
      </c>
      <c r="G623" s="6">
        <f>IFERROR(__xludf.DUMMYFUNCTION("""COMPUTED_VALUE"""),3.0)</f>
        <v>3</v>
      </c>
    </row>
    <row r="624">
      <c r="A624" s="6">
        <f>IFERROR(__xludf.DUMMYFUNCTION("""COMPUTED_VALUE"""),2015.0)</f>
        <v>2015</v>
      </c>
      <c r="B624" s="6" t="str">
        <f>IFERROR(__xludf.DUMMYFUNCTION("""COMPUTED_VALUE"""),"Junho")</f>
        <v>Junho</v>
      </c>
      <c r="C624" s="6" t="str">
        <f>IFERROR(__xludf.DUMMYFUNCTION("""COMPUTED_VALUE"""),"FEMINICÍDIO")</f>
        <v>FEMINICÍDIO</v>
      </c>
      <c r="D624" s="6">
        <f>IFERROR(__xludf.DUMMYFUNCTION("""COMPUTED_VALUE"""),1.0)</f>
        <v>1</v>
      </c>
      <c r="E624" s="6">
        <f>IFERROR(__xludf.DUMMYFUNCTION("""COMPUTED_VALUE"""),1.0)</f>
        <v>1</v>
      </c>
      <c r="F624" s="6">
        <f>IFERROR(__xludf.DUMMYFUNCTION("""COMPUTED_VALUE"""),2.0)</f>
        <v>2</v>
      </c>
      <c r="G624" s="6">
        <f>IFERROR(__xludf.DUMMYFUNCTION("""COMPUTED_VALUE"""),4.0)</f>
        <v>4</v>
      </c>
    </row>
    <row r="625">
      <c r="A625" s="6">
        <f>IFERROR(__xludf.DUMMYFUNCTION("""COMPUTED_VALUE"""),2015.0)</f>
        <v>2015</v>
      </c>
      <c r="B625" s="6" t="str">
        <f>IFERROR(__xludf.DUMMYFUNCTION("""COMPUTED_VALUE"""),"Junho")</f>
        <v>Junho</v>
      </c>
      <c r="C625" s="6" t="str">
        <f>IFERROR(__xludf.DUMMYFUNCTION("""COMPUTED_VALUE"""),"HOMICÍDIO CULPOSO")</f>
        <v>HOMICÍDIO CULPOSO</v>
      </c>
      <c r="D625" s="6">
        <f>IFERROR(__xludf.DUMMYFUNCTION("""COMPUTED_VALUE"""),0.0)</f>
        <v>0</v>
      </c>
      <c r="E625" s="6">
        <f>IFERROR(__xludf.DUMMYFUNCTION("""COMPUTED_VALUE"""),0.0)</f>
        <v>0</v>
      </c>
      <c r="F625" s="6">
        <f>IFERROR(__xludf.DUMMYFUNCTION("""COMPUTED_VALUE"""),0.0)</f>
        <v>0</v>
      </c>
      <c r="G625" s="6">
        <f>IFERROR(__xludf.DUMMYFUNCTION("""COMPUTED_VALUE"""),0.0)</f>
        <v>0</v>
      </c>
    </row>
    <row r="626">
      <c r="A626" s="6">
        <f>IFERROR(__xludf.DUMMYFUNCTION("""COMPUTED_VALUE"""),2015.0)</f>
        <v>2015</v>
      </c>
      <c r="B626" s="6" t="str">
        <f>IFERROR(__xludf.DUMMYFUNCTION("""COMPUTED_VALUE"""),"Junho")</f>
        <v>Junho</v>
      </c>
      <c r="C626" s="6" t="str">
        <f>IFERROR(__xludf.DUMMYFUNCTION("""COMPUTED_VALUE"""),"TENTATIVA DE HOMICÍDIO")</f>
        <v>TENTATIVA DE HOMICÍDIO</v>
      </c>
      <c r="D626" s="6">
        <f>IFERROR(__xludf.DUMMYFUNCTION("""COMPUTED_VALUE"""),1.0)</f>
        <v>1</v>
      </c>
      <c r="E626" s="6">
        <f>IFERROR(__xludf.DUMMYFUNCTION("""COMPUTED_VALUE"""),2.0)</f>
        <v>2</v>
      </c>
      <c r="F626" s="6">
        <f>IFERROR(__xludf.DUMMYFUNCTION("""COMPUTED_VALUE"""),11.0)</f>
        <v>11</v>
      </c>
      <c r="G626" s="6">
        <f>IFERROR(__xludf.DUMMYFUNCTION("""COMPUTED_VALUE"""),14.0)</f>
        <v>14</v>
      </c>
    </row>
    <row r="627">
      <c r="A627" s="6">
        <f>IFERROR(__xludf.DUMMYFUNCTION("""COMPUTED_VALUE"""),2015.0)</f>
        <v>2015</v>
      </c>
      <c r="B627" s="6" t="str">
        <f>IFERROR(__xludf.DUMMYFUNCTION("""COMPUTED_VALUE"""),"Junho")</f>
        <v>Junho</v>
      </c>
      <c r="C627" s="6" t="str">
        <f>IFERROR(__xludf.DUMMYFUNCTION("""COMPUTED_VALUE"""),"LESÃO CORPORAL DOLOSA")</f>
        <v>LESÃO CORPORAL DOLOSA</v>
      </c>
      <c r="D627" s="6">
        <f>IFERROR(__xludf.DUMMYFUNCTION("""COMPUTED_VALUE"""),842.0)</f>
        <v>842</v>
      </c>
      <c r="E627" s="6">
        <f>IFERROR(__xludf.DUMMYFUNCTION("""COMPUTED_VALUE"""),741.0)</f>
        <v>741</v>
      </c>
      <c r="F627" s="6">
        <f>IFERROR(__xludf.DUMMYFUNCTION("""COMPUTED_VALUE"""),2831.0)</f>
        <v>2831</v>
      </c>
      <c r="G627" s="6">
        <f>IFERROR(__xludf.DUMMYFUNCTION("""COMPUTED_VALUE"""),4414.0)</f>
        <v>4414</v>
      </c>
    </row>
    <row r="628">
      <c r="A628" s="6">
        <f>IFERROR(__xludf.DUMMYFUNCTION("""COMPUTED_VALUE"""),2015.0)</f>
        <v>2015</v>
      </c>
      <c r="B628" s="6" t="str">
        <f>IFERROR(__xludf.DUMMYFUNCTION("""COMPUTED_VALUE"""),"Junho")</f>
        <v>Junho</v>
      </c>
      <c r="C628" s="6" t="str">
        <f>IFERROR(__xludf.DUMMYFUNCTION("""COMPUTED_VALUE"""),"MAUS TRATOS")</f>
        <v>MAUS TRATOS</v>
      </c>
      <c r="D628" s="6">
        <f>IFERROR(__xludf.DUMMYFUNCTION("""COMPUTED_VALUE"""),2.0)</f>
        <v>2</v>
      </c>
      <c r="E628" s="6">
        <f>IFERROR(__xludf.DUMMYFUNCTION("""COMPUTED_VALUE"""),2.0)</f>
        <v>2</v>
      </c>
      <c r="F628" s="6">
        <f>IFERROR(__xludf.DUMMYFUNCTION("""COMPUTED_VALUE"""),15.0)</f>
        <v>15</v>
      </c>
      <c r="G628" s="6">
        <f>IFERROR(__xludf.DUMMYFUNCTION("""COMPUTED_VALUE"""),19.0)</f>
        <v>19</v>
      </c>
    </row>
    <row r="629">
      <c r="A629" s="6">
        <f>IFERROR(__xludf.DUMMYFUNCTION("""COMPUTED_VALUE"""),2015.0)</f>
        <v>2015</v>
      </c>
      <c r="B629" s="6" t="str">
        <f>IFERROR(__xludf.DUMMYFUNCTION("""COMPUTED_VALUE"""),"Junho")</f>
        <v>Junho</v>
      </c>
      <c r="C629" s="6" t="str">
        <f>IFERROR(__xludf.DUMMYFUNCTION("""COMPUTED_VALUE"""),"CALÚNIA - DIFAMAÇÃO - INJÚRIA")</f>
        <v>CALÚNIA - DIFAMAÇÃO - INJÚRIA</v>
      </c>
      <c r="D629" s="6">
        <f>IFERROR(__xludf.DUMMYFUNCTION("""COMPUTED_VALUE"""),172.0)</f>
        <v>172</v>
      </c>
      <c r="E629" s="6">
        <f>IFERROR(__xludf.DUMMYFUNCTION("""COMPUTED_VALUE"""),151.0)</f>
        <v>151</v>
      </c>
      <c r="F629" s="6">
        <f>IFERROR(__xludf.DUMMYFUNCTION("""COMPUTED_VALUE"""),649.0)</f>
        <v>649</v>
      </c>
      <c r="G629" s="6">
        <f>IFERROR(__xludf.DUMMYFUNCTION("""COMPUTED_VALUE"""),972.0)</f>
        <v>972</v>
      </c>
    </row>
    <row r="630">
      <c r="A630" s="6">
        <f>IFERROR(__xludf.DUMMYFUNCTION("""COMPUTED_VALUE"""),2015.0)</f>
        <v>2015</v>
      </c>
      <c r="B630" s="6" t="str">
        <f>IFERROR(__xludf.DUMMYFUNCTION("""COMPUTED_VALUE"""),"Junho")</f>
        <v>Junho</v>
      </c>
      <c r="C630" s="6" t="str">
        <f>IFERROR(__xludf.DUMMYFUNCTION("""COMPUTED_VALUE"""),"CONSTRANGIMENTO ILEGAL")</f>
        <v>CONSTRANGIMENTO ILEGAL</v>
      </c>
      <c r="D630" s="6">
        <f>IFERROR(__xludf.DUMMYFUNCTION("""COMPUTED_VALUE"""),1.0)</f>
        <v>1</v>
      </c>
      <c r="E630" s="6">
        <f>IFERROR(__xludf.DUMMYFUNCTION("""COMPUTED_VALUE"""),0.0)</f>
        <v>0</v>
      </c>
      <c r="F630" s="6">
        <f>IFERROR(__xludf.DUMMYFUNCTION("""COMPUTED_VALUE"""),5.0)</f>
        <v>5</v>
      </c>
      <c r="G630" s="6">
        <f>IFERROR(__xludf.DUMMYFUNCTION("""COMPUTED_VALUE"""),6.0)</f>
        <v>6</v>
      </c>
    </row>
    <row r="631">
      <c r="A631" s="6">
        <f>IFERROR(__xludf.DUMMYFUNCTION("""COMPUTED_VALUE"""),2015.0)</f>
        <v>2015</v>
      </c>
      <c r="B631" s="6" t="str">
        <f>IFERROR(__xludf.DUMMYFUNCTION("""COMPUTED_VALUE"""),"Junho")</f>
        <v>Junho</v>
      </c>
      <c r="C631" s="6" t="str">
        <f>IFERROR(__xludf.DUMMYFUNCTION("""COMPUTED_VALUE"""),"AMEAÇA")</f>
        <v>AMEAÇA</v>
      </c>
      <c r="D631" s="6">
        <f>IFERROR(__xludf.DUMMYFUNCTION("""COMPUTED_VALUE"""),811.0)</f>
        <v>811</v>
      </c>
      <c r="E631" s="6">
        <f>IFERROR(__xludf.DUMMYFUNCTION("""COMPUTED_VALUE"""),743.0)</f>
        <v>743</v>
      </c>
      <c r="F631" s="6">
        <f>IFERROR(__xludf.DUMMYFUNCTION("""COMPUTED_VALUE"""),2894.0)</f>
        <v>2894</v>
      </c>
      <c r="G631" s="6">
        <f>IFERROR(__xludf.DUMMYFUNCTION("""COMPUTED_VALUE"""),4448.0)</f>
        <v>4448</v>
      </c>
    </row>
    <row r="632">
      <c r="A632" s="6">
        <f>IFERROR(__xludf.DUMMYFUNCTION("""COMPUTED_VALUE"""),2015.0)</f>
        <v>2015</v>
      </c>
      <c r="B632" s="6" t="str">
        <f>IFERROR(__xludf.DUMMYFUNCTION("""COMPUTED_VALUE"""),"Junho")</f>
        <v>Junho</v>
      </c>
      <c r="C632" s="6" t="str">
        <f>IFERROR(__xludf.DUMMYFUNCTION("""COMPUTED_VALUE"""),"INVASÃO DE DOMICÍLIO")</f>
        <v>INVASÃO DE DOMICÍLIO</v>
      </c>
      <c r="D632" s="6">
        <f>IFERROR(__xludf.DUMMYFUNCTION("""COMPUTED_VALUE"""),1.0)</f>
        <v>1</v>
      </c>
      <c r="E632" s="6">
        <f>IFERROR(__xludf.DUMMYFUNCTION("""COMPUTED_VALUE"""),2.0)</f>
        <v>2</v>
      </c>
      <c r="F632" s="6">
        <f>IFERROR(__xludf.DUMMYFUNCTION("""COMPUTED_VALUE"""),12.0)</f>
        <v>12</v>
      </c>
      <c r="G632" s="6">
        <f>IFERROR(__xludf.DUMMYFUNCTION("""COMPUTED_VALUE"""),15.0)</f>
        <v>15</v>
      </c>
    </row>
    <row r="633">
      <c r="A633" s="6">
        <f>IFERROR(__xludf.DUMMYFUNCTION("""COMPUTED_VALUE"""),2015.0)</f>
        <v>2015</v>
      </c>
      <c r="B633" s="6" t="str">
        <f>IFERROR(__xludf.DUMMYFUNCTION("""COMPUTED_VALUE"""),"Junho")</f>
        <v>Junho</v>
      </c>
      <c r="C633" s="6" t="str">
        <f>IFERROR(__xludf.DUMMYFUNCTION("""COMPUTED_VALUE"""),"DANO")</f>
        <v>DANO</v>
      </c>
      <c r="D633" s="6">
        <f>IFERROR(__xludf.DUMMYFUNCTION("""COMPUTED_VALUE"""),9.0)</f>
        <v>9</v>
      </c>
      <c r="E633" s="6">
        <f>IFERROR(__xludf.DUMMYFUNCTION("""COMPUTED_VALUE"""),9.0)</f>
        <v>9</v>
      </c>
      <c r="F633" s="6">
        <f>IFERROR(__xludf.DUMMYFUNCTION("""COMPUTED_VALUE"""),51.0)</f>
        <v>51</v>
      </c>
      <c r="G633" s="6">
        <f>IFERROR(__xludf.DUMMYFUNCTION("""COMPUTED_VALUE"""),69.0)</f>
        <v>69</v>
      </c>
    </row>
    <row r="634">
      <c r="A634" s="6">
        <f>IFERROR(__xludf.DUMMYFUNCTION("""COMPUTED_VALUE"""),2015.0)</f>
        <v>2015</v>
      </c>
      <c r="B634" s="6" t="str">
        <f>IFERROR(__xludf.DUMMYFUNCTION("""COMPUTED_VALUE"""),"Junho")</f>
        <v>Junho</v>
      </c>
      <c r="C634" s="6" t="str">
        <f>IFERROR(__xludf.DUMMYFUNCTION("""COMPUTED_VALUE"""),"ESTUPRO CONSUMADO")</f>
        <v>ESTUPRO CONSUMADO</v>
      </c>
      <c r="D634" s="6">
        <f>IFERROR(__xludf.DUMMYFUNCTION("""COMPUTED_VALUE"""),9.0)</f>
        <v>9</v>
      </c>
      <c r="E634" s="6">
        <f>IFERROR(__xludf.DUMMYFUNCTION("""COMPUTED_VALUE"""),6.0)</f>
        <v>6</v>
      </c>
      <c r="F634" s="6">
        <f>IFERROR(__xludf.DUMMYFUNCTION("""COMPUTED_VALUE"""),17.0)</f>
        <v>17</v>
      </c>
      <c r="G634" s="6">
        <f>IFERROR(__xludf.DUMMYFUNCTION("""COMPUTED_VALUE"""),32.0)</f>
        <v>32</v>
      </c>
    </row>
    <row r="635">
      <c r="A635" s="6">
        <f>IFERROR(__xludf.DUMMYFUNCTION("""COMPUTED_VALUE"""),2015.0)</f>
        <v>2015</v>
      </c>
      <c r="B635" s="6" t="str">
        <f>IFERROR(__xludf.DUMMYFUNCTION("""COMPUTED_VALUE"""),"Junho")</f>
        <v>Junho</v>
      </c>
      <c r="C635" s="6" t="str">
        <f>IFERROR(__xludf.DUMMYFUNCTION("""COMPUTED_VALUE"""),"ESTUPRO TENTADO")</f>
        <v>ESTUPRO TENTADO</v>
      </c>
      <c r="D635" s="6">
        <f>IFERROR(__xludf.DUMMYFUNCTION("""COMPUTED_VALUE"""),0.0)</f>
        <v>0</v>
      </c>
      <c r="E635" s="6">
        <f>IFERROR(__xludf.DUMMYFUNCTION("""COMPUTED_VALUE"""),0.0)</f>
        <v>0</v>
      </c>
      <c r="F635" s="6">
        <f>IFERROR(__xludf.DUMMYFUNCTION("""COMPUTED_VALUE"""),1.0)</f>
        <v>1</v>
      </c>
      <c r="G635" s="6">
        <f>IFERROR(__xludf.DUMMYFUNCTION("""COMPUTED_VALUE"""),1.0)</f>
        <v>1</v>
      </c>
    </row>
    <row r="636">
      <c r="A636" s="6">
        <f>IFERROR(__xludf.DUMMYFUNCTION("""COMPUTED_VALUE"""),2015.0)</f>
        <v>2015</v>
      </c>
      <c r="B636" s="6" t="str">
        <f>IFERROR(__xludf.DUMMYFUNCTION("""COMPUTED_VALUE"""),"Junho")</f>
        <v>Junho</v>
      </c>
      <c r="C636" s="6" t="str">
        <f>IFERROR(__xludf.DUMMYFUNCTION("""COMPUTED_VALUE"""),"ESTUPRO DE VULNERÁVEL CONSUMADO")</f>
        <v>ESTUPRO DE VULNERÁVEL CONSUMADO</v>
      </c>
      <c r="D636" s="6">
        <f>IFERROR(__xludf.DUMMYFUNCTION("""COMPUTED_VALUE"""),3.0)</f>
        <v>3</v>
      </c>
      <c r="E636" s="6">
        <f>IFERROR(__xludf.DUMMYFUNCTION("""COMPUTED_VALUE"""),4.0)</f>
        <v>4</v>
      </c>
      <c r="F636" s="6">
        <f>IFERROR(__xludf.DUMMYFUNCTION("""COMPUTED_VALUE"""),16.0)</f>
        <v>16</v>
      </c>
      <c r="G636" s="6">
        <f>IFERROR(__xludf.DUMMYFUNCTION("""COMPUTED_VALUE"""),23.0)</f>
        <v>23</v>
      </c>
    </row>
    <row r="637">
      <c r="A637" s="6">
        <f>IFERROR(__xludf.DUMMYFUNCTION("""COMPUTED_VALUE"""),2015.0)</f>
        <v>2015</v>
      </c>
      <c r="B637" s="6" t="str">
        <f>IFERROR(__xludf.DUMMYFUNCTION("""COMPUTED_VALUE"""),"Junho")</f>
        <v>Junho</v>
      </c>
      <c r="C637" s="6" t="str">
        <f>IFERROR(__xludf.DUMMYFUNCTION("""COMPUTED_VALUE"""),"OUTROS C/C/ DIGNIDADE SEXUAL")</f>
        <v>OUTROS C/C/ DIGNIDADE SEXUAL</v>
      </c>
      <c r="D637" s="6">
        <f>IFERROR(__xludf.DUMMYFUNCTION("""COMPUTED_VALUE"""),0.0)</f>
        <v>0</v>
      </c>
      <c r="E637" s="6">
        <f>IFERROR(__xludf.DUMMYFUNCTION("""COMPUTED_VALUE"""),0.0)</f>
        <v>0</v>
      </c>
      <c r="F637" s="6">
        <f>IFERROR(__xludf.DUMMYFUNCTION("""COMPUTED_VALUE"""),2.0)</f>
        <v>2</v>
      </c>
      <c r="G637" s="6">
        <f>IFERROR(__xludf.DUMMYFUNCTION("""COMPUTED_VALUE"""),2.0)</f>
        <v>2</v>
      </c>
    </row>
    <row r="638">
      <c r="A638" s="6">
        <f>IFERROR(__xludf.DUMMYFUNCTION("""COMPUTED_VALUE"""),2015.0)</f>
        <v>2015</v>
      </c>
      <c r="B638" s="6" t="str">
        <f>IFERROR(__xludf.DUMMYFUNCTION("""COMPUTED_VALUE"""),"Julho")</f>
        <v>Julho</v>
      </c>
      <c r="C638" s="6" t="str">
        <f>IFERROR(__xludf.DUMMYFUNCTION("""COMPUTED_VALUE"""),"HOMICÍDIO DOLOSO (exclui FEMINICÍDIO)")</f>
        <v>HOMICÍDIO DOLOSO (exclui FEMINICÍDIO)</v>
      </c>
      <c r="D638" s="6">
        <f>IFERROR(__xludf.DUMMYFUNCTION("""COMPUTED_VALUE"""),2.0)</f>
        <v>2</v>
      </c>
      <c r="E638" s="6">
        <f>IFERROR(__xludf.DUMMYFUNCTION("""COMPUTED_VALUE"""),0.0)</f>
        <v>0</v>
      </c>
      <c r="F638" s="6">
        <f>IFERROR(__xludf.DUMMYFUNCTION("""COMPUTED_VALUE"""),1.0)</f>
        <v>1</v>
      </c>
      <c r="G638" s="6">
        <f>IFERROR(__xludf.DUMMYFUNCTION("""COMPUTED_VALUE"""),3.0)</f>
        <v>3</v>
      </c>
    </row>
    <row r="639">
      <c r="A639" s="6">
        <f>IFERROR(__xludf.DUMMYFUNCTION("""COMPUTED_VALUE"""),2015.0)</f>
        <v>2015</v>
      </c>
      <c r="B639" s="6" t="str">
        <f>IFERROR(__xludf.DUMMYFUNCTION("""COMPUTED_VALUE"""),"Julho")</f>
        <v>Julho</v>
      </c>
      <c r="C639" s="6" t="str">
        <f>IFERROR(__xludf.DUMMYFUNCTION("""COMPUTED_VALUE"""),"FEMINICÍDIO")</f>
        <v>FEMINICÍDIO</v>
      </c>
      <c r="D639" s="6">
        <f>IFERROR(__xludf.DUMMYFUNCTION("""COMPUTED_VALUE"""),1.0)</f>
        <v>1</v>
      </c>
      <c r="E639" s="6">
        <f>IFERROR(__xludf.DUMMYFUNCTION("""COMPUTED_VALUE"""),0.0)</f>
        <v>0</v>
      </c>
      <c r="F639" s="6">
        <f>IFERROR(__xludf.DUMMYFUNCTION("""COMPUTED_VALUE"""),2.0)</f>
        <v>2</v>
      </c>
      <c r="G639" s="6">
        <f>IFERROR(__xludf.DUMMYFUNCTION("""COMPUTED_VALUE"""),3.0)</f>
        <v>3</v>
      </c>
    </row>
    <row r="640">
      <c r="A640" s="6">
        <f>IFERROR(__xludf.DUMMYFUNCTION("""COMPUTED_VALUE"""),2015.0)</f>
        <v>2015</v>
      </c>
      <c r="B640" s="6" t="str">
        <f>IFERROR(__xludf.DUMMYFUNCTION("""COMPUTED_VALUE"""),"Julho")</f>
        <v>Julho</v>
      </c>
      <c r="C640" s="6" t="str">
        <f>IFERROR(__xludf.DUMMYFUNCTION("""COMPUTED_VALUE"""),"HOMICÍDIO CULPOSO")</f>
        <v>HOMICÍDIO CULPOSO</v>
      </c>
      <c r="D640" s="6">
        <f>IFERROR(__xludf.DUMMYFUNCTION("""COMPUTED_VALUE"""),0.0)</f>
        <v>0</v>
      </c>
      <c r="E640" s="6">
        <f>IFERROR(__xludf.DUMMYFUNCTION("""COMPUTED_VALUE"""),0.0)</f>
        <v>0</v>
      </c>
      <c r="F640" s="6">
        <f>IFERROR(__xludf.DUMMYFUNCTION("""COMPUTED_VALUE"""),0.0)</f>
        <v>0</v>
      </c>
      <c r="G640" s="6">
        <f>IFERROR(__xludf.DUMMYFUNCTION("""COMPUTED_VALUE"""),0.0)</f>
        <v>0</v>
      </c>
    </row>
    <row r="641">
      <c r="A641" s="6">
        <f>IFERROR(__xludf.DUMMYFUNCTION("""COMPUTED_VALUE"""),2015.0)</f>
        <v>2015</v>
      </c>
      <c r="B641" s="6" t="str">
        <f>IFERROR(__xludf.DUMMYFUNCTION("""COMPUTED_VALUE"""),"Julho")</f>
        <v>Julho</v>
      </c>
      <c r="C641" s="6" t="str">
        <f>IFERROR(__xludf.DUMMYFUNCTION("""COMPUTED_VALUE"""),"TENTATIVA DE HOMICÍDIO")</f>
        <v>TENTATIVA DE HOMICÍDIO</v>
      </c>
      <c r="D641" s="6">
        <f>IFERROR(__xludf.DUMMYFUNCTION("""COMPUTED_VALUE"""),2.0)</f>
        <v>2</v>
      </c>
      <c r="E641" s="6">
        <f>IFERROR(__xludf.DUMMYFUNCTION("""COMPUTED_VALUE"""),3.0)</f>
        <v>3</v>
      </c>
      <c r="F641" s="6">
        <f>IFERROR(__xludf.DUMMYFUNCTION("""COMPUTED_VALUE"""),12.0)</f>
        <v>12</v>
      </c>
      <c r="G641" s="6">
        <f>IFERROR(__xludf.DUMMYFUNCTION("""COMPUTED_VALUE"""),17.0)</f>
        <v>17</v>
      </c>
    </row>
    <row r="642">
      <c r="A642" s="6">
        <f>IFERROR(__xludf.DUMMYFUNCTION("""COMPUTED_VALUE"""),2015.0)</f>
        <v>2015</v>
      </c>
      <c r="B642" s="6" t="str">
        <f>IFERROR(__xludf.DUMMYFUNCTION("""COMPUTED_VALUE"""),"Julho")</f>
        <v>Julho</v>
      </c>
      <c r="C642" s="6" t="str">
        <f>IFERROR(__xludf.DUMMYFUNCTION("""COMPUTED_VALUE"""),"LESÃO CORPORAL DOLOSA")</f>
        <v>LESÃO CORPORAL DOLOSA</v>
      </c>
      <c r="D642" s="6">
        <f>IFERROR(__xludf.DUMMYFUNCTION("""COMPUTED_VALUE"""),913.0)</f>
        <v>913</v>
      </c>
      <c r="E642" s="6">
        <f>IFERROR(__xludf.DUMMYFUNCTION("""COMPUTED_VALUE"""),805.0)</f>
        <v>805</v>
      </c>
      <c r="F642" s="6">
        <f>IFERROR(__xludf.DUMMYFUNCTION("""COMPUTED_VALUE"""),2914.0)</f>
        <v>2914</v>
      </c>
      <c r="G642" s="6">
        <f>IFERROR(__xludf.DUMMYFUNCTION("""COMPUTED_VALUE"""),4632.0)</f>
        <v>4632</v>
      </c>
    </row>
    <row r="643">
      <c r="A643" s="6">
        <f>IFERROR(__xludf.DUMMYFUNCTION("""COMPUTED_VALUE"""),2015.0)</f>
        <v>2015</v>
      </c>
      <c r="B643" s="6" t="str">
        <f>IFERROR(__xludf.DUMMYFUNCTION("""COMPUTED_VALUE"""),"Julho")</f>
        <v>Julho</v>
      </c>
      <c r="C643" s="6" t="str">
        <f>IFERROR(__xludf.DUMMYFUNCTION("""COMPUTED_VALUE"""),"MAUS TRATOS")</f>
        <v>MAUS TRATOS</v>
      </c>
      <c r="D643" s="6">
        <f>IFERROR(__xludf.DUMMYFUNCTION("""COMPUTED_VALUE"""),3.0)</f>
        <v>3</v>
      </c>
      <c r="E643" s="6">
        <f>IFERROR(__xludf.DUMMYFUNCTION("""COMPUTED_VALUE"""),2.0)</f>
        <v>2</v>
      </c>
      <c r="F643" s="6">
        <f>IFERROR(__xludf.DUMMYFUNCTION("""COMPUTED_VALUE"""),17.0)</f>
        <v>17</v>
      </c>
      <c r="G643" s="6">
        <f>IFERROR(__xludf.DUMMYFUNCTION("""COMPUTED_VALUE"""),22.0)</f>
        <v>22</v>
      </c>
    </row>
    <row r="644">
      <c r="A644" s="6">
        <f>IFERROR(__xludf.DUMMYFUNCTION("""COMPUTED_VALUE"""),2015.0)</f>
        <v>2015</v>
      </c>
      <c r="B644" s="6" t="str">
        <f>IFERROR(__xludf.DUMMYFUNCTION("""COMPUTED_VALUE"""),"Julho")</f>
        <v>Julho</v>
      </c>
      <c r="C644" s="6" t="str">
        <f>IFERROR(__xludf.DUMMYFUNCTION("""COMPUTED_VALUE"""),"CALÚNIA - DIFAMAÇÃO - INJÚRIA")</f>
        <v>CALÚNIA - DIFAMAÇÃO - INJÚRIA</v>
      </c>
      <c r="D644" s="6">
        <f>IFERROR(__xludf.DUMMYFUNCTION("""COMPUTED_VALUE"""),191.0)</f>
        <v>191</v>
      </c>
      <c r="E644" s="6">
        <f>IFERROR(__xludf.DUMMYFUNCTION("""COMPUTED_VALUE"""),168.0)</f>
        <v>168</v>
      </c>
      <c r="F644" s="6">
        <f>IFERROR(__xludf.DUMMYFUNCTION("""COMPUTED_VALUE"""),702.0)</f>
        <v>702</v>
      </c>
      <c r="G644" s="6">
        <f>IFERROR(__xludf.DUMMYFUNCTION("""COMPUTED_VALUE"""),1061.0)</f>
        <v>1061</v>
      </c>
    </row>
    <row r="645">
      <c r="A645" s="6">
        <f>IFERROR(__xludf.DUMMYFUNCTION("""COMPUTED_VALUE"""),2015.0)</f>
        <v>2015</v>
      </c>
      <c r="B645" s="6" t="str">
        <f>IFERROR(__xludf.DUMMYFUNCTION("""COMPUTED_VALUE"""),"Julho")</f>
        <v>Julho</v>
      </c>
      <c r="C645" s="6" t="str">
        <f>IFERROR(__xludf.DUMMYFUNCTION("""COMPUTED_VALUE"""),"CONSTRANGIMENTO ILEGAL")</f>
        <v>CONSTRANGIMENTO ILEGAL</v>
      </c>
      <c r="D645" s="6">
        <f>IFERROR(__xludf.DUMMYFUNCTION("""COMPUTED_VALUE"""),1.0)</f>
        <v>1</v>
      </c>
      <c r="E645" s="6">
        <f>IFERROR(__xludf.DUMMYFUNCTION("""COMPUTED_VALUE"""),0.0)</f>
        <v>0</v>
      </c>
      <c r="F645" s="6">
        <f>IFERROR(__xludf.DUMMYFUNCTION("""COMPUTED_VALUE"""),6.0)</f>
        <v>6</v>
      </c>
      <c r="G645" s="6">
        <f>IFERROR(__xludf.DUMMYFUNCTION("""COMPUTED_VALUE"""),7.0)</f>
        <v>7</v>
      </c>
    </row>
    <row r="646">
      <c r="A646" s="6">
        <f>IFERROR(__xludf.DUMMYFUNCTION("""COMPUTED_VALUE"""),2015.0)</f>
        <v>2015</v>
      </c>
      <c r="B646" s="6" t="str">
        <f>IFERROR(__xludf.DUMMYFUNCTION("""COMPUTED_VALUE"""),"Julho")</f>
        <v>Julho</v>
      </c>
      <c r="C646" s="6" t="str">
        <f>IFERROR(__xludf.DUMMYFUNCTION("""COMPUTED_VALUE"""),"AMEAÇA")</f>
        <v>AMEAÇA</v>
      </c>
      <c r="D646" s="6">
        <f>IFERROR(__xludf.DUMMYFUNCTION("""COMPUTED_VALUE"""),884.0)</f>
        <v>884</v>
      </c>
      <c r="E646" s="6">
        <f>IFERROR(__xludf.DUMMYFUNCTION("""COMPUTED_VALUE"""),812.0)</f>
        <v>812</v>
      </c>
      <c r="F646" s="6">
        <f>IFERROR(__xludf.DUMMYFUNCTION("""COMPUTED_VALUE"""),3012.0)</f>
        <v>3012</v>
      </c>
      <c r="G646" s="6">
        <f>IFERROR(__xludf.DUMMYFUNCTION("""COMPUTED_VALUE"""),4708.0)</f>
        <v>4708</v>
      </c>
    </row>
    <row r="647">
      <c r="A647" s="6">
        <f>IFERROR(__xludf.DUMMYFUNCTION("""COMPUTED_VALUE"""),2015.0)</f>
        <v>2015</v>
      </c>
      <c r="B647" s="6" t="str">
        <f>IFERROR(__xludf.DUMMYFUNCTION("""COMPUTED_VALUE"""),"Julho")</f>
        <v>Julho</v>
      </c>
      <c r="C647" s="6" t="str">
        <f>IFERROR(__xludf.DUMMYFUNCTION("""COMPUTED_VALUE"""),"INVASÃO DE DOMICÍLIO")</f>
        <v>INVASÃO DE DOMICÍLIO</v>
      </c>
      <c r="D647" s="6">
        <f>IFERROR(__xludf.DUMMYFUNCTION("""COMPUTED_VALUE"""),1.0)</f>
        <v>1</v>
      </c>
      <c r="E647" s="6">
        <f>IFERROR(__xludf.DUMMYFUNCTION("""COMPUTED_VALUE"""),2.0)</f>
        <v>2</v>
      </c>
      <c r="F647" s="6">
        <f>IFERROR(__xludf.DUMMYFUNCTION("""COMPUTED_VALUE"""),13.0)</f>
        <v>13</v>
      </c>
      <c r="G647" s="6">
        <f>IFERROR(__xludf.DUMMYFUNCTION("""COMPUTED_VALUE"""),16.0)</f>
        <v>16</v>
      </c>
    </row>
    <row r="648">
      <c r="A648" s="6">
        <f>IFERROR(__xludf.DUMMYFUNCTION("""COMPUTED_VALUE"""),2015.0)</f>
        <v>2015</v>
      </c>
      <c r="B648" s="6" t="str">
        <f>IFERROR(__xludf.DUMMYFUNCTION("""COMPUTED_VALUE"""),"Julho")</f>
        <v>Julho</v>
      </c>
      <c r="C648" s="6" t="str">
        <f>IFERROR(__xludf.DUMMYFUNCTION("""COMPUTED_VALUE"""),"DANO")</f>
        <v>DANO</v>
      </c>
      <c r="D648" s="6">
        <f>IFERROR(__xludf.DUMMYFUNCTION("""COMPUTED_VALUE"""),11.0)</f>
        <v>11</v>
      </c>
      <c r="E648" s="6">
        <f>IFERROR(__xludf.DUMMYFUNCTION("""COMPUTED_VALUE"""),10.0)</f>
        <v>10</v>
      </c>
      <c r="F648" s="6">
        <f>IFERROR(__xludf.DUMMYFUNCTION("""COMPUTED_VALUE"""),56.0)</f>
        <v>56</v>
      </c>
      <c r="G648" s="6">
        <f>IFERROR(__xludf.DUMMYFUNCTION("""COMPUTED_VALUE"""),77.0)</f>
        <v>77</v>
      </c>
    </row>
    <row r="649">
      <c r="A649" s="6">
        <f>IFERROR(__xludf.DUMMYFUNCTION("""COMPUTED_VALUE"""),2015.0)</f>
        <v>2015</v>
      </c>
      <c r="B649" s="6" t="str">
        <f>IFERROR(__xludf.DUMMYFUNCTION("""COMPUTED_VALUE"""),"Julho")</f>
        <v>Julho</v>
      </c>
      <c r="C649" s="6" t="str">
        <f>IFERROR(__xludf.DUMMYFUNCTION("""COMPUTED_VALUE"""),"ESTUPRO CONSUMADO")</f>
        <v>ESTUPRO CONSUMADO</v>
      </c>
      <c r="D649" s="6">
        <f>IFERROR(__xludf.DUMMYFUNCTION("""COMPUTED_VALUE"""),10.0)</f>
        <v>10</v>
      </c>
      <c r="E649" s="6">
        <f>IFERROR(__xludf.DUMMYFUNCTION("""COMPUTED_VALUE"""),7.0)</f>
        <v>7</v>
      </c>
      <c r="F649" s="6">
        <f>IFERROR(__xludf.DUMMYFUNCTION("""COMPUTED_VALUE"""),18.0)</f>
        <v>18</v>
      </c>
      <c r="G649" s="6">
        <f>IFERROR(__xludf.DUMMYFUNCTION("""COMPUTED_VALUE"""),35.0)</f>
        <v>35</v>
      </c>
    </row>
    <row r="650">
      <c r="A650" s="6">
        <f>IFERROR(__xludf.DUMMYFUNCTION("""COMPUTED_VALUE"""),2015.0)</f>
        <v>2015</v>
      </c>
      <c r="B650" s="6" t="str">
        <f>IFERROR(__xludf.DUMMYFUNCTION("""COMPUTED_VALUE"""),"Julho")</f>
        <v>Julho</v>
      </c>
      <c r="C650" s="6" t="str">
        <f>IFERROR(__xludf.DUMMYFUNCTION("""COMPUTED_VALUE"""),"ESTUPRO TENTADO")</f>
        <v>ESTUPRO TENTADO</v>
      </c>
      <c r="D650" s="6">
        <f>IFERROR(__xludf.DUMMYFUNCTION("""COMPUTED_VALUE"""),0.0)</f>
        <v>0</v>
      </c>
      <c r="E650" s="6">
        <f>IFERROR(__xludf.DUMMYFUNCTION("""COMPUTED_VALUE"""),0.0)</f>
        <v>0</v>
      </c>
      <c r="F650" s="6">
        <f>IFERROR(__xludf.DUMMYFUNCTION("""COMPUTED_VALUE"""),1.0)</f>
        <v>1</v>
      </c>
      <c r="G650" s="6">
        <f>IFERROR(__xludf.DUMMYFUNCTION("""COMPUTED_VALUE"""),1.0)</f>
        <v>1</v>
      </c>
    </row>
    <row r="651">
      <c r="A651" s="6">
        <f>IFERROR(__xludf.DUMMYFUNCTION("""COMPUTED_VALUE"""),2015.0)</f>
        <v>2015</v>
      </c>
      <c r="B651" s="6" t="str">
        <f>IFERROR(__xludf.DUMMYFUNCTION("""COMPUTED_VALUE"""),"Julho")</f>
        <v>Julho</v>
      </c>
      <c r="C651" s="6" t="str">
        <f>IFERROR(__xludf.DUMMYFUNCTION("""COMPUTED_VALUE"""),"ESTUPRO DE VULNERÁVEL CONSUMADO")</f>
        <v>ESTUPRO DE VULNERÁVEL CONSUMADO</v>
      </c>
      <c r="D651" s="6">
        <f>IFERROR(__xludf.DUMMYFUNCTION("""COMPUTED_VALUE"""),3.0)</f>
        <v>3</v>
      </c>
      <c r="E651" s="6">
        <f>IFERROR(__xludf.DUMMYFUNCTION("""COMPUTED_VALUE"""),4.0)</f>
        <v>4</v>
      </c>
      <c r="F651" s="6">
        <f>IFERROR(__xludf.DUMMYFUNCTION("""COMPUTED_VALUE"""),18.0)</f>
        <v>18</v>
      </c>
      <c r="G651" s="6">
        <f>IFERROR(__xludf.DUMMYFUNCTION("""COMPUTED_VALUE"""),25.0)</f>
        <v>25</v>
      </c>
    </row>
    <row r="652">
      <c r="A652" s="6">
        <f>IFERROR(__xludf.DUMMYFUNCTION("""COMPUTED_VALUE"""),2015.0)</f>
        <v>2015</v>
      </c>
      <c r="B652" s="6" t="str">
        <f>IFERROR(__xludf.DUMMYFUNCTION("""COMPUTED_VALUE"""),"Julho")</f>
        <v>Julho</v>
      </c>
      <c r="C652" s="6" t="str">
        <f>IFERROR(__xludf.DUMMYFUNCTION("""COMPUTED_VALUE"""),"OUTROS C/C/ DIGNIDADE SEXUAL")</f>
        <v>OUTROS C/C/ DIGNIDADE SEXUAL</v>
      </c>
      <c r="D652" s="6">
        <f>IFERROR(__xludf.DUMMYFUNCTION("""COMPUTED_VALUE"""),0.0)</f>
        <v>0</v>
      </c>
      <c r="E652" s="6">
        <f>IFERROR(__xludf.DUMMYFUNCTION("""COMPUTED_VALUE"""),0.0)</f>
        <v>0</v>
      </c>
      <c r="F652" s="6">
        <f>IFERROR(__xludf.DUMMYFUNCTION("""COMPUTED_VALUE"""),2.0)</f>
        <v>2</v>
      </c>
      <c r="G652" s="6">
        <f>IFERROR(__xludf.DUMMYFUNCTION("""COMPUTED_VALUE"""),2.0)</f>
        <v>2</v>
      </c>
    </row>
    <row r="653">
      <c r="A653" s="6">
        <f>IFERROR(__xludf.DUMMYFUNCTION("""COMPUTED_VALUE"""),2015.0)</f>
        <v>2015</v>
      </c>
      <c r="B653" s="6" t="str">
        <f>IFERROR(__xludf.DUMMYFUNCTION("""COMPUTED_VALUE"""),"Agosto")</f>
        <v>Agosto</v>
      </c>
      <c r="C653" s="6" t="str">
        <f>IFERROR(__xludf.DUMMYFUNCTION("""COMPUTED_VALUE"""),"HOMICÍDIO DOLOSO (exclui FEMINICÍDIO)")</f>
        <v>HOMICÍDIO DOLOSO (exclui FEMINICÍDIO)</v>
      </c>
      <c r="D653" s="6">
        <f>IFERROR(__xludf.DUMMYFUNCTION("""COMPUTED_VALUE"""),1.0)</f>
        <v>1</v>
      </c>
      <c r="E653" s="6">
        <f>IFERROR(__xludf.DUMMYFUNCTION("""COMPUTED_VALUE"""),0.0)</f>
        <v>0</v>
      </c>
      <c r="F653" s="6">
        <f>IFERROR(__xludf.DUMMYFUNCTION("""COMPUTED_VALUE"""),1.0)</f>
        <v>1</v>
      </c>
      <c r="G653" s="6">
        <f>IFERROR(__xludf.DUMMYFUNCTION("""COMPUTED_VALUE"""),2.0)</f>
        <v>2</v>
      </c>
    </row>
    <row r="654">
      <c r="A654" s="6">
        <f>IFERROR(__xludf.DUMMYFUNCTION("""COMPUTED_VALUE"""),2015.0)</f>
        <v>2015</v>
      </c>
      <c r="B654" s="6" t="str">
        <f>IFERROR(__xludf.DUMMYFUNCTION("""COMPUTED_VALUE"""),"Agosto")</f>
        <v>Agosto</v>
      </c>
      <c r="C654" s="6" t="str">
        <f>IFERROR(__xludf.DUMMYFUNCTION("""COMPUTED_VALUE"""),"FEMINICÍDIO")</f>
        <v>FEMINICÍDIO</v>
      </c>
      <c r="D654" s="6">
        <f>IFERROR(__xludf.DUMMYFUNCTION("""COMPUTED_VALUE"""),1.0)</f>
        <v>1</v>
      </c>
      <c r="E654" s="6">
        <f>IFERROR(__xludf.DUMMYFUNCTION("""COMPUTED_VALUE"""),0.0)</f>
        <v>0</v>
      </c>
      <c r="F654" s="6">
        <f>IFERROR(__xludf.DUMMYFUNCTION("""COMPUTED_VALUE"""),2.0)</f>
        <v>2</v>
      </c>
      <c r="G654" s="6">
        <f>IFERROR(__xludf.DUMMYFUNCTION("""COMPUTED_VALUE"""),3.0)</f>
        <v>3</v>
      </c>
    </row>
    <row r="655">
      <c r="A655" s="6">
        <f>IFERROR(__xludf.DUMMYFUNCTION("""COMPUTED_VALUE"""),2015.0)</f>
        <v>2015</v>
      </c>
      <c r="B655" s="6" t="str">
        <f>IFERROR(__xludf.DUMMYFUNCTION("""COMPUTED_VALUE"""),"Agosto")</f>
        <v>Agosto</v>
      </c>
      <c r="C655" s="6" t="str">
        <f>IFERROR(__xludf.DUMMYFUNCTION("""COMPUTED_VALUE"""),"HOMICÍDIO CULPOSO")</f>
        <v>HOMICÍDIO CULPOSO</v>
      </c>
      <c r="D655" s="6">
        <f>IFERROR(__xludf.DUMMYFUNCTION("""COMPUTED_VALUE"""),0.0)</f>
        <v>0</v>
      </c>
      <c r="E655" s="6">
        <f>IFERROR(__xludf.DUMMYFUNCTION("""COMPUTED_VALUE"""),0.0)</f>
        <v>0</v>
      </c>
      <c r="F655" s="6">
        <f>IFERROR(__xludf.DUMMYFUNCTION("""COMPUTED_VALUE"""),0.0)</f>
        <v>0</v>
      </c>
      <c r="G655" s="6">
        <f>IFERROR(__xludf.DUMMYFUNCTION("""COMPUTED_VALUE"""),0.0)</f>
        <v>0</v>
      </c>
    </row>
    <row r="656">
      <c r="A656" s="6">
        <f>IFERROR(__xludf.DUMMYFUNCTION("""COMPUTED_VALUE"""),2015.0)</f>
        <v>2015</v>
      </c>
      <c r="B656" s="6" t="str">
        <f>IFERROR(__xludf.DUMMYFUNCTION("""COMPUTED_VALUE"""),"Agosto")</f>
        <v>Agosto</v>
      </c>
      <c r="C656" s="6" t="str">
        <f>IFERROR(__xludf.DUMMYFUNCTION("""COMPUTED_VALUE"""),"TENTATIVA DE HOMICÍDIO")</f>
        <v>TENTATIVA DE HOMICÍDIO</v>
      </c>
      <c r="D656" s="6">
        <f>IFERROR(__xludf.DUMMYFUNCTION("""COMPUTED_VALUE"""),1.0)</f>
        <v>1</v>
      </c>
      <c r="E656" s="6">
        <f>IFERROR(__xludf.DUMMYFUNCTION("""COMPUTED_VALUE"""),2.0)</f>
        <v>2</v>
      </c>
      <c r="F656" s="6">
        <f>IFERROR(__xludf.DUMMYFUNCTION("""COMPUTED_VALUE"""),11.0)</f>
        <v>11</v>
      </c>
      <c r="G656" s="6">
        <f>IFERROR(__xludf.DUMMYFUNCTION("""COMPUTED_VALUE"""),14.0)</f>
        <v>14</v>
      </c>
    </row>
    <row r="657">
      <c r="A657" s="6">
        <f>IFERROR(__xludf.DUMMYFUNCTION("""COMPUTED_VALUE"""),2015.0)</f>
        <v>2015</v>
      </c>
      <c r="B657" s="6" t="str">
        <f>IFERROR(__xludf.DUMMYFUNCTION("""COMPUTED_VALUE"""),"Agosto")</f>
        <v>Agosto</v>
      </c>
      <c r="C657" s="6" t="str">
        <f>IFERROR(__xludf.DUMMYFUNCTION("""COMPUTED_VALUE"""),"LESÃO CORPORAL DOLOSA")</f>
        <v>LESÃO CORPORAL DOLOSA</v>
      </c>
      <c r="D657" s="6">
        <f>IFERROR(__xludf.DUMMYFUNCTION("""COMPUTED_VALUE"""),967.0)</f>
        <v>967</v>
      </c>
      <c r="E657" s="6">
        <f>IFERROR(__xludf.DUMMYFUNCTION("""COMPUTED_VALUE"""),812.0)</f>
        <v>812</v>
      </c>
      <c r="F657" s="6">
        <f>IFERROR(__xludf.DUMMYFUNCTION("""COMPUTED_VALUE"""),2998.0)</f>
        <v>2998</v>
      </c>
      <c r="G657" s="6">
        <f>IFERROR(__xludf.DUMMYFUNCTION("""COMPUTED_VALUE"""),4777.0)</f>
        <v>4777</v>
      </c>
    </row>
    <row r="658">
      <c r="A658" s="6">
        <f>IFERROR(__xludf.DUMMYFUNCTION("""COMPUTED_VALUE"""),2015.0)</f>
        <v>2015</v>
      </c>
      <c r="B658" s="6" t="str">
        <f>IFERROR(__xludf.DUMMYFUNCTION("""COMPUTED_VALUE"""),"Agosto")</f>
        <v>Agosto</v>
      </c>
      <c r="C658" s="6" t="str">
        <f>IFERROR(__xludf.DUMMYFUNCTION("""COMPUTED_VALUE"""),"MAUS TRATOS")</f>
        <v>MAUS TRATOS</v>
      </c>
      <c r="D658" s="6">
        <f>IFERROR(__xludf.DUMMYFUNCTION("""COMPUTED_VALUE"""),3.0)</f>
        <v>3</v>
      </c>
      <c r="E658" s="6">
        <f>IFERROR(__xludf.DUMMYFUNCTION("""COMPUTED_VALUE"""),2.0)</f>
        <v>2</v>
      </c>
      <c r="F658" s="6">
        <f>IFERROR(__xludf.DUMMYFUNCTION("""COMPUTED_VALUE"""),16.0)</f>
        <v>16</v>
      </c>
      <c r="G658" s="6">
        <f>IFERROR(__xludf.DUMMYFUNCTION("""COMPUTED_VALUE"""),21.0)</f>
        <v>21</v>
      </c>
    </row>
    <row r="659">
      <c r="A659" s="6">
        <f>IFERROR(__xludf.DUMMYFUNCTION("""COMPUTED_VALUE"""),2015.0)</f>
        <v>2015</v>
      </c>
      <c r="B659" s="6" t="str">
        <f>IFERROR(__xludf.DUMMYFUNCTION("""COMPUTED_VALUE"""),"Agosto")</f>
        <v>Agosto</v>
      </c>
      <c r="C659" s="6" t="str">
        <f>IFERROR(__xludf.DUMMYFUNCTION("""COMPUTED_VALUE"""),"CALÚNIA - DIFAMAÇÃO - INJÚRIA")</f>
        <v>CALÚNIA - DIFAMAÇÃO - INJÚRIA</v>
      </c>
      <c r="D659" s="6">
        <f>IFERROR(__xludf.DUMMYFUNCTION("""COMPUTED_VALUE"""),184.0)</f>
        <v>184</v>
      </c>
      <c r="E659" s="6">
        <f>IFERROR(__xludf.DUMMYFUNCTION("""COMPUTED_VALUE"""),165.0)</f>
        <v>165</v>
      </c>
      <c r="F659" s="6">
        <f>IFERROR(__xludf.DUMMYFUNCTION("""COMPUTED_VALUE"""),711.0)</f>
        <v>711</v>
      </c>
      <c r="G659" s="6">
        <f>IFERROR(__xludf.DUMMYFUNCTION("""COMPUTED_VALUE"""),1060.0)</f>
        <v>1060</v>
      </c>
    </row>
    <row r="660">
      <c r="A660" s="6">
        <f>IFERROR(__xludf.DUMMYFUNCTION("""COMPUTED_VALUE"""),2015.0)</f>
        <v>2015</v>
      </c>
      <c r="B660" s="6" t="str">
        <f>IFERROR(__xludf.DUMMYFUNCTION("""COMPUTED_VALUE"""),"Agosto")</f>
        <v>Agosto</v>
      </c>
      <c r="C660" s="6" t="str">
        <f>IFERROR(__xludf.DUMMYFUNCTION("""COMPUTED_VALUE"""),"CONSTRANGIMENTO ILEGAL")</f>
        <v>CONSTRANGIMENTO ILEGAL</v>
      </c>
      <c r="D660" s="6">
        <f>IFERROR(__xludf.DUMMYFUNCTION("""COMPUTED_VALUE"""),1.0)</f>
        <v>1</v>
      </c>
      <c r="E660" s="6">
        <f>IFERROR(__xludf.DUMMYFUNCTION("""COMPUTED_VALUE"""),0.0)</f>
        <v>0</v>
      </c>
      <c r="F660" s="6">
        <f>IFERROR(__xludf.DUMMYFUNCTION("""COMPUTED_VALUE"""),5.0)</f>
        <v>5</v>
      </c>
      <c r="G660" s="6">
        <f>IFERROR(__xludf.DUMMYFUNCTION("""COMPUTED_VALUE"""),6.0)</f>
        <v>6</v>
      </c>
    </row>
    <row r="661">
      <c r="A661" s="6">
        <f>IFERROR(__xludf.DUMMYFUNCTION("""COMPUTED_VALUE"""),2015.0)</f>
        <v>2015</v>
      </c>
      <c r="B661" s="6" t="str">
        <f>IFERROR(__xludf.DUMMYFUNCTION("""COMPUTED_VALUE"""),"Agosto")</f>
        <v>Agosto</v>
      </c>
      <c r="C661" s="6" t="str">
        <f>IFERROR(__xludf.DUMMYFUNCTION("""COMPUTED_VALUE"""),"AMEAÇA")</f>
        <v>AMEAÇA</v>
      </c>
      <c r="D661" s="6">
        <f>IFERROR(__xludf.DUMMYFUNCTION("""COMPUTED_VALUE"""),895.0)</f>
        <v>895</v>
      </c>
      <c r="E661" s="6">
        <f>IFERROR(__xludf.DUMMYFUNCTION("""COMPUTED_VALUE"""),804.0)</f>
        <v>804</v>
      </c>
      <c r="F661" s="6">
        <f>IFERROR(__xludf.DUMMYFUNCTION("""COMPUTED_VALUE"""),3112.0)</f>
        <v>3112</v>
      </c>
      <c r="G661" s="6">
        <f>IFERROR(__xludf.DUMMYFUNCTION("""COMPUTED_VALUE"""),4811.0)</f>
        <v>4811</v>
      </c>
    </row>
    <row r="662">
      <c r="A662" s="6">
        <f>IFERROR(__xludf.DUMMYFUNCTION("""COMPUTED_VALUE"""),2015.0)</f>
        <v>2015</v>
      </c>
      <c r="B662" s="6" t="str">
        <f>IFERROR(__xludf.DUMMYFUNCTION("""COMPUTED_VALUE"""),"Agosto")</f>
        <v>Agosto</v>
      </c>
      <c r="C662" s="6" t="str">
        <f>IFERROR(__xludf.DUMMYFUNCTION("""COMPUTED_VALUE"""),"INVASÃO DE DOMICÍLIO")</f>
        <v>INVASÃO DE DOMICÍLIO</v>
      </c>
      <c r="D662" s="6">
        <f>IFERROR(__xludf.DUMMYFUNCTION("""COMPUTED_VALUE"""),1.0)</f>
        <v>1</v>
      </c>
      <c r="E662" s="6">
        <f>IFERROR(__xludf.DUMMYFUNCTION("""COMPUTED_VALUE"""),2.0)</f>
        <v>2</v>
      </c>
      <c r="F662" s="6">
        <f>IFERROR(__xludf.DUMMYFUNCTION("""COMPUTED_VALUE"""),14.0)</f>
        <v>14</v>
      </c>
      <c r="G662" s="6">
        <f>IFERROR(__xludf.DUMMYFUNCTION("""COMPUTED_VALUE"""),17.0)</f>
        <v>17</v>
      </c>
    </row>
    <row r="663">
      <c r="A663" s="6">
        <f>IFERROR(__xludf.DUMMYFUNCTION("""COMPUTED_VALUE"""),2015.0)</f>
        <v>2015</v>
      </c>
      <c r="B663" s="6" t="str">
        <f>IFERROR(__xludf.DUMMYFUNCTION("""COMPUTED_VALUE"""),"Agosto")</f>
        <v>Agosto</v>
      </c>
      <c r="C663" s="6" t="str">
        <f>IFERROR(__xludf.DUMMYFUNCTION("""COMPUTED_VALUE"""),"DANO")</f>
        <v>DANO</v>
      </c>
      <c r="D663" s="6">
        <f>IFERROR(__xludf.DUMMYFUNCTION("""COMPUTED_VALUE"""),10.0)</f>
        <v>10</v>
      </c>
      <c r="E663" s="6">
        <f>IFERROR(__xludf.DUMMYFUNCTION("""COMPUTED_VALUE"""),10.0)</f>
        <v>10</v>
      </c>
      <c r="F663" s="6">
        <f>IFERROR(__xludf.DUMMYFUNCTION("""COMPUTED_VALUE"""),58.0)</f>
        <v>58</v>
      </c>
      <c r="G663" s="6">
        <f>IFERROR(__xludf.DUMMYFUNCTION("""COMPUTED_VALUE"""),78.0)</f>
        <v>78</v>
      </c>
    </row>
    <row r="664">
      <c r="A664" s="6">
        <f>IFERROR(__xludf.DUMMYFUNCTION("""COMPUTED_VALUE"""),2015.0)</f>
        <v>2015</v>
      </c>
      <c r="B664" s="6" t="str">
        <f>IFERROR(__xludf.DUMMYFUNCTION("""COMPUTED_VALUE"""),"Agosto")</f>
        <v>Agosto</v>
      </c>
      <c r="C664" s="6" t="str">
        <f>IFERROR(__xludf.DUMMYFUNCTION("""COMPUTED_VALUE"""),"ESTUPRO CONSUMADO")</f>
        <v>ESTUPRO CONSUMADO</v>
      </c>
      <c r="D664" s="6">
        <f>IFERROR(__xludf.DUMMYFUNCTION("""COMPUTED_VALUE"""),10.0)</f>
        <v>10</v>
      </c>
      <c r="E664" s="6">
        <f>IFERROR(__xludf.DUMMYFUNCTION("""COMPUTED_VALUE"""),7.0)</f>
        <v>7</v>
      </c>
      <c r="F664" s="6">
        <f>IFERROR(__xludf.DUMMYFUNCTION("""COMPUTED_VALUE"""),18.0)</f>
        <v>18</v>
      </c>
      <c r="G664" s="6">
        <f>IFERROR(__xludf.DUMMYFUNCTION("""COMPUTED_VALUE"""),35.0)</f>
        <v>35</v>
      </c>
    </row>
    <row r="665">
      <c r="A665" s="6">
        <f>IFERROR(__xludf.DUMMYFUNCTION("""COMPUTED_VALUE"""),2015.0)</f>
        <v>2015</v>
      </c>
      <c r="B665" s="6" t="str">
        <f>IFERROR(__xludf.DUMMYFUNCTION("""COMPUTED_VALUE"""),"Agosto")</f>
        <v>Agosto</v>
      </c>
      <c r="C665" s="6" t="str">
        <f>IFERROR(__xludf.DUMMYFUNCTION("""COMPUTED_VALUE"""),"ESTUPRO TENTADO")</f>
        <v>ESTUPRO TENTADO</v>
      </c>
      <c r="D665" s="6">
        <f>IFERROR(__xludf.DUMMYFUNCTION("""COMPUTED_VALUE"""),0.0)</f>
        <v>0</v>
      </c>
      <c r="E665" s="6">
        <f>IFERROR(__xludf.DUMMYFUNCTION("""COMPUTED_VALUE"""),0.0)</f>
        <v>0</v>
      </c>
      <c r="F665" s="6">
        <f>IFERROR(__xludf.DUMMYFUNCTION("""COMPUTED_VALUE"""),1.0)</f>
        <v>1</v>
      </c>
      <c r="G665" s="6">
        <f>IFERROR(__xludf.DUMMYFUNCTION("""COMPUTED_VALUE"""),1.0)</f>
        <v>1</v>
      </c>
    </row>
    <row r="666">
      <c r="A666" s="6">
        <f>IFERROR(__xludf.DUMMYFUNCTION("""COMPUTED_VALUE"""),2015.0)</f>
        <v>2015</v>
      </c>
      <c r="B666" s="6" t="str">
        <f>IFERROR(__xludf.DUMMYFUNCTION("""COMPUTED_VALUE"""),"Agosto")</f>
        <v>Agosto</v>
      </c>
      <c r="C666" s="6" t="str">
        <f>IFERROR(__xludf.DUMMYFUNCTION("""COMPUTED_VALUE"""),"ESTUPRO DE VULNERÁVEL CONSUMADO")</f>
        <v>ESTUPRO DE VULNERÁVEL CONSUMADO</v>
      </c>
      <c r="D666" s="6">
        <f>IFERROR(__xludf.DUMMYFUNCTION("""COMPUTED_VALUE"""),3.0)</f>
        <v>3</v>
      </c>
      <c r="E666" s="6">
        <f>IFERROR(__xludf.DUMMYFUNCTION("""COMPUTED_VALUE"""),4.0)</f>
        <v>4</v>
      </c>
      <c r="F666" s="6">
        <f>IFERROR(__xludf.DUMMYFUNCTION("""COMPUTED_VALUE"""),18.0)</f>
        <v>18</v>
      </c>
      <c r="G666" s="6">
        <f>IFERROR(__xludf.DUMMYFUNCTION("""COMPUTED_VALUE"""),25.0)</f>
        <v>25</v>
      </c>
    </row>
    <row r="667">
      <c r="A667" s="6">
        <f>IFERROR(__xludf.DUMMYFUNCTION("""COMPUTED_VALUE"""),2015.0)</f>
        <v>2015</v>
      </c>
      <c r="B667" s="6" t="str">
        <f>IFERROR(__xludf.DUMMYFUNCTION("""COMPUTED_VALUE"""),"Agosto")</f>
        <v>Agosto</v>
      </c>
      <c r="C667" s="6" t="str">
        <f>IFERROR(__xludf.DUMMYFUNCTION("""COMPUTED_VALUE"""),"OUTROS C/C/ DIGNIDADE SEXUAL")</f>
        <v>OUTROS C/C/ DIGNIDADE SEXUAL</v>
      </c>
      <c r="D667" s="6">
        <f>IFERROR(__xludf.DUMMYFUNCTION("""COMPUTED_VALUE"""),0.0)</f>
        <v>0</v>
      </c>
      <c r="E667" s="6">
        <f>IFERROR(__xludf.DUMMYFUNCTION("""COMPUTED_VALUE"""),0.0)</f>
        <v>0</v>
      </c>
      <c r="F667" s="6">
        <f>IFERROR(__xludf.DUMMYFUNCTION("""COMPUTED_VALUE"""),2.0)</f>
        <v>2</v>
      </c>
      <c r="G667" s="6">
        <f>IFERROR(__xludf.DUMMYFUNCTION("""COMPUTED_VALUE"""),2.0)</f>
        <v>2</v>
      </c>
    </row>
    <row r="668">
      <c r="A668" s="6">
        <f>IFERROR(__xludf.DUMMYFUNCTION("""COMPUTED_VALUE"""),2015.0)</f>
        <v>2015</v>
      </c>
      <c r="B668" s="6" t="str">
        <f>IFERROR(__xludf.DUMMYFUNCTION("""COMPUTED_VALUE"""),"Setembro")</f>
        <v>Setembro</v>
      </c>
      <c r="C668" s="6" t="str">
        <f>IFERROR(__xludf.DUMMYFUNCTION("""COMPUTED_VALUE"""),"HOMICÍDIO DOLOSO (exclui FEMINICÍDIO)")</f>
        <v>HOMICÍDIO DOLOSO (exclui FEMINICÍDIO)</v>
      </c>
      <c r="D668" s="6">
        <f>IFERROR(__xludf.DUMMYFUNCTION("""COMPUTED_VALUE"""),1.0)</f>
        <v>1</v>
      </c>
      <c r="E668" s="6">
        <f>IFERROR(__xludf.DUMMYFUNCTION("""COMPUTED_VALUE"""),0.0)</f>
        <v>0</v>
      </c>
      <c r="F668" s="6">
        <f>IFERROR(__xludf.DUMMYFUNCTION("""COMPUTED_VALUE"""),2.0)</f>
        <v>2</v>
      </c>
      <c r="G668" s="6">
        <f>IFERROR(__xludf.DUMMYFUNCTION("""COMPUTED_VALUE"""),3.0)</f>
        <v>3</v>
      </c>
    </row>
    <row r="669">
      <c r="A669" s="6">
        <f>IFERROR(__xludf.DUMMYFUNCTION("""COMPUTED_VALUE"""),2015.0)</f>
        <v>2015</v>
      </c>
      <c r="B669" s="6" t="str">
        <f>IFERROR(__xludf.DUMMYFUNCTION("""COMPUTED_VALUE"""),"Setembro")</f>
        <v>Setembro</v>
      </c>
      <c r="C669" s="6" t="str">
        <f>IFERROR(__xludf.DUMMYFUNCTION("""COMPUTED_VALUE"""),"FEMINICÍDIO")</f>
        <v>FEMINICÍDIO</v>
      </c>
      <c r="D669" s="6">
        <f>IFERROR(__xludf.DUMMYFUNCTION("""COMPUTED_VALUE"""),1.0)</f>
        <v>1</v>
      </c>
      <c r="E669" s="6">
        <f>IFERROR(__xludf.DUMMYFUNCTION("""COMPUTED_VALUE"""),1.0)</f>
        <v>1</v>
      </c>
      <c r="F669" s="6">
        <f>IFERROR(__xludf.DUMMYFUNCTION("""COMPUTED_VALUE"""),2.0)</f>
        <v>2</v>
      </c>
      <c r="G669" s="6">
        <f>IFERROR(__xludf.DUMMYFUNCTION("""COMPUTED_VALUE"""),4.0)</f>
        <v>4</v>
      </c>
    </row>
    <row r="670">
      <c r="A670" s="6">
        <f>IFERROR(__xludf.DUMMYFUNCTION("""COMPUTED_VALUE"""),2015.0)</f>
        <v>2015</v>
      </c>
      <c r="B670" s="6" t="str">
        <f>IFERROR(__xludf.DUMMYFUNCTION("""COMPUTED_VALUE"""),"Setembro")</f>
        <v>Setembro</v>
      </c>
      <c r="C670" s="6" t="str">
        <f>IFERROR(__xludf.DUMMYFUNCTION("""COMPUTED_VALUE"""),"HOMICÍDIO CULPOSO")</f>
        <v>HOMICÍDIO CULPOSO</v>
      </c>
      <c r="D670" s="6">
        <f>IFERROR(__xludf.DUMMYFUNCTION("""COMPUTED_VALUE"""),0.0)</f>
        <v>0</v>
      </c>
      <c r="E670" s="6">
        <f>IFERROR(__xludf.DUMMYFUNCTION("""COMPUTED_VALUE"""),0.0)</f>
        <v>0</v>
      </c>
      <c r="F670" s="6">
        <f>IFERROR(__xludf.DUMMYFUNCTION("""COMPUTED_VALUE"""),0.0)</f>
        <v>0</v>
      </c>
      <c r="G670" s="6">
        <f>IFERROR(__xludf.DUMMYFUNCTION("""COMPUTED_VALUE"""),0.0)</f>
        <v>0</v>
      </c>
    </row>
    <row r="671">
      <c r="A671" s="6">
        <f>IFERROR(__xludf.DUMMYFUNCTION("""COMPUTED_VALUE"""),2015.0)</f>
        <v>2015</v>
      </c>
      <c r="B671" s="6" t="str">
        <f>IFERROR(__xludf.DUMMYFUNCTION("""COMPUTED_VALUE"""),"Setembro")</f>
        <v>Setembro</v>
      </c>
      <c r="C671" s="6" t="str">
        <f>IFERROR(__xludf.DUMMYFUNCTION("""COMPUTED_VALUE"""),"TENTATIVA DE HOMICÍDIO")</f>
        <v>TENTATIVA DE HOMICÍDIO</v>
      </c>
      <c r="D671" s="6">
        <f>IFERROR(__xludf.DUMMYFUNCTION("""COMPUTED_VALUE"""),1.0)</f>
        <v>1</v>
      </c>
      <c r="E671" s="6">
        <f>IFERROR(__xludf.DUMMYFUNCTION("""COMPUTED_VALUE"""),2.0)</f>
        <v>2</v>
      </c>
      <c r="F671" s="6">
        <f>IFERROR(__xludf.DUMMYFUNCTION("""COMPUTED_VALUE"""),11.0)</f>
        <v>11</v>
      </c>
      <c r="G671" s="6">
        <f>IFERROR(__xludf.DUMMYFUNCTION("""COMPUTED_VALUE"""),14.0)</f>
        <v>14</v>
      </c>
    </row>
    <row r="672">
      <c r="A672" s="6">
        <f>IFERROR(__xludf.DUMMYFUNCTION("""COMPUTED_VALUE"""),2015.0)</f>
        <v>2015</v>
      </c>
      <c r="B672" s="6" t="str">
        <f>IFERROR(__xludf.DUMMYFUNCTION("""COMPUTED_VALUE"""),"Setembro")</f>
        <v>Setembro</v>
      </c>
      <c r="C672" s="6" t="str">
        <f>IFERROR(__xludf.DUMMYFUNCTION("""COMPUTED_VALUE"""),"LESÃO CORPORAL DOLOSA")</f>
        <v>LESÃO CORPORAL DOLOSA</v>
      </c>
      <c r="D672" s="6">
        <f>IFERROR(__xludf.DUMMYFUNCTION("""COMPUTED_VALUE"""),842.0)</f>
        <v>842</v>
      </c>
      <c r="E672" s="6">
        <f>IFERROR(__xludf.DUMMYFUNCTION("""COMPUTED_VALUE"""),741.0)</f>
        <v>741</v>
      </c>
      <c r="F672" s="6">
        <f>IFERROR(__xludf.DUMMYFUNCTION("""COMPUTED_VALUE"""),2831.0)</f>
        <v>2831</v>
      </c>
      <c r="G672" s="6">
        <f>IFERROR(__xludf.DUMMYFUNCTION("""COMPUTED_VALUE"""),4414.0)</f>
        <v>4414</v>
      </c>
    </row>
    <row r="673">
      <c r="A673" s="6">
        <f>IFERROR(__xludf.DUMMYFUNCTION("""COMPUTED_VALUE"""),2015.0)</f>
        <v>2015</v>
      </c>
      <c r="B673" s="6" t="str">
        <f>IFERROR(__xludf.DUMMYFUNCTION("""COMPUTED_VALUE"""),"Setembro")</f>
        <v>Setembro</v>
      </c>
      <c r="C673" s="6" t="str">
        <f>IFERROR(__xludf.DUMMYFUNCTION("""COMPUTED_VALUE"""),"MAUS TRATOS")</f>
        <v>MAUS TRATOS</v>
      </c>
      <c r="D673" s="6">
        <f>IFERROR(__xludf.DUMMYFUNCTION("""COMPUTED_VALUE"""),2.0)</f>
        <v>2</v>
      </c>
      <c r="E673" s="6">
        <f>IFERROR(__xludf.DUMMYFUNCTION("""COMPUTED_VALUE"""),2.0)</f>
        <v>2</v>
      </c>
      <c r="F673" s="6">
        <f>IFERROR(__xludf.DUMMYFUNCTION("""COMPUTED_VALUE"""),15.0)</f>
        <v>15</v>
      </c>
      <c r="G673" s="6">
        <f>IFERROR(__xludf.DUMMYFUNCTION("""COMPUTED_VALUE"""),19.0)</f>
        <v>19</v>
      </c>
    </row>
    <row r="674">
      <c r="A674" s="6">
        <f>IFERROR(__xludf.DUMMYFUNCTION("""COMPUTED_VALUE"""),2015.0)</f>
        <v>2015</v>
      </c>
      <c r="B674" s="6" t="str">
        <f>IFERROR(__xludf.DUMMYFUNCTION("""COMPUTED_VALUE"""),"Setembro")</f>
        <v>Setembro</v>
      </c>
      <c r="C674" s="6" t="str">
        <f>IFERROR(__xludf.DUMMYFUNCTION("""COMPUTED_VALUE"""),"CALÚNIA - DIFAMAÇÃO - INJÚRIA")</f>
        <v>CALÚNIA - DIFAMAÇÃO - INJÚRIA</v>
      </c>
      <c r="D674" s="6">
        <f>IFERROR(__xludf.DUMMYFUNCTION("""COMPUTED_VALUE"""),172.0)</f>
        <v>172</v>
      </c>
      <c r="E674" s="6">
        <f>IFERROR(__xludf.DUMMYFUNCTION("""COMPUTED_VALUE"""),151.0)</f>
        <v>151</v>
      </c>
      <c r="F674" s="6">
        <f>IFERROR(__xludf.DUMMYFUNCTION("""COMPUTED_VALUE"""),649.0)</f>
        <v>649</v>
      </c>
      <c r="G674" s="6">
        <f>IFERROR(__xludf.DUMMYFUNCTION("""COMPUTED_VALUE"""),972.0)</f>
        <v>972</v>
      </c>
    </row>
    <row r="675">
      <c r="A675" s="6">
        <f>IFERROR(__xludf.DUMMYFUNCTION("""COMPUTED_VALUE"""),2015.0)</f>
        <v>2015</v>
      </c>
      <c r="B675" s="6" t="str">
        <f>IFERROR(__xludf.DUMMYFUNCTION("""COMPUTED_VALUE"""),"Setembro")</f>
        <v>Setembro</v>
      </c>
      <c r="C675" s="6" t="str">
        <f>IFERROR(__xludf.DUMMYFUNCTION("""COMPUTED_VALUE"""),"CONSTRANGIMENTO ILEGAL")</f>
        <v>CONSTRANGIMENTO ILEGAL</v>
      </c>
      <c r="D675" s="6">
        <f>IFERROR(__xludf.DUMMYFUNCTION("""COMPUTED_VALUE"""),1.0)</f>
        <v>1</v>
      </c>
      <c r="E675" s="6">
        <f>IFERROR(__xludf.DUMMYFUNCTION("""COMPUTED_VALUE"""),0.0)</f>
        <v>0</v>
      </c>
      <c r="F675" s="6">
        <f>IFERROR(__xludf.DUMMYFUNCTION("""COMPUTED_VALUE"""),5.0)</f>
        <v>5</v>
      </c>
      <c r="G675" s="6">
        <f>IFERROR(__xludf.DUMMYFUNCTION("""COMPUTED_VALUE"""),6.0)</f>
        <v>6</v>
      </c>
    </row>
    <row r="676">
      <c r="A676" s="6">
        <f>IFERROR(__xludf.DUMMYFUNCTION("""COMPUTED_VALUE"""),2015.0)</f>
        <v>2015</v>
      </c>
      <c r="B676" s="6" t="str">
        <f>IFERROR(__xludf.DUMMYFUNCTION("""COMPUTED_VALUE"""),"Setembro")</f>
        <v>Setembro</v>
      </c>
      <c r="C676" s="6" t="str">
        <f>IFERROR(__xludf.DUMMYFUNCTION("""COMPUTED_VALUE"""),"AMEAÇA")</f>
        <v>AMEAÇA</v>
      </c>
      <c r="D676" s="6">
        <f>IFERROR(__xludf.DUMMYFUNCTION("""COMPUTED_VALUE"""),811.0)</f>
        <v>811</v>
      </c>
      <c r="E676" s="6">
        <f>IFERROR(__xludf.DUMMYFUNCTION("""COMPUTED_VALUE"""),743.0)</f>
        <v>743</v>
      </c>
      <c r="F676" s="6">
        <f>IFERROR(__xludf.DUMMYFUNCTION("""COMPUTED_VALUE"""),2894.0)</f>
        <v>2894</v>
      </c>
      <c r="G676" s="6">
        <f>IFERROR(__xludf.DUMMYFUNCTION("""COMPUTED_VALUE"""),4448.0)</f>
        <v>4448</v>
      </c>
    </row>
    <row r="677">
      <c r="A677" s="6">
        <f>IFERROR(__xludf.DUMMYFUNCTION("""COMPUTED_VALUE"""),2015.0)</f>
        <v>2015</v>
      </c>
      <c r="B677" s="6" t="str">
        <f>IFERROR(__xludf.DUMMYFUNCTION("""COMPUTED_VALUE"""),"Setembro")</f>
        <v>Setembro</v>
      </c>
      <c r="C677" s="6" t="str">
        <f>IFERROR(__xludf.DUMMYFUNCTION("""COMPUTED_VALUE"""),"INVASÃO DE DOMICÍLIO")</f>
        <v>INVASÃO DE DOMICÍLIO</v>
      </c>
      <c r="D677" s="6">
        <f>IFERROR(__xludf.DUMMYFUNCTION("""COMPUTED_VALUE"""),1.0)</f>
        <v>1</v>
      </c>
      <c r="E677" s="6">
        <f>IFERROR(__xludf.DUMMYFUNCTION("""COMPUTED_VALUE"""),2.0)</f>
        <v>2</v>
      </c>
      <c r="F677" s="6">
        <f>IFERROR(__xludf.DUMMYFUNCTION("""COMPUTED_VALUE"""),12.0)</f>
        <v>12</v>
      </c>
      <c r="G677" s="6">
        <f>IFERROR(__xludf.DUMMYFUNCTION("""COMPUTED_VALUE"""),15.0)</f>
        <v>15</v>
      </c>
    </row>
    <row r="678">
      <c r="A678" s="6">
        <f>IFERROR(__xludf.DUMMYFUNCTION("""COMPUTED_VALUE"""),2015.0)</f>
        <v>2015</v>
      </c>
      <c r="B678" s="6" t="str">
        <f>IFERROR(__xludf.DUMMYFUNCTION("""COMPUTED_VALUE"""),"Setembro")</f>
        <v>Setembro</v>
      </c>
      <c r="C678" s="6" t="str">
        <f>IFERROR(__xludf.DUMMYFUNCTION("""COMPUTED_VALUE"""),"DANO")</f>
        <v>DANO</v>
      </c>
      <c r="D678" s="6">
        <f>IFERROR(__xludf.DUMMYFUNCTION("""COMPUTED_VALUE"""),9.0)</f>
        <v>9</v>
      </c>
      <c r="E678" s="6">
        <f>IFERROR(__xludf.DUMMYFUNCTION("""COMPUTED_VALUE"""),9.0)</f>
        <v>9</v>
      </c>
      <c r="F678" s="6">
        <f>IFERROR(__xludf.DUMMYFUNCTION("""COMPUTED_VALUE"""),51.0)</f>
        <v>51</v>
      </c>
      <c r="G678" s="6">
        <f>IFERROR(__xludf.DUMMYFUNCTION("""COMPUTED_VALUE"""),69.0)</f>
        <v>69</v>
      </c>
    </row>
    <row r="679">
      <c r="A679" s="6">
        <f>IFERROR(__xludf.DUMMYFUNCTION("""COMPUTED_VALUE"""),2015.0)</f>
        <v>2015</v>
      </c>
      <c r="B679" s="6" t="str">
        <f>IFERROR(__xludf.DUMMYFUNCTION("""COMPUTED_VALUE"""),"Setembro")</f>
        <v>Setembro</v>
      </c>
      <c r="C679" s="6" t="str">
        <f>IFERROR(__xludf.DUMMYFUNCTION("""COMPUTED_VALUE"""),"ESTUPRO CONSUMADO")</f>
        <v>ESTUPRO CONSUMADO</v>
      </c>
      <c r="D679" s="6">
        <f>IFERROR(__xludf.DUMMYFUNCTION("""COMPUTED_VALUE"""),9.0)</f>
        <v>9</v>
      </c>
      <c r="E679" s="6">
        <f>IFERROR(__xludf.DUMMYFUNCTION("""COMPUTED_VALUE"""),6.0)</f>
        <v>6</v>
      </c>
      <c r="F679" s="6">
        <f>IFERROR(__xludf.DUMMYFUNCTION("""COMPUTED_VALUE"""),17.0)</f>
        <v>17</v>
      </c>
      <c r="G679" s="6">
        <f>IFERROR(__xludf.DUMMYFUNCTION("""COMPUTED_VALUE"""),32.0)</f>
        <v>32</v>
      </c>
    </row>
    <row r="680">
      <c r="A680" s="6">
        <f>IFERROR(__xludf.DUMMYFUNCTION("""COMPUTED_VALUE"""),2015.0)</f>
        <v>2015</v>
      </c>
      <c r="B680" s="6" t="str">
        <f>IFERROR(__xludf.DUMMYFUNCTION("""COMPUTED_VALUE"""),"Setembro")</f>
        <v>Setembro</v>
      </c>
      <c r="C680" s="6" t="str">
        <f>IFERROR(__xludf.DUMMYFUNCTION("""COMPUTED_VALUE"""),"ESTUPRO TENTADO")</f>
        <v>ESTUPRO TENTADO</v>
      </c>
      <c r="D680" s="6">
        <f>IFERROR(__xludf.DUMMYFUNCTION("""COMPUTED_VALUE"""),0.0)</f>
        <v>0</v>
      </c>
      <c r="E680" s="6">
        <f>IFERROR(__xludf.DUMMYFUNCTION("""COMPUTED_VALUE"""),0.0)</f>
        <v>0</v>
      </c>
      <c r="F680" s="6">
        <f>IFERROR(__xludf.DUMMYFUNCTION("""COMPUTED_VALUE"""),1.0)</f>
        <v>1</v>
      </c>
      <c r="G680" s="6">
        <f>IFERROR(__xludf.DUMMYFUNCTION("""COMPUTED_VALUE"""),1.0)</f>
        <v>1</v>
      </c>
    </row>
    <row r="681">
      <c r="A681" s="6">
        <f>IFERROR(__xludf.DUMMYFUNCTION("""COMPUTED_VALUE"""),2015.0)</f>
        <v>2015</v>
      </c>
      <c r="B681" s="6" t="str">
        <f>IFERROR(__xludf.DUMMYFUNCTION("""COMPUTED_VALUE"""),"Setembro")</f>
        <v>Setembro</v>
      </c>
      <c r="C681" s="6" t="str">
        <f>IFERROR(__xludf.DUMMYFUNCTION("""COMPUTED_VALUE"""),"ESTUPRO DE VULNERÁVEL CONSUMADO")</f>
        <v>ESTUPRO DE VULNERÁVEL CONSUMADO</v>
      </c>
      <c r="D681" s="6">
        <f>IFERROR(__xludf.DUMMYFUNCTION("""COMPUTED_VALUE"""),3.0)</f>
        <v>3</v>
      </c>
      <c r="E681" s="6">
        <f>IFERROR(__xludf.DUMMYFUNCTION("""COMPUTED_VALUE"""),4.0)</f>
        <v>4</v>
      </c>
      <c r="F681" s="6">
        <f>IFERROR(__xludf.DUMMYFUNCTION("""COMPUTED_VALUE"""),16.0)</f>
        <v>16</v>
      </c>
      <c r="G681" s="6">
        <f>IFERROR(__xludf.DUMMYFUNCTION("""COMPUTED_VALUE"""),23.0)</f>
        <v>23</v>
      </c>
    </row>
    <row r="682">
      <c r="A682" s="6">
        <f>IFERROR(__xludf.DUMMYFUNCTION("""COMPUTED_VALUE"""),2015.0)</f>
        <v>2015</v>
      </c>
      <c r="B682" s="6" t="str">
        <f>IFERROR(__xludf.DUMMYFUNCTION("""COMPUTED_VALUE"""),"Setembro")</f>
        <v>Setembro</v>
      </c>
      <c r="C682" s="6" t="str">
        <f>IFERROR(__xludf.DUMMYFUNCTION("""COMPUTED_VALUE"""),"OUTROS C/C/ DIGNIDADE SEXUAL")</f>
        <v>OUTROS C/C/ DIGNIDADE SEXUAL</v>
      </c>
      <c r="D682" s="6">
        <f>IFERROR(__xludf.DUMMYFUNCTION("""COMPUTED_VALUE"""),0.0)</f>
        <v>0</v>
      </c>
      <c r="E682" s="6">
        <f>IFERROR(__xludf.DUMMYFUNCTION("""COMPUTED_VALUE"""),0.0)</f>
        <v>0</v>
      </c>
      <c r="F682" s="6">
        <f>IFERROR(__xludf.DUMMYFUNCTION("""COMPUTED_VALUE"""),2.0)</f>
        <v>2</v>
      </c>
      <c r="G682" s="6">
        <f>IFERROR(__xludf.DUMMYFUNCTION("""COMPUTED_VALUE"""),2.0)</f>
        <v>2</v>
      </c>
    </row>
    <row r="683">
      <c r="A683" s="6">
        <f>IFERROR(__xludf.DUMMYFUNCTION("""COMPUTED_VALUE"""),2015.0)</f>
        <v>2015</v>
      </c>
      <c r="B683" s="6" t="str">
        <f>IFERROR(__xludf.DUMMYFUNCTION("""COMPUTED_VALUE"""),"Outubro")</f>
        <v>Outubro</v>
      </c>
      <c r="C683" s="6" t="str">
        <f>IFERROR(__xludf.DUMMYFUNCTION("""COMPUTED_VALUE"""),"HOMICÍDIO DOLOSO (exclui FEMINICÍDIO)")</f>
        <v>HOMICÍDIO DOLOSO (exclui FEMINICÍDIO)</v>
      </c>
      <c r="D683" s="6">
        <f>IFERROR(__xludf.DUMMYFUNCTION("""COMPUTED_VALUE"""),2.0)</f>
        <v>2</v>
      </c>
      <c r="E683" s="6">
        <f>IFERROR(__xludf.DUMMYFUNCTION("""COMPUTED_VALUE"""),0.0)</f>
        <v>0</v>
      </c>
      <c r="F683" s="6">
        <f>IFERROR(__xludf.DUMMYFUNCTION("""COMPUTED_VALUE"""),1.0)</f>
        <v>1</v>
      </c>
      <c r="G683" s="6">
        <f>IFERROR(__xludf.DUMMYFUNCTION("""COMPUTED_VALUE"""),3.0)</f>
        <v>3</v>
      </c>
    </row>
    <row r="684">
      <c r="A684" s="6">
        <f>IFERROR(__xludf.DUMMYFUNCTION("""COMPUTED_VALUE"""),2015.0)</f>
        <v>2015</v>
      </c>
      <c r="B684" s="6" t="str">
        <f>IFERROR(__xludf.DUMMYFUNCTION("""COMPUTED_VALUE"""),"Outubro")</f>
        <v>Outubro</v>
      </c>
      <c r="C684" s="6" t="str">
        <f>IFERROR(__xludf.DUMMYFUNCTION("""COMPUTED_VALUE"""),"FEMINICÍDIO")</f>
        <v>FEMINICÍDIO</v>
      </c>
      <c r="D684" s="6">
        <f>IFERROR(__xludf.DUMMYFUNCTION("""COMPUTED_VALUE"""),1.0)</f>
        <v>1</v>
      </c>
      <c r="E684" s="6">
        <f>IFERROR(__xludf.DUMMYFUNCTION("""COMPUTED_VALUE"""),0.0)</f>
        <v>0</v>
      </c>
      <c r="F684" s="6">
        <f>IFERROR(__xludf.DUMMYFUNCTION("""COMPUTED_VALUE"""),2.0)</f>
        <v>2</v>
      </c>
      <c r="G684" s="6">
        <f>IFERROR(__xludf.DUMMYFUNCTION("""COMPUTED_VALUE"""),3.0)</f>
        <v>3</v>
      </c>
    </row>
    <row r="685">
      <c r="A685" s="6">
        <f>IFERROR(__xludf.DUMMYFUNCTION("""COMPUTED_VALUE"""),2015.0)</f>
        <v>2015</v>
      </c>
      <c r="B685" s="6" t="str">
        <f>IFERROR(__xludf.DUMMYFUNCTION("""COMPUTED_VALUE"""),"Outubro")</f>
        <v>Outubro</v>
      </c>
      <c r="C685" s="6" t="str">
        <f>IFERROR(__xludf.DUMMYFUNCTION("""COMPUTED_VALUE"""),"HOMICÍDIO CULPOSO")</f>
        <v>HOMICÍDIO CULPOSO</v>
      </c>
      <c r="D685" s="6">
        <f>IFERROR(__xludf.DUMMYFUNCTION("""COMPUTED_VALUE"""),0.0)</f>
        <v>0</v>
      </c>
      <c r="E685" s="6">
        <f>IFERROR(__xludf.DUMMYFUNCTION("""COMPUTED_VALUE"""),0.0)</f>
        <v>0</v>
      </c>
      <c r="F685" s="6">
        <f>IFERROR(__xludf.DUMMYFUNCTION("""COMPUTED_VALUE"""),0.0)</f>
        <v>0</v>
      </c>
      <c r="G685" s="6">
        <f>IFERROR(__xludf.DUMMYFUNCTION("""COMPUTED_VALUE"""),0.0)</f>
        <v>0</v>
      </c>
    </row>
    <row r="686">
      <c r="A686" s="6">
        <f>IFERROR(__xludf.DUMMYFUNCTION("""COMPUTED_VALUE"""),2015.0)</f>
        <v>2015</v>
      </c>
      <c r="B686" s="6" t="str">
        <f>IFERROR(__xludf.DUMMYFUNCTION("""COMPUTED_VALUE"""),"Outubro")</f>
        <v>Outubro</v>
      </c>
      <c r="C686" s="6" t="str">
        <f>IFERROR(__xludf.DUMMYFUNCTION("""COMPUTED_VALUE"""),"TENTATIVA DE HOMICÍDIO")</f>
        <v>TENTATIVA DE HOMICÍDIO</v>
      </c>
      <c r="D686" s="6">
        <f>IFERROR(__xludf.DUMMYFUNCTION("""COMPUTED_VALUE"""),2.0)</f>
        <v>2</v>
      </c>
      <c r="E686" s="6">
        <f>IFERROR(__xludf.DUMMYFUNCTION("""COMPUTED_VALUE"""),3.0)</f>
        <v>3</v>
      </c>
      <c r="F686" s="6">
        <f>IFERROR(__xludf.DUMMYFUNCTION("""COMPUTED_VALUE"""),12.0)</f>
        <v>12</v>
      </c>
      <c r="G686" s="6">
        <f>IFERROR(__xludf.DUMMYFUNCTION("""COMPUTED_VALUE"""),17.0)</f>
        <v>17</v>
      </c>
    </row>
    <row r="687">
      <c r="A687" s="6">
        <f>IFERROR(__xludf.DUMMYFUNCTION("""COMPUTED_VALUE"""),2015.0)</f>
        <v>2015</v>
      </c>
      <c r="B687" s="6" t="str">
        <f>IFERROR(__xludf.DUMMYFUNCTION("""COMPUTED_VALUE"""),"Outubro")</f>
        <v>Outubro</v>
      </c>
      <c r="C687" s="6" t="str">
        <f>IFERROR(__xludf.DUMMYFUNCTION("""COMPUTED_VALUE"""),"LESÃO CORPORAL DOLOSA")</f>
        <v>LESÃO CORPORAL DOLOSA</v>
      </c>
      <c r="D687" s="6">
        <f>IFERROR(__xludf.DUMMYFUNCTION("""COMPUTED_VALUE"""),913.0)</f>
        <v>913</v>
      </c>
      <c r="E687" s="6">
        <f>IFERROR(__xludf.DUMMYFUNCTION("""COMPUTED_VALUE"""),805.0)</f>
        <v>805</v>
      </c>
      <c r="F687" s="6">
        <f>IFERROR(__xludf.DUMMYFUNCTION("""COMPUTED_VALUE"""),2914.0)</f>
        <v>2914</v>
      </c>
      <c r="G687" s="6">
        <f>IFERROR(__xludf.DUMMYFUNCTION("""COMPUTED_VALUE"""),4632.0)</f>
        <v>4632</v>
      </c>
    </row>
    <row r="688">
      <c r="A688" s="6">
        <f>IFERROR(__xludf.DUMMYFUNCTION("""COMPUTED_VALUE"""),2015.0)</f>
        <v>2015</v>
      </c>
      <c r="B688" s="6" t="str">
        <f>IFERROR(__xludf.DUMMYFUNCTION("""COMPUTED_VALUE"""),"Outubro")</f>
        <v>Outubro</v>
      </c>
      <c r="C688" s="6" t="str">
        <f>IFERROR(__xludf.DUMMYFUNCTION("""COMPUTED_VALUE"""),"MAUS TRATOS")</f>
        <v>MAUS TRATOS</v>
      </c>
      <c r="D688" s="6">
        <f>IFERROR(__xludf.DUMMYFUNCTION("""COMPUTED_VALUE"""),3.0)</f>
        <v>3</v>
      </c>
      <c r="E688" s="6">
        <f>IFERROR(__xludf.DUMMYFUNCTION("""COMPUTED_VALUE"""),2.0)</f>
        <v>2</v>
      </c>
      <c r="F688" s="6">
        <f>IFERROR(__xludf.DUMMYFUNCTION("""COMPUTED_VALUE"""),17.0)</f>
        <v>17</v>
      </c>
      <c r="G688" s="6">
        <f>IFERROR(__xludf.DUMMYFUNCTION("""COMPUTED_VALUE"""),22.0)</f>
        <v>22</v>
      </c>
    </row>
    <row r="689">
      <c r="A689" s="6">
        <f>IFERROR(__xludf.DUMMYFUNCTION("""COMPUTED_VALUE"""),2015.0)</f>
        <v>2015</v>
      </c>
      <c r="B689" s="6" t="str">
        <f>IFERROR(__xludf.DUMMYFUNCTION("""COMPUTED_VALUE"""),"Outubro")</f>
        <v>Outubro</v>
      </c>
      <c r="C689" s="6" t="str">
        <f>IFERROR(__xludf.DUMMYFUNCTION("""COMPUTED_VALUE"""),"CALÚNIA - DIFAMAÇÃO - INJÚRIA")</f>
        <v>CALÚNIA - DIFAMAÇÃO - INJÚRIA</v>
      </c>
      <c r="D689" s="6">
        <f>IFERROR(__xludf.DUMMYFUNCTION("""COMPUTED_VALUE"""),191.0)</f>
        <v>191</v>
      </c>
      <c r="E689" s="6">
        <f>IFERROR(__xludf.DUMMYFUNCTION("""COMPUTED_VALUE"""),168.0)</f>
        <v>168</v>
      </c>
      <c r="F689" s="6">
        <f>IFERROR(__xludf.DUMMYFUNCTION("""COMPUTED_VALUE"""),702.0)</f>
        <v>702</v>
      </c>
      <c r="G689" s="6">
        <f>IFERROR(__xludf.DUMMYFUNCTION("""COMPUTED_VALUE"""),1061.0)</f>
        <v>1061</v>
      </c>
    </row>
    <row r="690">
      <c r="A690" s="6">
        <f>IFERROR(__xludf.DUMMYFUNCTION("""COMPUTED_VALUE"""),2015.0)</f>
        <v>2015</v>
      </c>
      <c r="B690" s="6" t="str">
        <f>IFERROR(__xludf.DUMMYFUNCTION("""COMPUTED_VALUE"""),"Outubro")</f>
        <v>Outubro</v>
      </c>
      <c r="C690" s="6" t="str">
        <f>IFERROR(__xludf.DUMMYFUNCTION("""COMPUTED_VALUE"""),"CONSTRANGIMENTO ILEGAL")</f>
        <v>CONSTRANGIMENTO ILEGAL</v>
      </c>
      <c r="D690" s="6">
        <f>IFERROR(__xludf.DUMMYFUNCTION("""COMPUTED_VALUE"""),1.0)</f>
        <v>1</v>
      </c>
      <c r="E690" s="6">
        <f>IFERROR(__xludf.DUMMYFUNCTION("""COMPUTED_VALUE"""),0.0)</f>
        <v>0</v>
      </c>
      <c r="F690" s="6">
        <f>IFERROR(__xludf.DUMMYFUNCTION("""COMPUTED_VALUE"""),6.0)</f>
        <v>6</v>
      </c>
      <c r="G690" s="6">
        <f>IFERROR(__xludf.DUMMYFUNCTION("""COMPUTED_VALUE"""),7.0)</f>
        <v>7</v>
      </c>
    </row>
    <row r="691">
      <c r="A691" s="6">
        <f>IFERROR(__xludf.DUMMYFUNCTION("""COMPUTED_VALUE"""),2015.0)</f>
        <v>2015</v>
      </c>
      <c r="B691" s="6" t="str">
        <f>IFERROR(__xludf.DUMMYFUNCTION("""COMPUTED_VALUE"""),"Outubro")</f>
        <v>Outubro</v>
      </c>
      <c r="C691" s="6" t="str">
        <f>IFERROR(__xludf.DUMMYFUNCTION("""COMPUTED_VALUE"""),"AMEAÇA")</f>
        <v>AMEAÇA</v>
      </c>
      <c r="D691" s="6">
        <f>IFERROR(__xludf.DUMMYFUNCTION("""COMPUTED_VALUE"""),884.0)</f>
        <v>884</v>
      </c>
      <c r="E691" s="6">
        <f>IFERROR(__xludf.DUMMYFUNCTION("""COMPUTED_VALUE"""),812.0)</f>
        <v>812</v>
      </c>
      <c r="F691" s="6">
        <f>IFERROR(__xludf.DUMMYFUNCTION("""COMPUTED_VALUE"""),3012.0)</f>
        <v>3012</v>
      </c>
      <c r="G691" s="6">
        <f>IFERROR(__xludf.DUMMYFUNCTION("""COMPUTED_VALUE"""),4708.0)</f>
        <v>4708</v>
      </c>
    </row>
    <row r="692">
      <c r="A692" s="6">
        <f>IFERROR(__xludf.DUMMYFUNCTION("""COMPUTED_VALUE"""),2015.0)</f>
        <v>2015</v>
      </c>
      <c r="B692" s="6" t="str">
        <f>IFERROR(__xludf.DUMMYFUNCTION("""COMPUTED_VALUE"""),"Outubro")</f>
        <v>Outubro</v>
      </c>
      <c r="C692" s="6" t="str">
        <f>IFERROR(__xludf.DUMMYFUNCTION("""COMPUTED_VALUE"""),"INVASÃO DE DOMICÍLIO")</f>
        <v>INVASÃO DE DOMICÍLIO</v>
      </c>
      <c r="D692" s="6">
        <f>IFERROR(__xludf.DUMMYFUNCTION("""COMPUTED_VALUE"""),1.0)</f>
        <v>1</v>
      </c>
      <c r="E692" s="6">
        <f>IFERROR(__xludf.DUMMYFUNCTION("""COMPUTED_VALUE"""),2.0)</f>
        <v>2</v>
      </c>
      <c r="F692" s="6">
        <f>IFERROR(__xludf.DUMMYFUNCTION("""COMPUTED_VALUE"""),13.0)</f>
        <v>13</v>
      </c>
      <c r="G692" s="6">
        <f>IFERROR(__xludf.DUMMYFUNCTION("""COMPUTED_VALUE"""),16.0)</f>
        <v>16</v>
      </c>
    </row>
    <row r="693">
      <c r="A693" s="6">
        <f>IFERROR(__xludf.DUMMYFUNCTION("""COMPUTED_VALUE"""),2015.0)</f>
        <v>2015</v>
      </c>
      <c r="B693" s="6" t="str">
        <f>IFERROR(__xludf.DUMMYFUNCTION("""COMPUTED_VALUE"""),"Outubro")</f>
        <v>Outubro</v>
      </c>
      <c r="C693" s="6" t="str">
        <f>IFERROR(__xludf.DUMMYFUNCTION("""COMPUTED_VALUE"""),"DANO")</f>
        <v>DANO</v>
      </c>
      <c r="D693" s="6">
        <f>IFERROR(__xludf.DUMMYFUNCTION("""COMPUTED_VALUE"""),11.0)</f>
        <v>11</v>
      </c>
      <c r="E693" s="6">
        <f>IFERROR(__xludf.DUMMYFUNCTION("""COMPUTED_VALUE"""),10.0)</f>
        <v>10</v>
      </c>
      <c r="F693" s="6">
        <f>IFERROR(__xludf.DUMMYFUNCTION("""COMPUTED_VALUE"""),56.0)</f>
        <v>56</v>
      </c>
      <c r="G693" s="6">
        <f>IFERROR(__xludf.DUMMYFUNCTION("""COMPUTED_VALUE"""),77.0)</f>
        <v>77</v>
      </c>
    </row>
    <row r="694">
      <c r="A694" s="6">
        <f>IFERROR(__xludf.DUMMYFUNCTION("""COMPUTED_VALUE"""),2015.0)</f>
        <v>2015</v>
      </c>
      <c r="B694" s="6" t="str">
        <f>IFERROR(__xludf.DUMMYFUNCTION("""COMPUTED_VALUE"""),"Outubro")</f>
        <v>Outubro</v>
      </c>
      <c r="C694" s="6" t="str">
        <f>IFERROR(__xludf.DUMMYFUNCTION("""COMPUTED_VALUE"""),"ESTUPRO CONSUMADO")</f>
        <v>ESTUPRO CONSUMADO</v>
      </c>
      <c r="D694" s="6">
        <f>IFERROR(__xludf.DUMMYFUNCTION("""COMPUTED_VALUE"""),10.0)</f>
        <v>10</v>
      </c>
      <c r="E694" s="6">
        <f>IFERROR(__xludf.DUMMYFUNCTION("""COMPUTED_VALUE"""),7.0)</f>
        <v>7</v>
      </c>
      <c r="F694" s="6">
        <f>IFERROR(__xludf.DUMMYFUNCTION("""COMPUTED_VALUE"""),18.0)</f>
        <v>18</v>
      </c>
      <c r="G694" s="6">
        <f>IFERROR(__xludf.DUMMYFUNCTION("""COMPUTED_VALUE"""),35.0)</f>
        <v>35</v>
      </c>
    </row>
    <row r="695">
      <c r="A695" s="6">
        <f>IFERROR(__xludf.DUMMYFUNCTION("""COMPUTED_VALUE"""),2015.0)</f>
        <v>2015</v>
      </c>
      <c r="B695" s="6" t="str">
        <f>IFERROR(__xludf.DUMMYFUNCTION("""COMPUTED_VALUE"""),"Outubro")</f>
        <v>Outubro</v>
      </c>
      <c r="C695" s="6" t="str">
        <f>IFERROR(__xludf.DUMMYFUNCTION("""COMPUTED_VALUE"""),"ESTUPRO TENTADO")</f>
        <v>ESTUPRO TENTADO</v>
      </c>
      <c r="D695" s="6">
        <f>IFERROR(__xludf.DUMMYFUNCTION("""COMPUTED_VALUE"""),0.0)</f>
        <v>0</v>
      </c>
      <c r="E695" s="6">
        <f>IFERROR(__xludf.DUMMYFUNCTION("""COMPUTED_VALUE"""),0.0)</f>
        <v>0</v>
      </c>
      <c r="F695" s="6">
        <f>IFERROR(__xludf.DUMMYFUNCTION("""COMPUTED_VALUE"""),1.0)</f>
        <v>1</v>
      </c>
      <c r="G695" s="6">
        <f>IFERROR(__xludf.DUMMYFUNCTION("""COMPUTED_VALUE"""),1.0)</f>
        <v>1</v>
      </c>
    </row>
    <row r="696">
      <c r="A696" s="6">
        <f>IFERROR(__xludf.DUMMYFUNCTION("""COMPUTED_VALUE"""),2015.0)</f>
        <v>2015</v>
      </c>
      <c r="B696" s="6" t="str">
        <f>IFERROR(__xludf.DUMMYFUNCTION("""COMPUTED_VALUE"""),"Outubro")</f>
        <v>Outubro</v>
      </c>
      <c r="C696" s="6" t="str">
        <f>IFERROR(__xludf.DUMMYFUNCTION("""COMPUTED_VALUE"""),"ESTUPRO DE VULNERÁVEL CONSUMADO")</f>
        <v>ESTUPRO DE VULNERÁVEL CONSUMADO</v>
      </c>
      <c r="D696" s="6">
        <f>IFERROR(__xludf.DUMMYFUNCTION("""COMPUTED_VALUE"""),3.0)</f>
        <v>3</v>
      </c>
      <c r="E696" s="6">
        <f>IFERROR(__xludf.DUMMYFUNCTION("""COMPUTED_VALUE"""),4.0)</f>
        <v>4</v>
      </c>
      <c r="F696" s="6">
        <f>IFERROR(__xludf.DUMMYFUNCTION("""COMPUTED_VALUE"""),18.0)</f>
        <v>18</v>
      </c>
      <c r="G696" s="6">
        <f>IFERROR(__xludf.DUMMYFUNCTION("""COMPUTED_VALUE"""),25.0)</f>
        <v>25</v>
      </c>
    </row>
    <row r="697">
      <c r="A697" s="6">
        <f>IFERROR(__xludf.DUMMYFUNCTION("""COMPUTED_VALUE"""),2015.0)</f>
        <v>2015</v>
      </c>
      <c r="B697" s="6" t="str">
        <f>IFERROR(__xludf.DUMMYFUNCTION("""COMPUTED_VALUE"""),"Outubro")</f>
        <v>Outubro</v>
      </c>
      <c r="C697" s="6" t="str">
        <f>IFERROR(__xludf.DUMMYFUNCTION("""COMPUTED_VALUE"""),"OUTROS C/C/ DIGNIDADE SEXUAL")</f>
        <v>OUTROS C/C/ DIGNIDADE SEXUAL</v>
      </c>
      <c r="D697" s="6">
        <f>IFERROR(__xludf.DUMMYFUNCTION("""COMPUTED_VALUE"""),0.0)</f>
        <v>0</v>
      </c>
      <c r="E697" s="6">
        <f>IFERROR(__xludf.DUMMYFUNCTION("""COMPUTED_VALUE"""),0.0)</f>
        <v>0</v>
      </c>
      <c r="F697" s="6">
        <f>IFERROR(__xludf.DUMMYFUNCTION("""COMPUTED_VALUE"""),2.0)</f>
        <v>2</v>
      </c>
      <c r="G697" s="6">
        <f>IFERROR(__xludf.DUMMYFUNCTION("""COMPUTED_VALUE"""),2.0)</f>
        <v>2</v>
      </c>
    </row>
    <row r="698">
      <c r="A698" s="6">
        <f>IFERROR(__xludf.DUMMYFUNCTION("""COMPUTED_VALUE"""),2015.0)</f>
        <v>2015</v>
      </c>
      <c r="B698" s="6" t="str">
        <f>IFERROR(__xludf.DUMMYFUNCTION("""COMPUTED_VALUE"""),"Novembro")</f>
        <v>Novembro</v>
      </c>
      <c r="C698" s="6" t="str">
        <f>IFERROR(__xludf.DUMMYFUNCTION("""COMPUTED_VALUE"""),"HOMICÍDIO DOLOSO (exclui FEMINICÍDIO)")</f>
        <v>HOMICÍDIO DOLOSO (exclui FEMINICÍDIO)</v>
      </c>
      <c r="D698" s="6">
        <f>IFERROR(__xludf.DUMMYFUNCTION("""COMPUTED_VALUE"""),1.0)</f>
        <v>1</v>
      </c>
      <c r="E698" s="6">
        <f>IFERROR(__xludf.DUMMYFUNCTION("""COMPUTED_VALUE"""),1.0)</f>
        <v>1</v>
      </c>
      <c r="F698" s="6">
        <f>IFERROR(__xludf.DUMMYFUNCTION("""COMPUTED_VALUE"""),2.0)</f>
        <v>2</v>
      </c>
      <c r="G698" s="6">
        <f>IFERROR(__xludf.DUMMYFUNCTION("""COMPUTED_VALUE"""),4.0)</f>
        <v>4</v>
      </c>
    </row>
    <row r="699">
      <c r="A699" s="6">
        <f>IFERROR(__xludf.DUMMYFUNCTION("""COMPUTED_VALUE"""),2015.0)</f>
        <v>2015</v>
      </c>
      <c r="B699" s="6" t="str">
        <f>IFERROR(__xludf.DUMMYFUNCTION("""COMPUTED_VALUE"""),"Novembro")</f>
        <v>Novembro</v>
      </c>
      <c r="C699" s="6" t="str">
        <f>IFERROR(__xludf.DUMMYFUNCTION("""COMPUTED_VALUE"""),"FEMINICÍDIO")</f>
        <v>FEMINICÍDIO</v>
      </c>
      <c r="D699" s="6">
        <f>IFERROR(__xludf.DUMMYFUNCTION("""COMPUTED_VALUE"""),1.0)</f>
        <v>1</v>
      </c>
      <c r="E699" s="6">
        <f>IFERROR(__xludf.DUMMYFUNCTION("""COMPUTED_VALUE"""),0.0)</f>
        <v>0</v>
      </c>
      <c r="F699" s="6">
        <f>IFERROR(__xludf.DUMMYFUNCTION("""COMPUTED_VALUE"""),1.0)</f>
        <v>1</v>
      </c>
      <c r="G699" s="6">
        <f>IFERROR(__xludf.DUMMYFUNCTION("""COMPUTED_VALUE"""),2.0)</f>
        <v>2</v>
      </c>
    </row>
    <row r="700">
      <c r="A700" s="6">
        <f>IFERROR(__xludf.DUMMYFUNCTION("""COMPUTED_VALUE"""),2015.0)</f>
        <v>2015</v>
      </c>
      <c r="B700" s="6" t="str">
        <f>IFERROR(__xludf.DUMMYFUNCTION("""COMPUTED_VALUE"""),"Novembro")</f>
        <v>Novembro</v>
      </c>
      <c r="C700" s="6" t="str">
        <f>IFERROR(__xludf.DUMMYFUNCTION("""COMPUTED_VALUE"""),"HOMICÍDIO CULPOSO")</f>
        <v>HOMICÍDIO CULPOSO</v>
      </c>
      <c r="D700" s="6">
        <f>IFERROR(__xludf.DUMMYFUNCTION("""COMPUTED_VALUE"""),0.0)</f>
        <v>0</v>
      </c>
      <c r="E700" s="6">
        <f>IFERROR(__xludf.DUMMYFUNCTION("""COMPUTED_VALUE"""),0.0)</f>
        <v>0</v>
      </c>
      <c r="F700" s="6">
        <f>IFERROR(__xludf.DUMMYFUNCTION("""COMPUTED_VALUE"""),0.0)</f>
        <v>0</v>
      </c>
      <c r="G700" s="6">
        <f>IFERROR(__xludf.DUMMYFUNCTION("""COMPUTED_VALUE"""),0.0)</f>
        <v>0</v>
      </c>
    </row>
    <row r="701">
      <c r="A701" s="6">
        <f>IFERROR(__xludf.DUMMYFUNCTION("""COMPUTED_VALUE"""),2015.0)</f>
        <v>2015</v>
      </c>
      <c r="B701" s="6" t="str">
        <f>IFERROR(__xludf.DUMMYFUNCTION("""COMPUTED_VALUE"""),"Novembro")</f>
        <v>Novembro</v>
      </c>
      <c r="C701" s="6" t="str">
        <f>IFERROR(__xludf.DUMMYFUNCTION("""COMPUTED_VALUE"""),"TENTATIVA DE HOMICÍDIO")</f>
        <v>TENTATIVA DE HOMICÍDIO</v>
      </c>
      <c r="D701" s="6">
        <f>IFERROR(__xludf.DUMMYFUNCTION("""COMPUTED_VALUE"""),1.0)</f>
        <v>1</v>
      </c>
      <c r="E701" s="6">
        <f>IFERROR(__xludf.DUMMYFUNCTION("""COMPUTED_VALUE"""),1.0)</f>
        <v>1</v>
      </c>
      <c r="F701" s="6">
        <f>IFERROR(__xludf.DUMMYFUNCTION("""COMPUTED_VALUE"""),13.0)</f>
        <v>13</v>
      </c>
      <c r="G701" s="6">
        <f>IFERROR(__xludf.DUMMYFUNCTION("""COMPUTED_VALUE"""),15.0)</f>
        <v>15</v>
      </c>
    </row>
    <row r="702">
      <c r="A702" s="6">
        <f>IFERROR(__xludf.DUMMYFUNCTION("""COMPUTED_VALUE"""),2015.0)</f>
        <v>2015</v>
      </c>
      <c r="B702" s="6" t="str">
        <f>IFERROR(__xludf.DUMMYFUNCTION("""COMPUTED_VALUE"""),"Novembro")</f>
        <v>Novembro</v>
      </c>
      <c r="C702" s="6" t="str">
        <f>IFERROR(__xludf.DUMMYFUNCTION("""COMPUTED_VALUE"""),"LESÃO CORPORAL DOLOSA")</f>
        <v>LESÃO CORPORAL DOLOSA</v>
      </c>
      <c r="D702" s="6">
        <f>IFERROR(__xludf.DUMMYFUNCTION("""COMPUTED_VALUE"""),934.0)</f>
        <v>934</v>
      </c>
      <c r="E702" s="6">
        <f>IFERROR(__xludf.DUMMYFUNCTION("""COMPUTED_VALUE"""),821.0)</f>
        <v>821</v>
      </c>
      <c r="F702" s="6">
        <f>IFERROR(__xludf.DUMMYFUNCTION("""COMPUTED_VALUE"""),3012.0)</f>
        <v>3012</v>
      </c>
      <c r="G702" s="6">
        <f>IFERROR(__xludf.DUMMYFUNCTION("""COMPUTED_VALUE"""),4767.0)</f>
        <v>4767</v>
      </c>
    </row>
    <row r="703">
      <c r="A703" s="6">
        <f>IFERROR(__xludf.DUMMYFUNCTION("""COMPUTED_VALUE"""),2015.0)</f>
        <v>2015</v>
      </c>
      <c r="B703" s="6" t="str">
        <f>IFERROR(__xludf.DUMMYFUNCTION("""COMPUTED_VALUE"""),"Novembro")</f>
        <v>Novembro</v>
      </c>
      <c r="C703" s="6" t="str">
        <f>IFERROR(__xludf.DUMMYFUNCTION("""COMPUTED_VALUE"""),"MAUS TRATOS")</f>
        <v>MAUS TRATOS</v>
      </c>
      <c r="D703" s="6">
        <f>IFERROR(__xludf.DUMMYFUNCTION("""COMPUTED_VALUE"""),2.0)</f>
        <v>2</v>
      </c>
      <c r="E703" s="6">
        <f>IFERROR(__xludf.DUMMYFUNCTION("""COMPUTED_VALUE"""),3.0)</f>
        <v>3</v>
      </c>
      <c r="F703" s="6">
        <f>IFERROR(__xludf.DUMMYFUNCTION("""COMPUTED_VALUE"""),15.0)</f>
        <v>15</v>
      </c>
      <c r="G703" s="6">
        <f>IFERROR(__xludf.DUMMYFUNCTION("""COMPUTED_VALUE"""),20.0)</f>
        <v>20</v>
      </c>
    </row>
    <row r="704">
      <c r="A704" s="6">
        <f>IFERROR(__xludf.DUMMYFUNCTION("""COMPUTED_VALUE"""),2015.0)</f>
        <v>2015</v>
      </c>
      <c r="B704" s="6" t="str">
        <f>IFERROR(__xludf.DUMMYFUNCTION("""COMPUTED_VALUE"""),"Novembro")</f>
        <v>Novembro</v>
      </c>
      <c r="C704" s="6" t="str">
        <f>IFERROR(__xludf.DUMMYFUNCTION("""COMPUTED_VALUE"""),"CALÚNIA - DIFAMAÇÃO - INJÚRIA")</f>
        <v>CALÚNIA - DIFAMAÇÃO - INJÚRIA</v>
      </c>
      <c r="D704" s="6">
        <f>IFERROR(__xludf.DUMMYFUNCTION("""COMPUTED_VALUE"""),182.0)</f>
        <v>182</v>
      </c>
      <c r="E704" s="6">
        <f>IFERROR(__xludf.DUMMYFUNCTION("""COMPUTED_VALUE"""),159.0)</f>
        <v>159</v>
      </c>
      <c r="F704" s="6">
        <f>IFERROR(__xludf.DUMMYFUNCTION("""COMPUTED_VALUE"""),688.0)</f>
        <v>688</v>
      </c>
      <c r="G704" s="6">
        <f>IFERROR(__xludf.DUMMYFUNCTION("""COMPUTED_VALUE"""),1029.0)</f>
        <v>1029</v>
      </c>
    </row>
    <row r="705">
      <c r="A705" s="6">
        <f>IFERROR(__xludf.DUMMYFUNCTION("""COMPUTED_VALUE"""),2015.0)</f>
        <v>2015</v>
      </c>
      <c r="B705" s="6" t="str">
        <f>IFERROR(__xludf.DUMMYFUNCTION("""COMPUTED_VALUE"""),"Novembro")</f>
        <v>Novembro</v>
      </c>
      <c r="C705" s="6" t="str">
        <f>IFERROR(__xludf.DUMMYFUNCTION("""COMPUTED_VALUE"""),"CONSTRANGIMENTO ILEGAL")</f>
        <v>CONSTRANGIMENTO ILEGAL</v>
      </c>
      <c r="D705" s="6">
        <f>IFERROR(__xludf.DUMMYFUNCTION("""COMPUTED_VALUE"""),1.0)</f>
        <v>1</v>
      </c>
      <c r="E705" s="6">
        <f>IFERROR(__xludf.DUMMYFUNCTION("""COMPUTED_VALUE"""),0.0)</f>
        <v>0</v>
      </c>
      <c r="F705" s="6">
        <f>IFERROR(__xludf.DUMMYFUNCTION("""COMPUTED_VALUE"""),5.0)</f>
        <v>5</v>
      </c>
      <c r="G705" s="6">
        <f>IFERROR(__xludf.DUMMYFUNCTION("""COMPUTED_VALUE"""),6.0)</f>
        <v>6</v>
      </c>
    </row>
    <row r="706">
      <c r="A706" s="6">
        <f>IFERROR(__xludf.DUMMYFUNCTION("""COMPUTED_VALUE"""),2015.0)</f>
        <v>2015</v>
      </c>
      <c r="B706" s="6" t="str">
        <f>IFERROR(__xludf.DUMMYFUNCTION("""COMPUTED_VALUE"""),"Novembro")</f>
        <v>Novembro</v>
      </c>
      <c r="C706" s="6" t="str">
        <f>IFERROR(__xludf.DUMMYFUNCTION("""COMPUTED_VALUE"""),"AMEAÇA")</f>
        <v>AMEAÇA</v>
      </c>
      <c r="D706" s="6">
        <f>IFERROR(__xludf.DUMMYFUNCTION("""COMPUTED_VALUE"""),865.0)</f>
        <v>865</v>
      </c>
      <c r="E706" s="6">
        <f>IFERROR(__xludf.DUMMYFUNCTION("""COMPUTED_VALUE"""),788.0)</f>
        <v>788</v>
      </c>
      <c r="F706" s="6">
        <f>IFERROR(__xludf.DUMMYFUNCTION("""COMPUTED_VALUE"""),2964.0)</f>
        <v>2964</v>
      </c>
      <c r="G706" s="6">
        <f>IFERROR(__xludf.DUMMYFUNCTION("""COMPUTED_VALUE"""),4617.0)</f>
        <v>4617</v>
      </c>
    </row>
    <row r="707">
      <c r="A707" s="6">
        <f>IFERROR(__xludf.DUMMYFUNCTION("""COMPUTED_VALUE"""),2015.0)</f>
        <v>2015</v>
      </c>
      <c r="B707" s="6" t="str">
        <f>IFERROR(__xludf.DUMMYFUNCTION("""COMPUTED_VALUE"""),"Novembro")</f>
        <v>Novembro</v>
      </c>
      <c r="C707" s="6" t="str">
        <f>IFERROR(__xludf.DUMMYFUNCTION("""COMPUTED_VALUE"""),"INVASÃO DE DOMICÍLIO")</f>
        <v>INVASÃO DE DOMICÍLIO</v>
      </c>
      <c r="D707" s="6">
        <f>IFERROR(__xludf.DUMMYFUNCTION("""COMPUTED_VALUE"""),1.0)</f>
        <v>1</v>
      </c>
      <c r="E707" s="6">
        <f>IFERROR(__xludf.DUMMYFUNCTION("""COMPUTED_VALUE"""),1.0)</f>
        <v>1</v>
      </c>
      <c r="F707" s="6">
        <f>IFERROR(__xludf.DUMMYFUNCTION("""COMPUTED_VALUE"""),11.0)</f>
        <v>11</v>
      </c>
      <c r="G707" s="6">
        <f>IFERROR(__xludf.DUMMYFUNCTION("""COMPUTED_VALUE"""),13.0)</f>
        <v>13</v>
      </c>
    </row>
    <row r="708">
      <c r="A708" s="6">
        <f>IFERROR(__xludf.DUMMYFUNCTION("""COMPUTED_VALUE"""),2015.0)</f>
        <v>2015</v>
      </c>
      <c r="B708" s="6" t="str">
        <f>IFERROR(__xludf.DUMMYFUNCTION("""COMPUTED_VALUE"""),"Novembro")</f>
        <v>Novembro</v>
      </c>
      <c r="C708" s="6" t="str">
        <f>IFERROR(__xludf.DUMMYFUNCTION("""COMPUTED_VALUE"""),"DANO")</f>
        <v>DANO</v>
      </c>
      <c r="D708" s="6">
        <f>IFERROR(__xludf.DUMMYFUNCTION("""COMPUTED_VALUE"""),10.0)</f>
        <v>10</v>
      </c>
      <c r="E708" s="6">
        <f>IFERROR(__xludf.DUMMYFUNCTION("""COMPUTED_VALUE"""),9.0)</f>
        <v>9</v>
      </c>
      <c r="F708" s="6">
        <f>IFERROR(__xludf.DUMMYFUNCTION("""COMPUTED_VALUE"""),53.0)</f>
        <v>53</v>
      </c>
      <c r="G708" s="6">
        <f>IFERROR(__xludf.DUMMYFUNCTION("""COMPUTED_VALUE"""),72.0)</f>
        <v>72</v>
      </c>
    </row>
    <row r="709">
      <c r="A709" s="6">
        <f>IFERROR(__xludf.DUMMYFUNCTION("""COMPUTED_VALUE"""),2015.0)</f>
        <v>2015</v>
      </c>
      <c r="B709" s="6" t="str">
        <f>IFERROR(__xludf.DUMMYFUNCTION("""COMPUTED_VALUE"""),"Novembro")</f>
        <v>Novembro</v>
      </c>
      <c r="C709" s="6" t="str">
        <f>IFERROR(__xludf.DUMMYFUNCTION("""COMPUTED_VALUE"""),"ESTUPRO CONSUMADO")</f>
        <v>ESTUPRO CONSUMADO</v>
      </c>
      <c r="D709" s="6">
        <f>IFERROR(__xludf.DUMMYFUNCTION("""COMPUTED_VALUE"""),9.0)</f>
        <v>9</v>
      </c>
      <c r="E709" s="6">
        <f>IFERROR(__xludf.DUMMYFUNCTION("""COMPUTED_VALUE"""),6.0)</f>
        <v>6</v>
      </c>
      <c r="F709" s="6">
        <f>IFERROR(__xludf.DUMMYFUNCTION("""COMPUTED_VALUE"""),16.0)</f>
        <v>16</v>
      </c>
      <c r="G709" s="6">
        <f>IFERROR(__xludf.DUMMYFUNCTION("""COMPUTED_VALUE"""),31.0)</f>
        <v>31</v>
      </c>
    </row>
    <row r="710">
      <c r="A710" s="6">
        <f>IFERROR(__xludf.DUMMYFUNCTION("""COMPUTED_VALUE"""),2015.0)</f>
        <v>2015</v>
      </c>
      <c r="B710" s="6" t="str">
        <f>IFERROR(__xludf.DUMMYFUNCTION("""COMPUTED_VALUE"""),"Novembro")</f>
        <v>Novembro</v>
      </c>
      <c r="C710" s="6" t="str">
        <f>IFERROR(__xludf.DUMMYFUNCTION("""COMPUTED_VALUE"""),"ESTUPRO TENTADO")</f>
        <v>ESTUPRO TENTADO</v>
      </c>
      <c r="D710" s="6">
        <f>IFERROR(__xludf.DUMMYFUNCTION("""COMPUTED_VALUE"""),0.0)</f>
        <v>0</v>
      </c>
      <c r="E710" s="6">
        <f>IFERROR(__xludf.DUMMYFUNCTION("""COMPUTED_VALUE"""),0.0)</f>
        <v>0</v>
      </c>
      <c r="F710" s="6">
        <f>IFERROR(__xludf.DUMMYFUNCTION("""COMPUTED_VALUE"""),1.0)</f>
        <v>1</v>
      </c>
      <c r="G710" s="6">
        <f>IFERROR(__xludf.DUMMYFUNCTION("""COMPUTED_VALUE"""),1.0)</f>
        <v>1</v>
      </c>
    </row>
    <row r="711">
      <c r="A711" s="6">
        <f>IFERROR(__xludf.DUMMYFUNCTION("""COMPUTED_VALUE"""),2015.0)</f>
        <v>2015</v>
      </c>
      <c r="B711" s="6" t="str">
        <f>IFERROR(__xludf.DUMMYFUNCTION("""COMPUTED_VALUE"""),"Novembro")</f>
        <v>Novembro</v>
      </c>
      <c r="C711" s="6" t="str">
        <f>IFERROR(__xludf.DUMMYFUNCTION("""COMPUTED_VALUE"""),"ESTUPRO DE VULNERÁVEL CONSUMADO")</f>
        <v>ESTUPRO DE VULNERÁVEL CONSUMADO</v>
      </c>
      <c r="D711" s="6">
        <f>IFERROR(__xludf.DUMMYFUNCTION("""COMPUTED_VALUE"""),2.0)</f>
        <v>2</v>
      </c>
      <c r="E711" s="6">
        <f>IFERROR(__xludf.DUMMYFUNCTION("""COMPUTED_VALUE"""),3.0)</f>
        <v>3</v>
      </c>
      <c r="F711" s="6">
        <f>IFERROR(__xludf.DUMMYFUNCTION("""COMPUTED_VALUE"""),15.0)</f>
        <v>15</v>
      </c>
      <c r="G711" s="6">
        <f>IFERROR(__xludf.DUMMYFUNCTION("""COMPUTED_VALUE"""),20.0)</f>
        <v>20</v>
      </c>
    </row>
    <row r="712">
      <c r="A712" s="6">
        <f>IFERROR(__xludf.DUMMYFUNCTION("""COMPUTED_VALUE"""),2015.0)</f>
        <v>2015</v>
      </c>
      <c r="B712" s="6" t="str">
        <f>IFERROR(__xludf.DUMMYFUNCTION("""COMPUTED_VALUE"""),"Novembro")</f>
        <v>Novembro</v>
      </c>
      <c r="C712" s="6" t="str">
        <f>IFERROR(__xludf.DUMMYFUNCTION("""COMPUTED_VALUE"""),"OUTROS C/C/ DIGNIDADE SEXUAL")</f>
        <v>OUTROS C/C/ DIGNIDADE SEXUAL</v>
      </c>
      <c r="D712" s="6">
        <f>IFERROR(__xludf.DUMMYFUNCTION("""COMPUTED_VALUE"""),0.0)</f>
        <v>0</v>
      </c>
      <c r="E712" s="6">
        <f>IFERROR(__xludf.DUMMYFUNCTION("""COMPUTED_VALUE"""),0.0)</f>
        <v>0</v>
      </c>
      <c r="F712" s="6">
        <f>IFERROR(__xludf.DUMMYFUNCTION("""COMPUTED_VALUE"""),1.0)</f>
        <v>1</v>
      </c>
      <c r="G712" s="6">
        <f>IFERROR(__xludf.DUMMYFUNCTION("""COMPUTED_VALUE"""),1.0)</f>
        <v>1</v>
      </c>
    </row>
    <row r="713">
      <c r="A713" s="6">
        <f>IFERROR(__xludf.DUMMYFUNCTION("""COMPUTED_VALUE"""),2015.0)</f>
        <v>2015</v>
      </c>
      <c r="B713" s="6" t="str">
        <f>IFERROR(__xludf.DUMMYFUNCTION("""COMPUTED_VALUE"""),"Dezembro")</f>
        <v>Dezembro</v>
      </c>
      <c r="C713" s="6" t="str">
        <f>IFERROR(__xludf.DUMMYFUNCTION("""COMPUTED_VALUE"""),"HOMICÍDIO DOLOSO (exclui FEMINICÍDIO)")</f>
        <v>HOMICÍDIO DOLOSO (exclui FEMINICÍDIO)</v>
      </c>
      <c r="D713" s="6">
        <f>IFERROR(__xludf.DUMMYFUNCTION("""COMPUTED_VALUE"""),2.0)</f>
        <v>2</v>
      </c>
      <c r="E713" s="6">
        <f>IFERROR(__xludf.DUMMYFUNCTION("""COMPUTED_VALUE"""),1.0)</f>
        <v>1</v>
      </c>
      <c r="F713" s="6">
        <f>IFERROR(__xludf.DUMMYFUNCTION("""COMPUTED_VALUE"""),4.0)</f>
        <v>4</v>
      </c>
      <c r="G713" s="6">
        <f>IFERROR(__xludf.DUMMYFUNCTION("""COMPUTED_VALUE"""),7.0)</f>
        <v>7</v>
      </c>
    </row>
    <row r="714">
      <c r="A714" s="6">
        <f>IFERROR(__xludf.DUMMYFUNCTION("""COMPUTED_VALUE"""),2015.0)</f>
        <v>2015</v>
      </c>
      <c r="B714" s="6" t="str">
        <f>IFERROR(__xludf.DUMMYFUNCTION("""COMPUTED_VALUE"""),"Dezembro")</f>
        <v>Dezembro</v>
      </c>
      <c r="C714" s="6" t="str">
        <f>IFERROR(__xludf.DUMMYFUNCTION("""COMPUTED_VALUE"""),"FEMINICÍDIO")</f>
        <v>FEMINICÍDIO</v>
      </c>
      <c r="D714" s="6">
        <f>IFERROR(__xludf.DUMMYFUNCTION("""COMPUTED_VALUE"""),2.0)</f>
        <v>2</v>
      </c>
      <c r="E714" s="6">
        <f>IFERROR(__xludf.DUMMYFUNCTION("""COMPUTED_VALUE"""),1.0)</f>
        <v>1</v>
      </c>
      <c r="F714" s="6">
        <f>IFERROR(__xludf.DUMMYFUNCTION("""COMPUTED_VALUE"""),1.0)</f>
        <v>1</v>
      </c>
      <c r="G714" s="6">
        <f>IFERROR(__xludf.DUMMYFUNCTION("""COMPUTED_VALUE"""),4.0)</f>
        <v>4</v>
      </c>
    </row>
    <row r="715">
      <c r="A715" s="6">
        <f>IFERROR(__xludf.DUMMYFUNCTION("""COMPUTED_VALUE"""),2015.0)</f>
        <v>2015</v>
      </c>
      <c r="B715" s="6" t="str">
        <f>IFERROR(__xludf.DUMMYFUNCTION("""COMPUTED_VALUE"""),"Dezembro")</f>
        <v>Dezembro</v>
      </c>
      <c r="C715" s="6" t="str">
        <f>IFERROR(__xludf.DUMMYFUNCTION("""COMPUTED_VALUE"""),"HOMICÍDIO CULPOSO")</f>
        <v>HOMICÍDIO CULPOSO</v>
      </c>
      <c r="D715" s="6">
        <f>IFERROR(__xludf.DUMMYFUNCTION("""COMPUTED_VALUE"""),0.0)</f>
        <v>0</v>
      </c>
      <c r="E715" s="6">
        <f>IFERROR(__xludf.DUMMYFUNCTION("""COMPUTED_VALUE"""),0.0)</f>
        <v>0</v>
      </c>
      <c r="F715" s="6">
        <f>IFERROR(__xludf.DUMMYFUNCTION("""COMPUTED_VALUE"""),0.0)</f>
        <v>0</v>
      </c>
      <c r="G715" s="6">
        <f>IFERROR(__xludf.DUMMYFUNCTION("""COMPUTED_VALUE"""),0.0)</f>
        <v>0</v>
      </c>
    </row>
    <row r="716">
      <c r="A716" s="6">
        <f>IFERROR(__xludf.DUMMYFUNCTION("""COMPUTED_VALUE"""),2015.0)</f>
        <v>2015</v>
      </c>
      <c r="B716" s="6" t="str">
        <f>IFERROR(__xludf.DUMMYFUNCTION("""COMPUTED_VALUE"""),"Dezembro")</f>
        <v>Dezembro</v>
      </c>
      <c r="C716" s="6" t="str">
        <f>IFERROR(__xludf.DUMMYFUNCTION("""COMPUTED_VALUE"""),"TENTATIVA DE HOMICÍDIO")</f>
        <v>TENTATIVA DE HOMICÍDIO</v>
      </c>
      <c r="D716" s="6">
        <f>IFERROR(__xludf.DUMMYFUNCTION("""COMPUTED_VALUE"""),2.0)</f>
        <v>2</v>
      </c>
      <c r="E716" s="6">
        <f>IFERROR(__xludf.DUMMYFUNCTION("""COMPUTED_VALUE"""),2.0)</f>
        <v>2</v>
      </c>
      <c r="F716" s="6">
        <f>IFERROR(__xludf.DUMMYFUNCTION("""COMPUTED_VALUE"""),15.0)</f>
        <v>15</v>
      </c>
      <c r="G716" s="6">
        <f>IFERROR(__xludf.DUMMYFUNCTION("""COMPUTED_VALUE"""),19.0)</f>
        <v>19</v>
      </c>
    </row>
    <row r="717">
      <c r="A717" s="6">
        <f>IFERROR(__xludf.DUMMYFUNCTION("""COMPUTED_VALUE"""),2015.0)</f>
        <v>2015</v>
      </c>
      <c r="B717" s="6" t="str">
        <f>IFERROR(__xludf.DUMMYFUNCTION("""COMPUTED_VALUE"""),"Dezembro")</f>
        <v>Dezembro</v>
      </c>
      <c r="C717" s="6" t="str">
        <f>IFERROR(__xludf.DUMMYFUNCTION("""COMPUTED_VALUE"""),"LESÃO CORPORAL DOLOSA")</f>
        <v>LESÃO CORPORAL DOLOSA</v>
      </c>
      <c r="D717" s="6">
        <f>IFERROR(__xludf.DUMMYFUNCTION("""COMPUTED_VALUE"""),1114.0)</f>
        <v>1114</v>
      </c>
      <c r="E717" s="6">
        <f>IFERROR(__xludf.DUMMYFUNCTION("""COMPUTED_VALUE"""),916.0)</f>
        <v>916</v>
      </c>
      <c r="F717" s="6">
        <f>IFERROR(__xludf.DUMMYFUNCTION("""COMPUTED_VALUE"""),3418.0)</f>
        <v>3418</v>
      </c>
      <c r="G717" s="6">
        <f>IFERROR(__xludf.DUMMYFUNCTION("""COMPUTED_VALUE"""),5448.0)</f>
        <v>5448</v>
      </c>
    </row>
    <row r="718">
      <c r="A718" s="6">
        <f>IFERROR(__xludf.DUMMYFUNCTION("""COMPUTED_VALUE"""),2015.0)</f>
        <v>2015</v>
      </c>
      <c r="B718" s="6" t="str">
        <f>IFERROR(__xludf.DUMMYFUNCTION("""COMPUTED_VALUE"""),"Dezembro")</f>
        <v>Dezembro</v>
      </c>
      <c r="C718" s="6" t="str">
        <f>IFERROR(__xludf.DUMMYFUNCTION("""COMPUTED_VALUE"""),"MAUS TRATOS")</f>
        <v>MAUS TRATOS</v>
      </c>
      <c r="D718" s="6">
        <f>IFERROR(__xludf.DUMMYFUNCTION("""COMPUTED_VALUE"""),4.0)</f>
        <v>4</v>
      </c>
      <c r="E718" s="6">
        <f>IFERROR(__xludf.DUMMYFUNCTION("""COMPUTED_VALUE"""),2.0)</f>
        <v>2</v>
      </c>
      <c r="F718" s="6">
        <f>IFERROR(__xludf.DUMMYFUNCTION("""COMPUTED_VALUE"""),21.0)</f>
        <v>21</v>
      </c>
      <c r="G718" s="6">
        <f>IFERROR(__xludf.DUMMYFUNCTION("""COMPUTED_VALUE"""),27.0)</f>
        <v>27</v>
      </c>
    </row>
    <row r="719">
      <c r="A719" s="6">
        <f>IFERROR(__xludf.DUMMYFUNCTION("""COMPUTED_VALUE"""),2015.0)</f>
        <v>2015</v>
      </c>
      <c r="B719" s="6" t="str">
        <f>IFERROR(__xludf.DUMMYFUNCTION("""COMPUTED_VALUE"""),"Dezembro")</f>
        <v>Dezembro</v>
      </c>
      <c r="C719" s="6" t="str">
        <f>IFERROR(__xludf.DUMMYFUNCTION("""COMPUTED_VALUE"""),"CALÚNIA - DIFAMAÇÃO - INJÚRIA")</f>
        <v>CALÚNIA - DIFAMAÇÃO - INJÚRIA</v>
      </c>
      <c r="D719" s="6">
        <f>IFERROR(__xludf.DUMMYFUNCTION("""COMPUTED_VALUE"""),211.0)</f>
        <v>211</v>
      </c>
      <c r="E719" s="6">
        <f>IFERROR(__xludf.DUMMYFUNCTION("""COMPUTED_VALUE"""),184.0)</f>
        <v>184</v>
      </c>
      <c r="F719" s="6">
        <f>IFERROR(__xludf.DUMMYFUNCTION("""COMPUTED_VALUE"""),794.0)</f>
        <v>794</v>
      </c>
      <c r="G719" s="6">
        <f>IFERROR(__xludf.DUMMYFUNCTION("""COMPUTED_VALUE"""),1189.0)</f>
        <v>1189</v>
      </c>
    </row>
    <row r="720">
      <c r="A720" s="6">
        <f>IFERROR(__xludf.DUMMYFUNCTION("""COMPUTED_VALUE"""),2015.0)</f>
        <v>2015</v>
      </c>
      <c r="B720" s="6" t="str">
        <f>IFERROR(__xludf.DUMMYFUNCTION("""COMPUTED_VALUE"""),"Dezembro")</f>
        <v>Dezembro</v>
      </c>
      <c r="C720" s="6" t="str">
        <f>IFERROR(__xludf.DUMMYFUNCTION("""COMPUTED_VALUE"""),"CONSTRANGIMENTO ILEGAL")</f>
        <v>CONSTRANGIMENTO ILEGAL</v>
      </c>
      <c r="D720" s="6">
        <f>IFERROR(__xludf.DUMMYFUNCTION("""COMPUTED_VALUE"""),2.0)</f>
        <v>2</v>
      </c>
      <c r="E720" s="6">
        <f>IFERROR(__xludf.DUMMYFUNCTION("""COMPUTED_VALUE"""),1.0)</f>
        <v>1</v>
      </c>
      <c r="F720" s="6">
        <f>IFERROR(__xludf.DUMMYFUNCTION("""COMPUTED_VALUE"""),8.0)</f>
        <v>8</v>
      </c>
      <c r="G720" s="6">
        <f>IFERROR(__xludf.DUMMYFUNCTION("""COMPUTED_VALUE"""),11.0)</f>
        <v>11</v>
      </c>
    </row>
    <row r="721">
      <c r="A721" s="6">
        <f>IFERROR(__xludf.DUMMYFUNCTION("""COMPUTED_VALUE"""),2015.0)</f>
        <v>2015</v>
      </c>
      <c r="B721" s="6" t="str">
        <f>IFERROR(__xludf.DUMMYFUNCTION("""COMPUTED_VALUE"""),"Dezembro")</f>
        <v>Dezembro</v>
      </c>
      <c r="C721" s="6" t="str">
        <f>IFERROR(__xludf.DUMMYFUNCTION("""COMPUTED_VALUE"""),"AMEAÇA")</f>
        <v>AMEAÇA</v>
      </c>
      <c r="D721" s="6">
        <f>IFERROR(__xludf.DUMMYFUNCTION("""COMPUTED_VALUE"""),1084.0)</f>
        <v>1084</v>
      </c>
      <c r="E721" s="6">
        <f>IFERROR(__xludf.DUMMYFUNCTION("""COMPUTED_VALUE"""),942.0)</f>
        <v>942</v>
      </c>
      <c r="F721" s="6">
        <f>IFERROR(__xludf.DUMMYFUNCTION("""COMPUTED_VALUE"""),3658.0)</f>
        <v>3658</v>
      </c>
      <c r="G721" s="6">
        <f>IFERROR(__xludf.DUMMYFUNCTION("""COMPUTED_VALUE"""),5684.0)</f>
        <v>5684</v>
      </c>
    </row>
    <row r="722">
      <c r="A722" s="6">
        <f>IFERROR(__xludf.DUMMYFUNCTION("""COMPUTED_VALUE"""),2015.0)</f>
        <v>2015</v>
      </c>
      <c r="B722" s="6" t="str">
        <f>IFERROR(__xludf.DUMMYFUNCTION("""COMPUTED_VALUE"""),"Dezembro")</f>
        <v>Dezembro</v>
      </c>
      <c r="C722" s="6" t="str">
        <f>IFERROR(__xludf.DUMMYFUNCTION("""COMPUTED_VALUE"""),"INVASÃO DE DOMICÍLIO")</f>
        <v>INVASÃO DE DOMICÍLIO</v>
      </c>
      <c r="D722" s="6">
        <f>IFERROR(__xludf.DUMMYFUNCTION("""COMPUTED_VALUE"""),2.0)</f>
        <v>2</v>
      </c>
      <c r="E722" s="6">
        <f>IFERROR(__xludf.DUMMYFUNCTION("""COMPUTED_VALUE"""),3.0)</f>
        <v>3</v>
      </c>
      <c r="F722" s="6">
        <f>IFERROR(__xludf.DUMMYFUNCTION("""COMPUTED_VALUE"""),15.0)</f>
        <v>15</v>
      </c>
      <c r="G722" s="6">
        <f>IFERROR(__xludf.DUMMYFUNCTION("""COMPUTED_VALUE"""),20.0)</f>
        <v>20</v>
      </c>
    </row>
    <row r="723">
      <c r="A723" s="6">
        <f>IFERROR(__xludf.DUMMYFUNCTION("""COMPUTED_VALUE"""),2015.0)</f>
        <v>2015</v>
      </c>
      <c r="B723" s="6" t="str">
        <f>IFERROR(__xludf.DUMMYFUNCTION("""COMPUTED_VALUE"""),"Dezembro")</f>
        <v>Dezembro</v>
      </c>
      <c r="C723" s="6" t="str">
        <f>IFERROR(__xludf.DUMMYFUNCTION("""COMPUTED_VALUE"""),"DANO")</f>
        <v>DANO</v>
      </c>
      <c r="D723" s="6">
        <f>IFERROR(__xludf.DUMMYFUNCTION("""COMPUTED_VALUE"""),14.0)</f>
        <v>14</v>
      </c>
      <c r="E723" s="6">
        <f>IFERROR(__xludf.DUMMYFUNCTION("""COMPUTED_VALUE"""),12.0)</f>
        <v>12</v>
      </c>
      <c r="F723" s="6">
        <f>IFERROR(__xludf.DUMMYFUNCTION("""COMPUTED_VALUE"""),71.0)</f>
        <v>71</v>
      </c>
      <c r="G723" s="6">
        <f>IFERROR(__xludf.DUMMYFUNCTION("""COMPUTED_VALUE"""),97.0)</f>
        <v>97</v>
      </c>
    </row>
    <row r="724">
      <c r="A724" s="6">
        <f>IFERROR(__xludf.DUMMYFUNCTION("""COMPUTED_VALUE"""),2015.0)</f>
        <v>2015</v>
      </c>
      <c r="B724" s="6" t="str">
        <f>IFERROR(__xludf.DUMMYFUNCTION("""COMPUTED_VALUE"""),"Dezembro")</f>
        <v>Dezembro</v>
      </c>
      <c r="C724" s="6" t="str">
        <f>IFERROR(__xludf.DUMMYFUNCTION("""COMPUTED_VALUE"""),"ESTUPRO CONSUMADO")</f>
        <v>ESTUPRO CONSUMADO</v>
      </c>
      <c r="D724" s="6">
        <f>IFERROR(__xludf.DUMMYFUNCTION("""COMPUTED_VALUE"""),11.0)</f>
        <v>11</v>
      </c>
      <c r="E724" s="6">
        <f>IFERROR(__xludf.DUMMYFUNCTION("""COMPUTED_VALUE"""),8.0)</f>
        <v>8</v>
      </c>
      <c r="F724" s="6">
        <f>IFERROR(__xludf.DUMMYFUNCTION("""COMPUTED_VALUE"""),22.0)</f>
        <v>22</v>
      </c>
      <c r="G724" s="6">
        <f>IFERROR(__xludf.DUMMYFUNCTION("""COMPUTED_VALUE"""),41.0)</f>
        <v>41</v>
      </c>
    </row>
    <row r="725">
      <c r="A725" s="6">
        <f>IFERROR(__xludf.DUMMYFUNCTION("""COMPUTED_VALUE"""),2015.0)</f>
        <v>2015</v>
      </c>
      <c r="B725" s="6" t="str">
        <f>IFERROR(__xludf.DUMMYFUNCTION("""COMPUTED_VALUE"""),"Dezembro")</f>
        <v>Dezembro</v>
      </c>
      <c r="C725" s="6" t="str">
        <f>IFERROR(__xludf.DUMMYFUNCTION("""COMPUTED_VALUE"""),"ESTUPRO TENTADO")</f>
        <v>ESTUPRO TENTADO</v>
      </c>
      <c r="D725" s="6">
        <f>IFERROR(__xludf.DUMMYFUNCTION("""COMPUTED_VALUE"""),1.0)</f>
        <v>1</v>
      </c>
      <c r="E725" s="6">
        <f>IFERROR(__xludf.DUMMYFUNCTION("""COMPUTED_VALUE"""),0.0)</f>
        <v>0</v>
      </c>
      <c r="F725" s="6">
        <f>IFERROR(__xludf.DUMMYFUNCTION("""COMPUTED_VALUE"""),2.0)</f>
        <v>2</v>
      </c>
      <c r="G725" s="6">
        <f>IFERROR(__xludf.DUMMYFUNCTION("""COMPUTED_VALUE"""),3.0)</f>
        <v>3</v>
      </c>
    </row>
    <row r="726">
      <c r="A726" s="6">
        <f>IFERROR(__xludf.DUMMYFUNCTION("""COMPUTED_VALUE"""),2015.0)</f>
        <v>2015</v>
      </c>
      <c r="B726" s="6" t="str">
        <f>IFERROR(__xludf.DUMMYFUNCTION("""COMPUTED_VALUE"""),"Dezembro")</f>
        <v>Dezembro</v>
      </c>
      <c r="C726" s="6" t="str">
        <f>IFERROR(__xludf.DUMMYFUNCTION("""COMPUTED_VALUE"""),"ESTUPRO DE VULNERÁVEL CONSUMADO")</f>
        <v>ESTUPRO DE VULNERÁVEL CONSUMADO</v>
      </c>
      <c r="D726" s="6">
        <f>IFERROR(__xludf.DUMMYFUNCTION("""COMPUTED_VALUE"""),4.0)</f>
        <v>4</v>
      </c>
      <c r="E726" s="6">
        <f>IFERROR(__xludf.DUMMYFUNCTION("""COMPUTED_VALUE"""),5.0)</f>
        <v>5</v>
      </c>
      <c r="F726" s="6">
        <f>IFERROR(__xludf.DUMMYFUNCTION("""COMPUTED_VALUE"""),20.0)</f>
        <v>20</v>
      </c>
      <c r="G726" s="6">
        <f>IFERROR(__xludf.DUMMYFUNCTION("""COMPUTED_VALUE"""),29.0)</f>
        <v>29</v>
      </c>
    </row>
    <row r="727">
      <c r="A727" s="6">
        <f>IFERROR(__xludf.DUMMYFUNCTION("""COMPUTED_VALUE"""),2015.0)</f>
        <v>2015</v>
      </c>
      <c r="B727" s="6" t="str">
        <f>IFERROR(__xludf.DUMMYFUNCTION("""COMPUTED_VALUE"""),"Dezembro")</f>
        <v>Dezembro</v>
      </c>
      <c r="C727" s="6" t="str">
        <f>IFERROR(__xludf.DUMMYFUNCTION("""COMPUTED_VALUE"""),"OUTROS C/C/ DIGNIDADE SEXUAL")</f>
        <v>OUTROS C/C/ DIGNIDADE SEXUAL</v>
      </c>
      <c r="D727" s="6">
        <f>IFERROR(__xludf.DUMMYFUNCTION("""COMPUTED_VALUE"""),0.0)</f>
        <v>0</v>
      </c>
      <c r="E727" s="6">
        <f>IFERROR(__xludf.DUMMYFUNCTION("""COMPUTED_VALUE"""),1.0)</f>
        <v>1</v>
      </c>
      <c r="F727" s="6">
        <f>IFERROR(__xludf.DUMMYFUNCTION("""COMPUTED_VALUE"""),2.0)</f>
        <v>2</v>
      </c>
      <c r="G727" s="6">
        <f>IFERROR(__xludf.DUMMYFUNCTION("""COMPUTED_VALUE"""),3.0)</f>
        <v>3</v>
      </c>
    </row>
    <row r="728">
      <c r="A728" s="6">
        <f>IFERROR(__xludf.DUMMYFUNCTION("""COMPUTED_VALUE"""),2016.0)</f>
        <v>2016</v>
      </c>
      <c r="B728" s="6" t="str">
        <f>IFERROR(__xludf.DUMMYFUNCTION("""COMPUTED_VALUE"""),"Janeiro")</f>
        <v>Janeiro</v>
      </c>
      <c r="C728" s="6" t="str">
        <f>IFERROR(__xludf.DUMMYFUNCTION("""COMPUTED_VALUE"""),"HOMICÍDIO DOLOSO (exclui FEMINICÍDIO)")</f>
        <v>HOMICÍDIO DOLOSO (exclui FEMINICÍDIO)</v>
      </c>
      <c r="D728" s="6">
        <f>IFERROR(__xludf.DUMMYFUNCTION("""COMPUTED_VALUE"""),0.0)</f>
        <v>0</v>
      </c>
      <c r="E728" s="6">
        <f>IFERROR(__xludf.DUMMYFUNCTION("""COMPUTED_VALUE"""),2.0)</f>
        <v>2</v>
      </c>
      <c r="F728" s="6">
        <f>IFERROR(__xludf.DUMMYFUNCTION("""COMPUTED_VALUE"""),2.0)</f>
        <v>2</v>
      </c>
      <c r="G728" s="6">
        <f>IFERROR(__xludf.DUMMYFUNCTION("""COMPUTED_VALUE"""),4.0)</f>
        <v>4</v>
      </c>
    </row>
    <row r="729">
      <c r="A729" s="6">
        <f>IFERROR(__xludf.DUMMYFUNCTION("""COMPUTED_VALUE"""),2016.0)</f>
        <v>2016</v>
      </c>
      <c r="B729" s="6" t="str">
        <f>IFERROR(__xludf.DUMMYFUNCTION("""COMPUTED_VALUE"""),"Janeiro")</f>
        <v>Janeiro</v>
      </c>
      <c r="C729" s="6" t="str">
        <f>IFERROR(__xludf.DUMMYFUNCTION("""COMPUTED_VALUE"""),"FEMINICÍDIO")</f>
        <v>FEMINICÍDIO</v>
      </c>
      <c r="D729" s="6">
        <f>IFERROR(__xludf.DUMMYFUNCTION("""COMPUTED_VALUE"""),0.0)</f>
        <v>0</v>
      </c>
      <c r="E729" s="6">
        <f>IFERROR(__xludf.DUMMYFUNCTION("""COMPUTED_VALUE"""),1.0)</f>
        <v>1</v>
      </c>
      <c r="F729" s="6">
        <f>IFERROR(__xludf.DUMMYFUNCTION("""COMPUTED_VALUE"""),3.0)</f>
        <v>3</v>
      </c>
      <c r="G729" s="6">
        <f>IFERROR(__xludf.DUMMYFUNCTION("""COMPUTED_VALUE"""),4.0)</f>
        <v>4</v>
      </c>
    </row>
    <row r="730">
      <c r="A730" s="6">
        <f>IFERROR(__xludf.DUMMYFUNCTION("""COMPUTED_VALUE"""),2016.0)</f>
        <v>2016</v>
      </c>
      <c r="B730" s="6" t="str">
        <f>IFERROR(__xludf.DUMMYFUNCTION("""COMPUTED_VALUE"""),"Janeiro")</f>
        <v>Janeiro</v>
      </c>
      <c r="C730" s="6" t="str">
        <f>IFERROR(__xludf.DUMMYFUNCTION("""COMPUTED_VALUE"""),"HOMICÍDIO CULPOSO")</f>
        <v>HOMICÍDIO CULPOSO</v>
      </c>
      <c r="D730" s="6">
        <f>IFERROR(__xludf.DUMMYFUNCTION("""COMPUTED_VALUE"""),0.0)</f>
        <v>0</v>
      </c>
      <c r="E730" s="6">
        <f>IFERROR(__xludf.DUMMYFUNCTION("""COMPUTED_VALUE"""),0.0)</f>
        <v>0</v>
      </c>
      <c r="F730" s="6">
        <f>IFERROR(__xludf.DUMMYFUNCTION("""COMPUTED_VALUE"""),0.0)</f>
        <v>0</v>
      </c>
      <c r="G730" s="6">
        <f>IFERROR(__xludf.DUMMYFUNCTION("""COMPUTED_VALUE"""),0.0)</f>
        <v>0</v>
      </c>
    </row>
    <row r="731">
      <c r="A731" s="6">
        <f>IFERROR(__xludf.DUMMYFUNCTION("""COMPUTED_VALUE"""),2016.0)</f>
        <v>2016</v>
      </c>
      <c r="B731" s="6" t="str">
        <f>IFERROR(__xludf.DUMMYFUNCTION("""COMPUTED_VALUE"""),"Janeiro")</f>
        <v>Janeiro</v>
      </c>
      <c r="C731" s="6" t="str">
        <f>IFERROR(__xludf.DUMMYFUNCTION("""COMPUTED_VALUE"""),"TENTATIVA DE HOMICÍDIO")</f>
        <v>TENTATIVA DE HOMICÍDIO</v>
      </c>
      <c r="D731" s="6">
        <f>IFERROR(__xludf.DUMMYFUNCTION("""COMPUTED_VALUE"""),3.0)</f>
        <v>3</v>
      </c>
      <c r="E731" s="6">
        <f>IFERROR(__xludf.DUMMYFUNCTION("""COMPUTED_VALUE"""),1.0)</f>
        <v>1</v>
      </c>
      <c r="F731" s="6">
        <f>IFERROR(__xludf.DUMMYFUNCTION("""COMPUTED_VALUE"""),14.0)</f>
        <v>14</v>
      </c>
      <c r="G731" s="6">
        <f>IFERROR(__xludf.DUMMYFUNCTION("""COMPUTED_VALUE"""),18.0)</f>
        <v>18</v>
      </c>
    </row>
    <row r="732">
      <c r="A732" s="6">
        <f>IFERROR(__xludf.DUMMYFUNCTION("""COMPUTED_VALUE"""),2016.0)</f>
        <v>2016</v>
      </c>
      <c r="B732" s="6" t="str">
        <f>IFERROR(__xludf.DUMMYFUNCTION("""COMPUTED_VALUE"""),"Janeiro")</f>
        <v>Janeiro</v>
      </c>
      <c r="C732" s="6" t="str">
        <f>IFERROR(__xludf.DUMMYFUNCTION("""COMPUTED_VALUE"""),"LESÃO CORPORAL DOLOSA")</f>
        <v>LESÃO CORPORAL DOLOSA</v>
      </c>
      <c r="D732" s="6">
        <f>IFERROR(__xludf.DUMMYFUNCTION("""COMPUTED_VALUE"""),1146.0)</f>
        <v>1146</v>
      </c>
      <c r="E732" s="6">
        <f>IFERROR(__xludf.DUMMYFUNCTION("""COMPUTED_VALUE"""),913.0)</f>
        <v>913</v>
      </c>
      <c r="F732" s="6">
        <f>IFERROR(__xludf.DUMMYFUNCTION("""COMPUTED_VALUE"""),3447.0)</f>
        <v>3447</v>
      </c>
      <c r="G732" s="6">
        <f>IFERROR(__xludf.DUMMYFUNCTION("""COMPUTED_VALUE"""),5506.0)</f>
        <v>5506</v>
      </c>
    </row>
    <row r="733">
      <c r="A733" s="6">
        <f>IFERROR(__xludf.DUMMYFUNCTION("""COMPUTED_VALUE"""),2016.0)</f>
        <v>2016</v>
      </c>
      <c r="B733" s="6" t="str">
        <f>IFERROR(__xludf.DUMMYFUNCTION("""COMPUTED_VALUE"""),"Janeiro")</f>
        <v>Janeiro</v>
      </c>
      <c r="C733" s="6" t="str">
        <f>IFERROR(__xludf.DUMMYFUNCTION("""COMPUTED_VALUE"""),"MAUS TRATOS")</f>
        <v>MAUS TRATOS</v>
      </c>
      <c r="D733" s="6">
        <f>IFERROR(__xludf.DUMMYFUNCTION("""COMPUTED_VALUE"""),4.0)</f>
        <v>4</v>
      </c>
      <c r="E733" s="6">
        <f>IFERROR(__xludf.DUMMYFUNCTION("""COMPUTED_VALUE"""),2.0)</f>
        <v>2</v>
      </c>
      <c r="F733" s="6">
        <f>IFERROR(__xludf.DUMMYFUNCTION("""COMPUTED_VALUE"""),21.0)</f>
        <v>21</v>
      </c>
      <c r="G733" s="6">
        <f>IFERROR(__xludf.DUMMYFUNCTION("""COMPUTED_VALUE"""),27.0)</f>
        <v>27</v>
      </c>
    </row>
    <row r="734">
      <c r="A734" s="6">
        <f>IFERROR(__xludf.DUMMYFUNCTION("""COMPUTED_VALUE"""),2016.0)</f>
        <v>2016</v>
      </c>
      <c r="B734" s="6" t="str">
        <f>IFERROR(__xludf.DUMMYFUNCTION("""COMPUTED_VALUE"""),"Janeiro")</f>
        <v>Janeiro</v>
      </c>
      <c r="C734" s="6" t="str">
        <f>IFERROR(__xludf.DUMMYFUNCTION("""COMPUTED_VALUE"""),"CALÚNIA - DIFAMAÇÃO - INJÚRIA")</f>
        <v>CALÚNIA - DIFAMAÇÃO - INJÚRIA</v>
      </c>
      <c r="D734" s="6">
        <f>IFERROR(__xludf.DUMMYFUNCTION("""COMPUTED_VALUE"""),214.0)</f>
        <v>214</v>
      </c>
      <c r="E734" s="6">
        <f>IFERROR(__xludf.DUMMYFUNCTION("""COMPUTED_VALUE"""),181.0)</f>
        <v>181</v>
      </c>
      <c r="F734" s="6">
        <f>IFERROR(__xludf.DUMMYFUNCTION("""COMPUTED_VALUE"""),794.0)</f>
        <v>794</v>
      </c>
      <c r="G734" s="6">
        <f>IFERROR(__xludf.DUMMYFUNCTION("""COMPUTED_VALUE"""),1189.0)</f>
        <v>1189</v>
      </c>
    </row>
    <row r="735">
      <c r="A735" s="6">
        <f>IFERROR(__xludf.DUMMYFUNCTION("""COMPUTED_VALUE"""),2016.0)</f>
        <v>2016</v>
      </c>
      <c r="B735" s="6" t="str">
        <f>IFERROR(__xludf.DUMMYFUNCTION("""COMPUTED_VALUE"""),"Janeiro")</f>
        <v>Janeiro</v>
      </c>
      <c r="C735" s="6" t="str">
        <f>IFERROR(__xludf.DUMMYFUNCTION("""COMPUTED_VALUE"""),"CONSTRANGIMENTO ILEGAL")</f>
        <v>CONSTRANGIMENTO ILEGAL</v>
      </c>
      <c r="D735" s="6">
        <f>IFERROR(__xludf.DUMMYFUNCTION("""COMPUTED_VALUE"""),2.0)</f>
        <v>2</v>
      </c>
      <c r="E735" s="6">
        <f>IFERROR(__xludf.DUMMYFUNCTION("""COMPUTED_VALUE"""),1.0)</f>
        <v>1</v>
      </c>
      <c r="F735" s="6">
        <f>IFERROR(__xludf.DUMMYFUNCTION("""COMPUTED_VALUE"""),8.0)</f>
        <v>8</v>
      </c>
      <c r="G735" s="6">
        <f>IFERROR(__xludf.DUMMYFUNCTION("""COMPUTED_VALUE"""),11.0)</f>
        <v>11</v>
      </c>
    </row>
    <row r="736">
      <c r="A736" s="6">
        <f>IFERROR(__xludf.DUMMYFUNCTION("""COMPUTED_VALUE"""),2016.0)</f>
        <v>2016</v>
      </c>
      <c r="B736" s="6" t="str">
        <f>IFERROR(__xludf.DUMMYFUNCTION("""COMPUTED_VALUE"""),"Janeiro")</f>
        <v>Janeiro</v>
      </c>
      <c r="C736" s="6" t="str">
        <f>IFERROR(__xludf.DUMMYFUNCTION("""COMPUTED_VALUE"""),"AMEAÇA")</f>
        <v>AMEAÇA</v>
      </c>
      <c r="D736" s="6">
        <f>IFERROR(__xludf.DUMMYFUNCTION("""COMPUTED_VALUE"""),1086.0)</f>
        <v>1086</v>
      </c>
      <c r="E736" s="6">
        <f>IFERROR(__xludf.DUMMYFUNCTION("""COMPUTED_VALUE"""),942.0)</f>
        <v>942</v>
      </c>
      <c r="F736" s="6">
        <f>IFERROR(__xludf.DUMMYFUNCTION("""COMPUTED_VALUE"""),3687.0)</f>
        <v>3687</v>
      </c>
      <c r="G736" s="6">
        <f>IFERROR(__xludf.DUMMYFUNCTION("""COMPUTED_VALUE"""),5715.0)</f>
        <v>5715</v>
      </c>
    </row>
    <row r="737">
      <c r="A737" s="6">
        <f>IFERROR(__xludf.DUMMYFUNCTION("""COMPUTED_VALUE"""),2016.0)</f>
        <v>2016</v>
      </c>
      <c r="B737" s="6" t="str">
        <f>IFERROR(__xludf.DUMMYFUNCTION("""COMPUTED_VALUE"""),"Janeiro")</f>
        <v>Janeiro</v>
      </c>
      <c r="C737" s="6" t="str">
        <f>IFERROR(__xludf.DUMMYFUNCTION("""COMPUTED_VALUE"""),"INVASÃO DE DOMICÍLIO")</f>
        <v>INVASÃO DE DOMICÍLIO</v>
      </c>
      <c r="D737" s="6">
        <f>IFERROR(__xludf.DUMMYFUNCTION("""COMPUTED_VALUE"""),2.0)</f>
        <v>2</v>
      </c>
      <c r="E737" s="6">
        <f>IFERROR(__xludf.DUMMYFUNCTION("""COMPUTED_VALUE"""),3.0)</f>
        <v>3</v>
      </c>
      <c r="F737" s="6">
        <f>IFERROR(__xludf.DUMMYFUNCTION("""COMPUTED_VALUE"""),15.0)</f>
        <v>15</v>
      </c>
      <c r="G737" s="6">
        <f>IFERROR(__xludf.DUMMYFUNCTION("""COMPUTED_VALUE"""),20.0)</f>
        <v>20</v>
      </c>
    </row>
    <row r="738">
      <c r="A738" s="6">
        <f>IFERROR(__xludf.DUMMYFUNCTION("""COMPUTED_VALUE"""),2016.0)</f>
        <v>2016</v>
      </c>
      <c r="B738" s="6" t="str">
        <f>IFERROR(__xludf.DUMMYFUNCTION("""COMPUTED_VALUE"""),"Janeiro")</f>
        <v>Janeiro</v>
      </c>
      <c r="C738" s="6" t="str">
        <f>IFERROR(__xludf.DUMMYFUNCTION("""COMPUTED_VALUE"""),"DANO")</f>
        <v>DANO</v>
      </c>
      <c r="D738" s="6">
        <f>IFERROR(__xludf.DUMMYFUNCTION("""COMPUTED_VALUE"""),14.0)</f>
        <v>14</v>
      </c>
      <c r="E738" s="6">
        <f>IFERROR(__xludf.DUMMYFUNCTION("""COMPUTED_VALUE"""),12.0)</f>
        <v>12</v>
      </c>
      <c r="F738" s="6">
        <f>IFERROR(__xludf.DUMMYFUNCTION("""COMPUTED_VALUE"""),71.0)</f>
        <v>71</v>
      </c>
      <c r="G738" s="6">
        <f>IFERROR(__xludf.DUMMYFUNCTION("""COMPUTED_VALUE"""),97.0)</f>
        <v>97</v>
      </c>
    </row>
    <row r="739">
      <c r="A739" s="6">
        <f>IFERROR(__xludf.DUMMYFUNCTION("""COMPUTED_VALUE"""),2016.0)</f>
        <v>2016</v>
      </c>
      <c r="B739" s="6" t="str">
        <f>IFERROR(__xludf.DUMMYFUNCTION("""COMPUTED_VALUE"""),"Janeiro")</f>
        <v>Janeiro</v>
      </c>
      <c r="C739" s="6" t="str">
        <f>IFERROR(__xludf.DUMMYFUNCTION("""COMPUTED_VALUE"""),"ESTUPRO CONSUMADO")</f>
        <v>ESTUPRO CONSUMADO</v>
      </c>
      <c r="D739" s="6">
        <f>IFERROR(__xludf.DUMMYFUNCTION("""COMPUTED_VALUE"""),11.0)</f>
        <v>11</v>
      </c>
      <c r="E739" s="6">
        <f>IFERROR(__xludf.DUMMYFUNCTION("""COMPUTED_VALUE"""),8.0)</f>
        <v>8</v>
      </c>
      <c r="F739" s="6">
        <f>IFERROR(__xludf.DUMMYFUNCTION("""COMPUTED_VALUE"""),22.0)</f>
        <v>22</v>
      </c>
      <c r="G739" s="6">
        <f>IFERROR(__xludf.DUMMYFUNCTION("""COMPUTED_VALUE"""),41.0)</f>
        <v>41</v>
      </c>
    </row>
    <row r="740">
      <c r="A740" s="6">
        <f>IFERROR(__xludf.DUMMYFUNCTION("""COMPUTED_VALUE"""),2016.0)</f>
        <v>2016</v>
      </c>
      <c r="B740" s="6" t="str">
        <f>IFERROR(__xludf.DUMMYFUNCTION("""COMPUTED_VALUE"""),"Janeiro")</f>
        <v>Janeiro</v>
      </c>
      <c r="C740" s="6" t="str">
        <f>IFERROR(__xludf.DUMMYFUNCTION("""COMPUTED_VALUE"""),"ESTUPRO TENTADO")</f>
        <v>ESTUPRO TENTADO</v>
      </c>
      <c r="D740" s="6">
        <f>IFERROR(__xludf.DUMMYFUNCTION("""COMPUTED_VALUE"""),1.0)</f>
        <v>1</v>
      </c>
      <c r="E740" s="6">
        <f>IFERROR(__xludf.DUMMYFUNCTION("""COMPUTED_VALUE"""),0.0)</f>
        <v>0</v>
      </c>
      <c r="F740" s="6">
        <f>IFERROR(__xludf.DUMMYFUNCTION("""COMPUTED_VALUE"""),2.0)</f>
        <v>2</v>
      </c>
      <c r="G740" s="6">
        <f>IFERROR(__xludf.DUMMYFUNCTION("""COMPUTED_VALUE"""),3.0)</f>
        <v>3</v>
      </c>
    </row>
    <row r="741">
      <c r="A741" s="6">
        <f>IFERROR(__xludf.DUMMYFUNCTION("""COMPUTED_VALUE"""),2016.0)</f>
        <v>2016</v>
      </c>
      <c r="B741" s="6" t="str">
        <f>IFERROR(__xludf.DUMMYFUNCTION("""COMPUTED_VALUE"""),"Janeiro")</f>
        <v>Janeiro</v>
      </c>
      <c r="C741" s="6" t="str">
        <f>IFERROR(__xludf.DUMMYFUNCTION("""COMPUTED_VALUE"""),"ESTUPRO DE VULNERÁVEL CONSUMADO")</f>
        <v>ESTUPRO DE VULNERÁVEL CONSUMADO</v>
      </c>
      <c r="D741" s="6">
        <f>IFERROR(__xludf.DUMMYFUNCTION("""COMPUTED_VALUE"""),4.0)</f>
        <v>4</v>
      </c>
      <c r="E741" s="6">
        <f>IFERROR(__xludf.DUMMYFUNCTION("""COMPUTED_VALUE"""),5.0)</f>
        <v>5</v>
      </c>
      <c r="F741" s="6">
        <f>IFERROR(__xludf.DUMMYFUNCTION("""COMPUTED_VALUE"""),20.0)</f>
        <v>20</v>
      </c>
      <c r="G741" s="6">
        <f>IFERROR(__xludf.DUMMYFUNCTION("""COMPUTED_VALUE"""),29.0)</f>
        <v>29</v>
      </c>
    </row>
    <row r="742">
      <c r="A742" s="6">
        <f>IFERROR(__xludf.DUMMYFUNCTION("""COMPUTED_VALUE"""),2016.0)</f>
        <v>2016</v>
      </c>
      <c r="B742" s="6" t="str">
        <f>IFERROR(__xludf.DUMMYFUNCTION("""COMPUTED_VALUE"""),"Janeiro")</f>
        <v>Janeiro</v>
      </c>
      <c r="C742" s="6" t="str">
        <f>IFERROR(__xludf.DUMMYFUNCTION("""COMPUTED_VALUE"""),"OUTROS C/C/ DIGNIDADE SEXUAL")</f>
        <v>OUTROS C/C/ DIGNIDADE SEXUAL</v>
      </c>
      <c r="D742" s="6">
        <f>IFERROR(__xludf.DUMMYFUNCTION("""COMPUTED_VALUE"""),0.0)</f>
        <v>0</v>
      </c>
      <c r="E742" s="6">
        <f>IFERROR(__xludf.DUMMYFUNCTION("""COMPUTED_VALUE"""),1.0)</f>
        <v>1</v>
      </c>
      <c r="F742" s="6">
        <f>IFERROR(__xludf.DUMMYFUNCTION("""COMPUTED_VALUE"""),2.0)</f>
        <v>2</v>
      </c>
      <c r="G742" s="6">
        <f>IFERROR(__xludf.DUMMYFUNCTION("""COMPUTED_VALUE"""),3.0)</f>
        <v>3</v>
      </c>
    </row>
    <row r="743">
      <c r="A743" s="6">
        <f>IFERROR(__xludf.DUMMYFUNCTION("""COMPUTED_VALUE"""),2016.0)</f>
        <v>2016</v>
      </c>
      <c r="B743" s="6" t="str">
        <f>IFERROR(__xludf.DUMMYFUNCTION("""COMPUTED_VALUE"""),"Fevereiro")</f>
        <v>Fevereiro</v>
      </c>
      <c r="C743" s="6" t="str">
        <f>IFERROR(__xludf.DUMMYFUNCTION("""COMPUTED_VALUE"""),"HOMICÍDIO DOLOSO (exclui FEMINICÍDIO)")</f>
        <v>HOMICÍDIO DOLOSO (exclui FEMINICÍDIO)</v>
      </c>
      <c r="D743" s="6">
        <f>IFERROR(__xludf.DUMMYFUNCTION("""COMPUTED_VALUE"""),1.0)</f>
        <v>1</v>
      </c>
      <c r="E743" s="6">
        <f>IFERROR(__xludf.DUMMYFUNCTION("""COMPUTED_VALUE"""),0.0)</f>
        <v>0</v>
      </c>
      <c r="F743" s="6">
        <f>IFERROR(__xludf.DUMMYFUNCTION("""COMPUTED_VALUE"""),3.0)</f>
        <v>3</v>
      </c>
      <c r="G743" s="6">
        <f>IFERROR(__xludf.DUMMYFUNCTION("""COMPUTED_VALUE"""),4.0)</f>
        <v>4</v>
      </c>
    </row>
    <row r="744">
      <c r="A744" s="6">
        <f>IFERROR(__xludf.DUMMYFUNCTION("""COMPUTED_VALUE"""),2016.0)</f>
        <v>2016</v>
      </c>
      <c r="B744" s="6" t="str">
        <f>IFERROR(__xludf.DUMMYFUNCTION("""COMPUTED_VALUE"""),"Fevereiro")</f>
        <v>Fevereiro</v>
      </c>
      <c r="C744" s="6" t="str">
        <f>IFERROR(__xludf.DUMMYFUNCTION("""COMPUTED_VALUE"""),"FEMINICÍDIO")</f>
        <v>FEMINICÍDIO</v>
      </c>
      <c r="D744" s="6">
        <f>IFERROR(__xludf.DUMMYFUNCTION("""COMPUTED_VALUE"""),1.0)</f>
        <v>1</v>
      </c>
      <c r="E744" s="6">
        <f>IFERROR(__xludf.DUMMYFUNCTION("""COMPUTED_VALUE"""),1.0)</f>
        <v>1</v>
      </c>
      <c r="F744" s="6">
        <f>IFERROR(__xludf.DUMMYFUNCTION("""COMPUTED_VALUE"""),1.0)</f>
        <v>1</v>
      </c>
      <c r="G744" s="6">
        <f>IFERROR(__xludf.DUMMYFUNCTION("""COMPUTED_VALUE"""),3.0)</f>
        <v>3</v>
      </c>
    </row>
    <row r="745">
      <c r="A745" s="6">
        <f>IFERROR(__xludf.DUMMYFUNCTION("""COMPUTED_VALUE"""),2016.0)</f>
        <v>2016</v>
      </c>
      <c r="B745" s="6" t="str">
        <f>IFERROR(__xludf.DUMMYFUNCTION("""COMPUTED_VALUE"""),"Fevereiro")</f>
        <v>Fevereiro</v>
      </c>
      <c r="C745" s="6" t="str">
        <f>IFERROR(__xludf.DUMMYFUNCTION("""COMPUTED_VALUE"""),"HOMICÍDIO CULPOSO")</f>
        <v>HOMICÍDIO CULPOSO</v>
      </c>
      <c r="D745" s="6">
        <f>IFERROR(__xludf.DUMMYFUNCTION("""COMPUTED_VALUE"""),0.0)</f>
        <v>0</v>
      </c>
      <c r="E745" s="6">
        <f>IFERROR(__xludf.DUMMYFUNCTION("""COMPUTED_VALUE"""),0.0)</f>
        <v>0</v>
      </c>
      <c r="F745" s="6">
        <f>IFERROR(__xludf.DUMMYFUNCTION("""COMPUTED_VALUE"""),0.0)</f>
        <v>0</v>
      </c>
      <c r="G745" s="6">
        <f>IFERROR(__xludf.DUMMYFUNCTION("""COMPUTED_VALUE"""),0.0)</f>
        <v>0</v>
      </c>
    </row>
    <row r="746">
      <c r="A746" s="6">
        <f>IFERROR(__xludf.DUMMYFUNCTION("""COMPUTED_VALUE"""),2016.0)</f>
        <v>2016</v>
      </c>
      <c r="B746" s="6" t="str">
        <f>IFERROR(__xludf.DUMMYFUNCTION("""COMPUTED_VALUE"""),"Fevereiro")</f>
        <v>Fevereiro</v>
      </c>
      <c r="C746" s="6" t="str">
        <f>IFERROR(__xludf.DUMMYFUNCTION("""COMPUTED_VALUE"""),"TENTATIVA DE HOMICÍDIO")</f>
        <v>TENTATIVA DE HOMICÍDIO</v>
      </c>
      <c r="D746" s="6">
        <f>IFERROR(__xludf.DUMMYFUNCTION("""COMPUTED_VALUE"""),1.0)</f>
        <v>1</v>
      </c>
      <c r="E746" s="6">
        <f>IFERROR(__xludf.DUMMYFUNCTION("""COMPUTED_VALUE"""),2.0)</f>
        <v>2</v>
      </c>
      <c r="F746" s="6">
        <f>IFERROR(__xludf.DUMMYFUNCTION("""COMPUTED_VALUE"""),11.0)</f>
        <v>11</v>
      </c>
      <c r="G746" s="6">
        <f>IFERROR(__xludf.DUMMYFUNCTION("""COMPUTED_VALUE"""),14.0)</f>
        <v>14</v>
      </c>
    </row>
    <row r="747">
      <c r="A747" s="6">
        <f>IFERROR(__xludf.DUMMYFUNCTION("""COMPUTED_VALUE"""),2016.0)</f>
        <v>2016</v>
      </c>
      <c r="B747" s="6" t="str">
        <f>IFERROR(__xludf.DUMMYFUNCTION("""COMPUTED_VALUE"""),"Fevereiro")</f>
        <v>Fevereiro</v>
      </c>
      <c r="C747" s="6" t="str">
        <f>IFERROR(__xludf.DUMMYFUNCTION("""COMPUTED_VALUE"""),"LESÃO CORPORAL DOLOSA")</f>
        <v>LESÃO CORPORAL DOLOSA</v>
      </c>
      <c r="D747" s="6">
        <f>IFERROR(__xludf.DUMMYFUNCTION("""COMPUTED_VALUE"""),967.0)</f>
        <v>967</v>
      </c>
      <c r="E747" s="6">
        <f>IFERROR(__xludf.DUMMYFUNCTION("""COMPUTED_VALUE"""),812.0)</f>
        <v>812</v>
      </c>
      <c r="F747" s="6">
        <f>IFERROR(__xludf.DUMMYFUNCTION("""COMPUTED_VALUE"""),2998.0)</f>
        <v>2998</v>
      </c>
      <c r="G747" s="6">
        <f>IFERROR(__xludf.DUMMYFUNCTION("""COMPUTED_VALUE"""),4777.0)</f>
        <v>4777</v>
      </c>
    </row>
    <row r="748">
      <c r="A748" s="6">
        <f>IFERROR(__xludf.DUMMYFUNCTION("""COMPUTED_VALUE"""),2016.0)</f>
        <v>2016</v>
      </c>
      <c r="B748" s="6" t="str">
        <f>IFERROR(__xludf.DUMMYFUNCTION("""COMPUTED_VALUE"""),"Fevereiro")</f>
        <v>Fevereiro</v>
      </c>
      <c r="C748" s="6" t="str">
        <f>IFERROR(__xludf.DUMMYFUNCTION("""COMPUTED_VALUE"""),"MAUS TRATOS")</f>
        <v>MAUS TRATOS</v>
      </c>
      <c r="D748" s="6">
        <f>IFERROR(__xludf.DUMMYFUNCTION("""COMPUTED_VALUE"""),3.0)</f>
        <v>3</v>
      </c>
      <c r="E748" s="6">
        <f>IFERROR(__xludf.DUMMYFUNCTION("""COMPUTED_VALUE"""),2.0)</f>
        <v>2</v>
      </c>
      <c r="F748" s="6">
        <f>IFERROR(__xludf.DUMMYFUNCTION("""COMPUTED_VALUE"""),16.0)</f>
        <v>16</v>
      </c>
      <c r="G748" s="6">
        <f>IFERROR(__xludf.DUMMYFUNCTION("""COMPUTED_VALUE"""),21.0)</f>
        <v>21</v>
      </c>
    </row>
    <row r="749">
      <c r="A749" s="6">
        <f>IFERROR(__xludf.DUMMYFUNCTION("""COMPUTED_VALUE"""),2016.0)</f>
        <v>2016</v>
      </c>
      <c r="B749" s="6" t="str">
        <f>IFERROR(__xludf.DUMMYFUNCTION("""COMPUTED_VALUE"""),"Fevereiro")</f>
        <v>Fevereiro</v>
      </c>
      <c r="C749" s="6" t="str">
        <f>IFERROR(__xludf.DUMMYFUNCTION("""COMPUTED_VALUE"""),"CALÚNIA - DIFAMAÇÃO - INJÚRIA")</f>
        <v>CALÚNIA - DIFAMAÇÃO - INJÚRIA</v>
      </c>
      <c r="D749" s="6">
        <f>IFERROR(__xludf.DUMMYFUNCTION("""COMPUTED_VALUE"""),184.0)</f>
        <v>184</v>
      </c>
      <c r="E749" s="6">
        <f>IFERROR(__xludf.DUMMYFUNCTION("""COMPUTED_VALUE"""),165.0)</f>
        <v>165</v>
      </c>
      <c r="F749" s="6">
        <f>IFERROR(__xludf.DUMMYFUNCTION("""COMPUTED_VALUE"""),711.0)</f>
        <v>711</v>
      </c>
      <c r="G749" s="6">
        <f>IFERROR(__xludf.DUMMYFUNCTION("""COMPUTED_VALUE"""),1060.0)</f>
        <v>1060</v>
      </c>
    </row>
    <row r="750">
      <c r="A750" s="6">
        <f>IFERROR(__xludf.DUMMYFUNCTION("""COMPUTED_VALUE"""),2016.0)</f>
        <v>2016</v>
      </c>
      <c r="B750" s="6" t="str">
        <f>IFERROR(__xludf.DUMMYFUNCTION("""COMPUTED_VALUE"""),"Fevereiro")</f>
        <v>Fevereiro</v>
      </c>
      <c r="C750" s="6" t="str">
        <f>IFERROR(__xludf.DUMMYFUNCTION("""COMPUTED_VALUE"""),"CONSTRANGIMENTO ILEGAL")</f>
        <v>CONSTRANGIMENTO ILEGAL</v>
      </c>
      <c r="D750" s="6">
        <f>IFERROR(__xludf.DUMMYFUNCTION("""COMPUTED_VALUE"""),1.0)</f>
        <v>1</v>
      </c>
      <c r="E750" s="6">
        <f>IFERROR(__xludf.DUMMYFUNCTION("""COMPUTED_VALUE"""),0.0)</f>
        <v>0</v>
      </c>
      <c r="F750" s="6">
        <f>IFERROR(__xludf.DUMMYFUNCTION("""COMPUTED_VALUE"""),5.0)</f>
        <v>5</v>
      </c>
      <c r="G750" s="6">
        <f>IFERROR(__xludf.DUMMYFUNCTION("""COMPUTED_VALUE"""),6.0)</f>
        <v>6</v>
      </c>
    </row>
    <row r="751">
      <c r="A751" s="6">
        <f>IFERROR(__xludf.DUMMYFUNCTION("""COMPUTED_VALUE"""),2016.0)</f>
        <v>2016</v>
      </c>
      <c r="B751" s="6" t="str">
        <f>IFERROR(__xludf.DUMMYFUNCTION("""COMPUTED_VALUE"""),"Fevereiro")</f>
        <v>Fevereiro</v>
      </c>
      <c r="C751" s="6" t="str">
        <f>IFERROR(__xludf.DUMMYFUNCTION("""COMPUTED_VALUE"""),"AMEAÇA")</f>
        <v>AMEAÇA</v>
      </c>
      <c r="D751" s="6">
        <f>IFERROR(__xludf.DUMMYFUNCTION("""COMPUTED_VALUE"""),895.0)</f>
        <v>895</v>
      </c>
      <c r="E751" s="6">
        <f>IFERROR(__xludf.DUMMYFUNCTION("""COMPUTED_VALUE"""),804.0)</f>
        <v>804</v>
      </c>
      <c r="F751" s="6">
        <f>IFERROR(__xludf.DUMMYFUNCTION("""COMPUTED_VALUE"""),3112.0)</f>
        <v>3112</v>
      </c>
      <c r="G751" s="6">
        <f>IFERROR(__xludf.DUMMYFUNCTION("""COMPUTED_VALUE"""),4811.0)</f>
        <v>4811</v>
      </c>
    </row>
    <row r="752">
      <c r="A752" s="6">
        <f>IFERROR(__xludf.DUMMYFUNCTION("""COMPUTED_VALUE"""),2016.0)</f>
        <v>2016</v>
      </c>
      <c r="B752" s="6" t="str">
        <f>IFERROR(__xludf.DUMMYFUNCTION("""COMPUTED_VALUE"""),"Fevereiro")</f>
        <v>Fevereiro</v>
      </c>
      <c r="C752" s="6" t="str">
        <f>IFERROR(__xludf.DUMMYFUNCTION("""COMPUTED_VALUE"""),"INVASÃO DE DOMICÍLIO")</f>
        <v>INVASÃO DE DOMICÍLIO</v>
      </c>
      <c r="D752" s="6">
        <f>IFERROR(__xludf.DUMMYFUNCTION("""COMPUTED_VALUE"""),1.0)</f>
        <v>1</v>
      </c>
      <c r="E752" s="6">
        <f>IFERROR(__xludf.DUMMYFUNCTION("""COMPUTED_VALUE"""),2.0)</f>
        <v>2</v>
      </c>
      <c r="F752" s="6">
        <f>IFERROR(__xludf.DUMMYFUNCTION("""COMPUTED_VALUE"""),14.0)</f>
        <v>14</v>
      </c>
      <c r="G752" s="6">
        <f>IFERROR(__xludf.DUMMYFUNCTION("""COMPUTED_VALUE"""),17.0)</f>
        <v>17</v>
      </c>
    </row>
    <row r="753">
      <c r="A753" s="6">
        <f>IFERROR(__xludf.DUMMYFUNCTION("""COMPUTED_VALUE"""),2016.0)</f>
        <v>2016</v>
      </c>
      <c r="B753" s="6" t="str">
        <f>IFERROR(__xludf.DUMMYFUNCTION("""COMPUTED_VALUE"""),"Fevereiro")</f>
        <v>Fevereiro</v>
      </c>
      <c r="C753" s="6" t="str">
        <f>IFERROR(__xludf.DUMMYFUNCTION("""COMPUTED_VALUE"""),"DANO")</f>
        <v>DANO</v>
      </c>
      <c r="D753" s="6">
        <f>IFERROR(__xludf.DUMMYFUNCTION("""COMPUTED_VALUE"""),10.0)</f>
        <v>10</v>
      </c>
      <c r="E753" s="6">
        <f>IFERROR(__xludf.DUMMYFUNCTION("""COMPUTED_VALUE"""),10.0)</f>
        <v>10</v>
      </c>
      <c r="F753" s="6">
        <f>IFERROR(__xludf.DUMMYFUNCTION("""COMPUTED_VALUE"""),58.0)</f>
        <v>58</v>
      </c>
      <c r="G753" s="6">
        <f>IFERROR(__xludf.DUMMYFUNCTION("""COMPUTED_VALUE"""),78.0)</f>
        <v>78</v>
      </c>
    </row>
    <row r="754">
      <c r="A754" s="6">
        <f>IFERROR(__xludf.DUMMYFUNCTION("""COMPUTED_VALUE"""),2016.0)</f>
        <v>2016</v>
      </c>
      <c r="B754" s="6" t="str">
        <f>IFERROR(__xludf.DUMMYFUNCTION("""COMPUTED_VALUE"""),"Fevereiro")</f>
        <v>Fevereiro</v>
      </c>
      <c r="C754" s="6" t="str">
        <f>IFERROR(__xludf.DUMMYFUNCTION("""COMPUTED_VALUE"""),"ESTUPRO CONSUMADO")</f>
        <v>ESTUPRO CONSUMADO</v>
      </c>
      <c r="D754" s="6">
        <f>IFERROR(__xludf.DUMMYFUNCTION("""COMPUTED_VALUE"""),10.0)</f>
        <v>10</v>
      </c>
      <c r="E754" s="6">
        <f>IFERROR(__xludf.DUMMYFUNCTION("""COMPUTED_VALUE"""),7.0)</f>
        <v>7</v>
      </c>
      <c r="F754" s="6">
        <f>IFERROR(__xludf.DUMMYFUNCTION("""COMPUTED_VALUE"""),18.0)</f>
        <v>18</v>
      </c>
      <c r="G754" s="6">
        <f>IFERROR(__xludf.DUMMYFUNCTION("""COMPUTED_VALUE"""),35.0)</f>
        <v>35</v>
      </c>
    </row>
    <row r="755">
      <c r="A755" s="6">
        <f>IFERROR(__xludf.DUMMYFUNCTION("""COMPUTED_VALUE"""),2016.0)</f>
        <v>2016</v>
      </c>
      <c r="B755" s="6" t="str">
        <f>IFERROR(__xludf.DUMMYFUNCTION("""COMPUTED_VALUE"""),"Fevereiro")</f>
        <v>Fevereiro</v>
      </c>
      <c r="C755" s="6" t="str">
        <f>IFERROR(__xludf.DUMMYFUNCTION("""COMPUTED_VALUE"""),"ESTUPRO TENTADO")</f>
        <v>ESTUPRO TENTADO</v>
      </c>
      <c r="D755" s="6">
        <f>IFERROR(__xludf.DUMMYFUNCTION("""COMPUTED_VALUE"""),0.0)</f>
        <v>0</v>
      </c>
      <c r="E755" s="6">
        <f>IFERROR(__xludf.DUMMYFUNCTION("""COMPUTED_VALUE"""),0.0)</f>
        <v>0</v>
      </c>
      <c r="F755" s="6">
        <f>IFERROR(__xludf.DUMMYFUNCTION("""COMPUTED_VALUE"""),1.0)</f>
        <v>1</v>
      </c>
      <c r="G755" s="6">
        <f>IFERROR(__xludf.DUMMYFUNCTION("""COMPUTED_VALUE"""),1.0)</f>
        <v>1</v>
      </c>
    </row>
    <row r="756">
      <c r="A756" s="6">
        <f>IFERROR(__xludf.DUMMYFUNCTION("""COMPUTED_VALUE"""),2016.0)</f>
        <v>2016</v>
      </c>
      <c r="B756" s="6" t="str">
        <f>IFERROR(__xludf.DUMMYFUNCTION("""COMPUTED_VALUE"""),"Fevereiro")</f>
        <v>Fevereiro</v>
      </c>
      <c r="C756" s="6" t="str">
        <f>IFERROR(__xludf.DUMMYFUNCTION("""COMPUTED_VALUE"""),"ESTUPRO DE VULNERÁVEL CONSUMADO")</f>
        <v>ESTUPRO DE VULNERÁVEL CONSUMADO</v>
      </c>
      <c r="D756" s="6">
        <f>IFERROR(__xludf.DUMMYFUNCTION("""COMPUTED_VALUE"""),3.0)</f>
        <v>3</v>
      </c>
      <c r="E756" s="6">
        <f>IFERROR(__xludf.DUMMYFUNCTION("""COMPUTED_VALUE"""),4.0)</f>
        <v>4</v>
      </c>
      <c r="F756" s="6">
        <f>IFERROR(__xludf.DUMMYFUNCTION("""COMPUTED_VALUE"""),18.0)</f>
        <v>18</v>
      </c>
      <c r="G756" s="6">
        <f>IFERROR(__xludf.DUMMYFUNCTION("""COMPUTED_VALUE"""),25.0)</f>
        <v>25</v>
      </c>
    </row>
    <row r="757">
      <c r="A757" s="6">
        <f>IFERROR(__xludf.DUMMYFUNCTION("""COMPUTED_VALUE"""),2016.0)</f>
        <v>2016</v>
      </c>
      <c r="B757" s="6" t="str">
        <f>IFERROR(__xludf.DUMMYFUNCTION("""COMPUTED_VALUE"""),"Fevereiro")</f>
        <v>Fevereiro</v>
      </c>
      <c r="C757" s="6" t="str">
        <f>IFERROR(__xludf.DUMMYFUNCTION("""COMPUTED_VALUE"""),"OUTROS C/C/ DIGNIDADE SEXUAL")</f>
        <v>OUTROS C/C/ DIGNIDADE SEXUAL</v>
      </c>
      <c r="D757" s="6">
        <f>IFERROR(__xludf.DUMMYFUNCTION("""COMPUTED_VALUE"""),0.0)</f>
        <v>0</v>
      </c>
      <c r="E757" s="6">
        <f>IFERROR(__xludf.DUMMYFUNCTION("""COMPUTED_VALUE"""),0.0)</f>
        <v>0</v>
      </c>
      <c r="F757" s="6">
        <f>IFERROR(__xludf.DUMMYFUNCTION("""COMPUTED_VALUE"""),2.0)</f>
        <v>2</v>
      </c>
      <c r="G757" s="6">
        <f>IFERROR(__xludf.DUMMYFUNCTION("""COMPUTED_VALUE"""),2.0)</f>
        <v>2</v>
      </c>
    </row>
    <row r="758">
      <c r="A758" s="6">
        <f>IFERROR(__xludf.DUMMYFUNCTION("""COMPUTED_VALUE"""),2016.0)</f>
        <v>2016</v>
      </c>
      <c r="B758" s="6" t="str">
        <f>IFERROR(__xludf.DUMMYFUNCTION("""COMPUTED_VALUE"""),"Março")</f>
        <v>Março</v>
      </c>
      <c r="C758" s="6" t="str">
        <f>IFERROR(__xludf.DUMMYFUNCTION("""COMPUTED_VALUE"""),"HOMICÍDIO DOLOSO (exclui FEMINICÍDIO)")</f>
        <v>HOMICÍDIO DOLOSO (exclui FEMINICÍDIO)</v>
      </c>
      <c r="D758" s="6">
        <f>IFERROR(__xludf.DUMMYFUNCTION("""COMPUTED_VALUE"""),1.0)</f>
        <v>1</v>
      </c>
      <c r="E758" s="6">
        <f>IFERROR(__xludf.DUMMYFUNCTION("""COMPUTED_VALUE"""),0.0)</f>
        <v>0</v>
      </c>
      <c r="F758" s="6">
        <f>IFERROR(__xludf.DUMMYFUNCTION("""COMPUTED_VALUE"""),2.0)</f>
        <v>2</v>
      </c>
      <c r="G758" s="6">
        <f>IFERROR(__xludf.DUMMYFUNCTION("""COMPUTED_VALUE"""),3.0)</f>
        <v>3</v>
      </c>
    </row>
    <row r="759">
      <c r="A759" s="6">
        <f>IFERROR(__xludf.DUMMYFUNCTION("""COMPUTED_VALUE"""),2016.0)</f>
        <v>2016</v>
      </c>
      <c r="B759" s="6" t="str">
        <f>IFERROR(__xludf.DUMMYFUNCTION("""COMPUTED_VALUE"""),"Março")</f>
        <v>Março</v>
      </c>
      <c r="C759" s="6" t="str">
        <f>IFERROR(__xludf.DUMMYFUNCTION("""COMPUTED_VALUE"""),"FEMINICÍDIO")</f>
        <v>FEMINICÍDIO</v>
      </c>
      <c r="D759" s="6">
        <f>IFERROR(__xludf.DUMMYFUNCTION("""COMPUTED_VALUE"""),1.0)</f>
        <v>1</v>
      </c>
      <c r="E759" s="6">
        <f>IFERROR(__xludf.DUMMYFUNCTION("""COMPUTED_VALUE"""),1.0)</f>
        <v>1</v>
      </c>
      <c r="F759" s="6">
        <f>IFERROR(__xludf.DUMMYFUNCTION("""COMPUTED_VALUE"""),2.0)</f>
        <v>2</v>
      </c>
      <c r="G759" s="6">
        <f>IFERROR(__xludf.DUMMYFUNCTION("""COMPUTED_VALUE"""),4.0)</f>
        <v>4</v>
      </c>
    </row>
    <row r="760">
      <c r="A760" s="6">
        <f>IFERROR(__xludf.DUMMYFUNCTION("""COMPUTED_VALUE"""),2016.0)</f>
        <v>2016</v>
      </c>
      <c r="B760" s="6" t="str">
        <f>IFERROR(__xludf.DUMMYFUNCTION("""COMPUTED_VALUE"""),"Março")</f>
        <v>Março</v>
      </c>
      <c r="C760" s="6" t="str">
        <f>IFERROR(__xludf.DUMMYFUNCTION("""COMPUTED_VALUE"""),"HOMICÍDIO CULPOSO")</f>
        <v>HOMICÍDIO CULPOSO</v>
      </c>
      <c r="D760" s="6">
        <f>IFERROR(__xludf.DUMMYFUNCTION("""COMPUTED_VALUE"""),0.0)</f>
        <v>0</v>
      </c>
      <c r="E760" s="6">
        <f>IFERROR(__xludf.DUMMYFUNCTION("""COMPUTED_VALUE"""),0.0)</f>
        <v>0</v>
      </c>
      <c r="F760" s="6">
        <f>IFERROR(__xludf.DUMMYFUNCTION("""COMPUTED_VALUE"""),0.0)</f>
        <v>0</v>
      </c>
      <c r="G760" s="6">
        <f>IFERROR(__xludf.DUMMYFUNCTION("""COMPUTED_VALUE"""),0.0)</f>
        <v>0</v>
      </c>
    </row>
    <row r="761">
      <c r="A761" s="6">
        <f>IFERROR(__xludf.DUMMYFUNCTION("""COMPUTED_VALUE"""),2016.0)</f>
        <v>2016</v>
      </c>
      <c r="B761" s="6" t="str">
        <f>IFERROR(__xludf.DUMMYFUNCTION("""COMPUTED_VALUE"""),"Março")</f>
        <v>Março</v>
      </c>
      <c r="C761" s="6" t="str">
        <f>IFERROR(__xludf.DUMMYFUNCTION("""COMPUTED_VALUE"""),"TENTATIVA DE HOMICÍDIO")</f>
        <v>TENTATIVA DE HOMICÍDIO</v>
      </c>
      <c r="D761" s="6">
        <f>IFERROR(__xludf.DUMMYFUNCTION("""COMPUTED_VALUE"""),1.0)</f>
        <v>1</v>
      </c>
      <c r="E761" s="6">
        <f>IFERROR(__xludf.DUMMYFUNCTION("""COMPUTED_VALUE"""),2.0)</f>
        <v>2</v>
      </c>
      <c r="F761" s="6">
        <f>IFERROR(__xludf.DUMMYFUNCTION("""COMPUTED_VALUE"""),11.0)</f>
        <v>11</v>
      </c>
      <c r="G761" s="6">
        <f>IFERROR(__xludf.DUMMYFUNCTION("""COMPUTED_VALUE"""),14.0)</f>
        <v>14</v>
      </c>
    </row>
    <row r="762">
      <c r="A762" s="6">
        <f>IFERROR(__xludf.DUMMYFUNCTION("""COMPUTED_VALUE"""),2016.0)</f>
        <v>2016</v>
      </c>
      <c r="B762" s="6" t="str">
        <f>IFERROR(__xludf.DUMMYFUNCTION("""COMPUTED_VALUE"""),"Março")</f>
        <v>Março</v>
      </c>
      <c r="C762" s="6" t="str">
        <f>IFERROR(__xludf.DUMMYFUNCTION("""COMPUTED_VALUE"""),"LESÃO CORPORAL DOLOSA")</f>
        <v>LESÃO CORPORAL DOLOSA</v>
      </c>
      <c r="D762" s="6">
        <f>IFERROR(__xludf.DUMMYFUNCTION("""COMPUTED_VALUE"""),842.0)</f>
        <v>842</v>
      </c>
      <c r="E762" s="6">
        <f>IFERROR(__xludf.DUMMYFUNCTION("""COMPUTED_VALUE"""),741.0)</f>
        <v>741</v>
      </c>
      <c r="F762" s="6">
        <f>IFERROR(__xludf.DUMMYFUNCTION("""COMPUTED_VALUE"""),2831.0)</f>
        <v>2831</v>
      </c>
      <c r="G762" s="6">
        <f>IFERROR(__xludf.DUMMYFUNCTION("""COMPUTED_VALUE"""),4414.0)</f>
        <v>4414</v>
      </c>
    </row>
    <row r="763">
      <c r="A763" s="6">
        <f>IFERROR(__xludf.DUMMYFUNCTION("""COMPUTED_VALUE"""),2016.0)</f>
        <v>2016</v>
      </c>
      <c r="B763" s="6" t="str">
        <f>IFERROR(__xludf.DUMMYFUNCTION("""COMPUTED_VALUE"""),"Março")</f>
        <v>Março</v>
      </c>
      <c r="C763" s="6" t="str">
        <f>IFERROR(__xludf.DUMMYFUNCTION("""COMPUTED_VALUE"""),"MAUS TRATOS")</f>
        <v>MAUS TRATOS</v>
      </c>
      <c r="D763" s="6">
        <f>IFERROR(__xludf.DUMMYFUNCTION("""COMPUTED_VALUE"""),2.0)</f>
        <v>2</v>
      </c>
      <c r="E763" s="6">
        <f>IFERROR(__xludf.DUMMYFUNCTION("""COMPUTED_VALUE"""),2.0)</f>
        <v>2</v>
      </c>
      <c r="F763" s="6">
        <f>IFERROR(__xludf.DUMMYFUNCTION("""COMPUTED_VALUE"""),15.0)</f>
        <v>15</v>
      </c>
      <c r="G763" s="6">
        <f>IFERROR(__xludf.DUMMYFUNCTION("""COMPUTED_VALUE"""),19.0)</f>
        <v>19</v>
      </c>
    </row>
    <row r="764">
      <c r="A764" s="6">
        <f>IFERROR(__xludf.DUMMYFUNCTION("""COMPUTED_VALUE"""),2016.0)</f>
        <v>2016</v>
      </c>
      <c r="B764" s="6" t="str">
        <f>IFERROR(__xludf.DUMMYFUNCTION("""COMPUTED_VALUE"""),"Março")</f>
        <v>Março</v>
      </c>
      <c r="C764" s="6" t="str">
        <f>IFERROR(__xludf.DUMMYFUNCTION("""COMPUTED_VALUE"""),"CALÚNIA - DIFAMAÇÃO - INJÚRIA")</f>
        <v>CALÚNIA - DIFAMAÇÃO - INJÚRIA</v>
      </c>
      <c r="D764" s="6">
        <f>IFERROR(__xludf.DUMMYFUNCTION("""COMPUTED_VALUE"""),172.0)</f>
        <v>172</v>
      </c>
      <c r="E764" s="6">
        <f>IFERROR(__xludf.DUMMYFUNCTION("""COMPUTED_VALUE"""),151.0)</f>
        <v>151</v>
      </c>
      <c r="F764" s="6">
        <f>IFERROR(__xludf.DUMMYFUNCTION("""COMPUTED_VALUE"""),649.0)</f>
        <v>649</v>
      </c>
      <c r="G764" s="6">
        <f>IFERROR(__xludf.DUMMYFUNCTION("""COMPUTED_VALUE"""),972.0)</f>
        <v>972</v>
      </c>
    </row>
    <row r="765">
      <c r="A765" s="6">
        <f>IFERROR(__xludf.DUMMYFUNCTION("""COMPUTED_VALUE"""),2016.0)</f>
        <v>2016</v>
      </c>
      <c r="B765" s="6" t="str">
        <f>IFERROR(__xludf.DUMMYFUNCTION("""COMPUTED_VALUE"""),"Março")</f>
        <v>Março</v>
      </c>
      <c r="C765" s="6" t="str">
        <f>IFERROR(__xludf.DUMMYFUNCTION("""COMPUTED_VALUE"""),"CONSTRANGIMENTO ILEGAL")</f>
        <v>CONSTRANGIMENTO ILEGAL</v>
      </c>
      <c r="D765" s="6">
        <f>IFERROR(__xludf.DUMMYFUNCTION("""COMPUTED_VALUE"""),1.0)</f>
        <v>1</v>
      </c>
      <c r="E765" s="6">
        <f>IFERROR(__xludf.DUMMYFUNCTION("""COMPUTED_VALUE"""),0.0)</f>
        <v>0</v>
      </c>
      <c r="F765" s="6">
        <f>IFERROR(__xludf.DUMMYFUNCTION("""COMPUTED_VALUE"""),5.0)</f>
        <v>5</v>
      </c>
      <c r="G765" s="6">
        <f>IFERROR(__xludf.DUMMYFUNCTION("""COMPUTED_VALUE"""),6.0)</f>
        <v>6</v>
      </c>
    </row>
    <row r="766">
      <c r="A766" s="6">
        <f>IFERROR(__xludf.DUMMYFUNCTION("""COMPUTED_VALUE"""),2016.0)</f>
        <v>2016</v>
      </c>
      <c r="B766" s="6" t="str">
        <f>IFERROR(__xludf.DUMMYFUNCTION("""COMPUTED_VALUE"""),"Março")</f>
        <v>Março</v>
      </c>
      <c r="C766" s="6" t="str">
        <f>IFERROR(__xludf.DUMMYFUNCTION("""COMPUTED_VALUE"""),"AMEAÇA")</f>
        <v>AMEAÇA</v>
      </c>
      <c r="D766" s="6">
        <f>IFERROR(__xludf.DUMMYFUNCTION("""COMPUTED_VALUE"""),811.0)</f>
        <v>811</v>
      </c>
      <c r="E766" s="6">
        <f>IFERROR(__xludf.DUMMYFUNCTION("""COMPUTED_VALUE"""),743.0)</f>
        <v>743</v>
      </c>
      <c r="F766" s="6">
        <f>IFERROR(__xludf.DUMMYFUNCTION("""COMPUTED_VALUE"""),2894.0)</f>
        <v>2894</v>
      </c>
      <c r="G766" s="6">
        <f>IFERROR(__xludf.DUMMYFUNCTION("""COMPUTED_VALUE"""),4448.0)</f>
        <v>4448</v>
      </c>
    </row>
    <row r="767">
      <c r="A767" s="6">
        <f>IFERROR(__xludf.DUMMYFUNCTION("""COMPUTED_VALUE"""),2016.0)</f>
        <v>2016</v>
      </c>
      <c r="B767" s="6" t="str">
        <f>IFERROR(__xludf.DUMMYFUNCTION("""COMPUTED_VALUE"""),"Março")</f>
        <v>Março</v>
      </c>
      <c r="C767" s="6" t="str">
        <f>IFERROR(__xludf.DUMMYFUNCTION("""COMPUTED_VALUE"""),"INVASÃO DE DOMICÍLIO")</f>
        <v>INVASÃO DE DOMICÍLIO</v>
      </c>
      <c r="D767" s="6">
        <f>IFERROR(__xludf.DUMMYFUNCTION("""COMPUTED_VALUE"""),1.0)</f>
        <v>1</v>
      </c>
      <c r="E767" s="6">
        <f>IFERROR(__xludf.DUMMYFUNCTION("""COMPUTED_VALUE"""),2.0)</f>
        <v>2</v>
      </c>
      <c r="F767" s="6">
        <f>IFERROR(__xludf.DUMMYFUNCTION("""COMPUTED_VALUE"""),12.0)</f>
        <v>12</v>
      </c>
      <c r="G767" s="6">
        <f>IFERROR(__xludf.DUMMYFUNCTION("""COMPUTED_VALUE"""),15.0)</f>
        <v>15</v>
      </c>
    </row>
    <row r="768">
      <c r="A768" s="6">
        <f>IFERROR(__xludf.DUMMYFUNCTION("""COMPUTED_VALUE"""),2016.0)</f>
        <v>2016</v>
      </c>
      <c r="B768" s="6" t="str">
        <f>IFERROR(__xludf.DUMMYFUNCTION("""COMPUTED_VALUE"""),"Março")</f>
        <v>Março</v>
      </c>
      <c r="C768" s="6" t="str">
        <f>IFERROR(__xludf.DUMMYFUNCTION("""COMPUTED_VALUE"""),"DANO")</f>
        <v>DANO</v>
      </c>
      <c r="D768" s="6">
        <f>IFERROR(__xludf.DUMMYFUNCTION("""COMPUTED_VALUE"""),9.0)</f>
        <v>9</v>
      </c>
      <c r="E768" s="6">
        <f>IFERROR(__xludf.DUMMYFUNCTION("""COMPUTED_VALUE"""),9.0)</f>
        <v>9</v>
      </c>
      <c r="F768" s="6">
        <f>IFERROR(__xludf.DUMMYFUNCTION("""COMPUTED_VALUE"""),51.0)</f>
        <v>51</v>
      </c>
      <c r="G768" s="6">
        <f>IFERROR(__xludf.DUMMYFUNCTION("""COMPUTED_VALUE"""),69.0)</f>
        <v>69</v>
      </c>
    </row>
    <row r="769">
      <c r="A769" s="6">
        <f>IFERROR(__xludf.DUMMYFUNCTION("""COMPUTED_VALUE"""),2016.0)</f>
        <v>2016</v>
      </c>
      <c r="B769" s="6" t="str">
        <f>IFERROR(__xludf.DUMMYFUNCTION("""COMPUTED_VALUE"""),"Março")</f>
        <v>Março</v>
      </c>
      <c r="C769" s="6" t="str">
        <f>IFERROR(__xludf.DUMMYFUNCTION("""COMPUTED_VALUE"""),"ESTUPRO CONSUMADO")</f>
        <v>ESTUPRO CONSUMADO</v>
      </c>
      <c r="D769" s="6">
        <f>IFERROR(__xludf.DUMMYFUNCTION("""COMPUTED_VALUE"""),9.0)</f>
        <v>9</v>
      </c>
      <c r="E769" s="6">
        <f>IFERROR(__xludf.DUMMYFUNCTION("""COMPUTED_VALUE"""),6.0)</f>
        <v>6</v>
      </c>
      <c r="F769" s="6">
        <f>IFERROR(__xludf.DUMMYFUNCTION("""COMPUTED_VALUE"""),17.0)</f>
        <v>17</v>
      </c>
      <c r="G769" s="6">
        <f>IFERROR(__xludf.DUMMYFUNCTION("""COMPUTED_VALUE"""),32.0)</f>
        <v>32</v>
      </c>
    </row>
    <row r="770">
      <c r="A770" s="6">
        <f>IFERROR(__xludf.DUMMYFUNCTION("""COMPUTED_VALUE"""),2016.0)</f>
        <v>2016</v>
      </c>
      <c r="B770" s="6" t="str">
        <f>IFERROR(__xludf.DUMMYFUNCTION("""COMPUTED_VALUE"""),"Março")</f>
        <v>Março</v>
      </c>
      <c r="C770" s="6" t="str">
        <f>IFERROR(__xludf.DUMMYFUNCTION("""COMPUTED_VALUE"""),"ESTUPRO TENTADO")</f>
        <v>ESTUPRO TENTADO</v>
      </c>
      <c r="D770" s="6">
        <f>IFERROR(__xludf.DUMMYFUNCTION("""COMPUTED_VALUE"""),0.0)</f>
        <v>0</v>
      </c>
      <c r="E770" s="6">
        <f>IFERROR(__xludf.DUMMYFUNCTION("""COMPUTED_VALUE"""),0.0)</f>
        <v>0</v>
      </c>
      <c r="F770" s="6">
        <f>IFERROR(__xludf.DUMMYFUNCTION("""COMPUTED_VALUE"""),1.0)</f>
        <v>1</v>
      </c>
      <c r="G770" s="6">
        <f>IFERROR(__xludf.DUMMYFUNCTION("""COMPUTED_VALUE"""),1.0)</f>
        <v>1</v>
      </c>
    </row>
    <row r="771">
      <c r="A771" s="6">
        <f>IFERROR(__xludf.DUMMYFUNCTION("""COMPUTED_VALUE"""),2016.0)</f>
        <v>2016</v>
      </c>
      <c r="B771" s="6" t="str">
        <f>IFERROR(__xludf.DUMMYFUNCTION("""COMPUTED_VALUE"""),"Março")</f>
        <v>Março</v>
      </c>
      <c r="C771" s="6" t="str">
        <f>IFERROR(__xludf.DUMMYFUNCTION("""COMPUTED_VALUE"""),"ESTUPRO DE VULNERÁVEL CONSUMADO")</f>
        <v>ESTUPRO DE VULNERÁVEL CONSUMADO</v>
      </c>
      <c r="D771" s="6">
        <f>IFERROR(__xludf.DUMMYFUNCTION("""COMPUTED_VALUE"""),3.0)</f>
        <v>3</v>
      </c>
      <c r="E771" s="6">
        <f>IFERROR(__xludf.DUMMYFUNCTION("""COMPUTED_VALUE"""),4.0)</f>
        <v>4</v>
      </c>
      <c r="F771" s="6">
        <f>IFERROR(__xludf.DUMMYFUNCTION("""COMPUTED_VALUE"""),16.0)</f>
        <v>16</v>
      </c>
      <c r="G771" s="6">
        <f>IFERROR(__xludf.DUMMYFUNCTION("""COMPUTED_VALUE"""),23.0)</f>
        <v>23</v>
      </c>
    </row>
    <row r="772">
      <c r="A772" s="6">
        <f>IFERROR(__xludf.DUMMYFUNCTION("""COMPUTED_VALUE"""),2016.0)</f>
        <v>2016</v>
      </c>
      <c r="B772" s="6" t="str">
        <f>IFERROR(__xludf.DUMMYFUNCTION("""COMPUTED_VALUE"""),"Março")</f>
        <v>Março</v>
      </c>
      <c r="C772" s="6" t="str">
        <f>IFERROR(__xludf.DUMMYFUNCTION("""COMPUTED_VALUE"""),"OUTROS C/C/ DIGNIDADE SEXUAL")</f>
        <v>OUTROS C/C/ DIGNIDADE SEXUAL</v>
      </c>
      <c r="D772" s="6">
        <f>IFERROR(__xludf.DUMMYFUNCTION("""COMPUTED_VALUE"""),0.0)</f>
        <v>0</v>
      </c>
      <c r="E772" s="6">
        <f>IFERROR(__xludf.DUMMYFUNCTION("""COMPUTED_VALUE"""),0.0)</f>
        <v>0</v>
      </c>
      <c r="F772" s="6">
        <f>IFERROR(__xludf.DUMMYFUNCTION("""COMPUTED_VALUE"""),2.0)</f>
        <v>2</v>
      </c>
      <c r="G772" s="6">
        <f>IFERROR(__xludf.DUMMYFUNCTION("""COMPUTED_VALUE"""),2.0)</f>
        <v>2</v>
      </c>
    </row>
    <row r="773">
      <c r="A773" s="6">
        <f>IFERROR(__xludf.DUMMYFUNCTION("""COMPUTED_VALUE"""),2016.0)</f>
        <v>2016</v>
      </c>
      <c r="B773" s="6" t="str">
        <f>IFERROR(__xludf.DUMMYFUNCTION("""COMPUTED_VALUE"""),"Abril")</f>
        <v>Abril</v>
      </c>
      <c r="C773" s="6" t="str">
        <f>IFERROR(__xludf.DUMMYFUNCTION("""COMPUTED_VALUE"""),"HOMICÍDIO DOLOSO (exclui FEMINICÍDIO)")</f>
        <v>HOMICÍDIO DOLOSO (exclui FEMINICÍDIO)</v>
      </c>
      <c r="D773" s="6">
        <f>IFERROR(__xludf.DUMMYFUNCTION("""COMPUTED_VALUE"""),2.0)</f>
        <v>2</v>
      </c>
      <c r="E773" s="6">
        <f>IFERROR(__xludf.DUMMYFUNCTION("""COMPUTED_VALUE"""),0.0)</f>
        <v>0</v>
      </c>
      <c r="F773" s="6">
        <f>IFERROR(__xludf.DUMMYFUNCTION("""COMPUTED_VALUE"""),1.0)</f>
        <v>1</v>
      </c>
      <c r="G773" s="6">
        <f>IFERROR(__xludf.DUMMYFUNCTION("""COMPUTED_VALUE"""),3.0)</f>
        <v>3</v>
      </c>
    </row>
    <row r="774">
      <c r="A774" s="6">
        <f>IFERROR(__xludf.DUMMYFUNCTION("""COMPUTED_VALUE"""),2016.0)</f>
        <v>2016</v>
      </c>
      <c r="B774" s="6" t="str">
        <f>IFERROR(__xludf.DUMMYFUNCTION("""COMPUTED_VALUE"""),"Abril")</f>
        <v>Abril</v>
      </c>
      <c r="C774" s="6" t="str">
        <f>IFERROR(__xludf.DUMMYFUNCTION("""COMPUTED_VALUE"""),"FEMINICÍDIO")</f>
        <v>FEMINICÍDIO</v>
      </c>
      <c r="D774" s="6">
        <f>IFERROR(__xludf.DUMMYFUNCTION("""COMPUTED_VALUE"""),1.0)</f>
        <v>1</v>
      </c>
      <c r="E774" s="6">
        <f>IFERROR(__xludf.DUMMYFUNCTION("""COMPUTED_VALUE"""),0.0)</f>
        <v>0</v>
      </c>
      <c r="F774" s="6">
        <f>IFERROR(__xludf.DUMMYFUNCTION("""COMPUTED_VALUE"""),2.0)</f>
        <v>2</v>
      </c>
      <c r="G774" s="6">
        <f>IFERROR(__xludf.DUMMYFUNCTION("""COMPUTED_VALUE"""),3.0)</f>
        <v>3</v>
      </c>
    </row>
    <row r="775">
      <c r="A775" s="6">
        <f>IFERROR(__xludf.DUMMYFUNCTION("""COMPUTED_VALUE"""),2016.0)</f>
        <v>2016</v>
      </c>
      <c r="B775" s="6" t="str">
        <f>IFERROR(__xludf.DUMMYFUNCTION("""COMPUTED_VALUE"""),"Abril")</f>
        <v>Abril</v>
      </c>
      <c r="C775" s="6" t="str">
        <f>IFERROR(__xludf.DUMMYFUNCTION("""COMPUTED_VALUE"""),"HOMICÍDIO CULPOSO")</f>
        <v>HOMICÍDIO CULPOSO</v>
      </c>
      <c r="D775" s="6">
        <f>IFERROR(__xludf.DUMMYFUNCTION("""COMPUTED_VALUE"""),0.0)</f>
        <v>0</v>
      </c>
      <c r="E775" s="6">
        <f>IFERROR(__xludf.DUMMYFUNCTION("""COMPUTED_VALUE"""),0.0)</f>
        <v>0</v>
      </c>
      <c r="F775" s="6">
        <f>IFERROR(__xludf.DUMMYFUNCTION("""COMPUTED_VALUE"""),0.0)</f>
        <v>0</v>
      </c>
      <c r="G775" s="6">
        <f>IFERROR(__xludf.DUMMYFUNCTION("""COMPUTED_VALUE"""),0.0)</f>
        <v>0</v>
      </c>
    </row>
    <row r="776">
      <c r="A776" s="6">
        <f>IFERROR(__xludf.DUMMYFUNCTION("""COMPUTED_VALUE"""),2016.0)</f>
        <v>2016</v>
      </c>
      <c r="B776" s="6" t="str">
        <f>IFERROR(__xludf.DUMMYFUNCTION("""COMPUTED_VALUE"""),"Abril")</f>
        <v>Abril</v>
      </c>
      <c r="C776" s="6" t="str">
        <f>IFERROR(__xludf.DUMMYFUNCTION("""COMPUTED_VALUE"""),"TENTATIVA DE HOMICÍDIO")</f>
        <v>TENTATIVA DE HOMICÍDIO</v>
      </c>
      <c r="D776" s="6">
        <f>IFERROR(__xludf.DUMMYFUNCTION("""COMPUTED_VALUE"""),2.0)</f>
        <v>2</v>
      </c>
      <c r="E776" s="6">
        <f>IFERROR(__xludf.DUMMYFUNCTION("""COMPUTED_VALUE"""),3.0)</f>
        <v>3</v>
      </c>
      <c r="F776" s="6">
        <f>IFERROR(__xludf.DUMMYFUNCTION("""COMPUTED_VALUE"""),12.0)</f>
        <v>12</v>
      </c>
      <c r="G776" s="6">
        <f>IFERROR(__xludf.DUMMYFUNCTION("""COMPUTED_VALUE"""),17.0)</f>
        <v>17</v>
      </c>
    </row>
    <row r="777">
      <c r="A777" s="6">
        <f>IFERROR(__xludf.DUMMYFUNCTION("""COMPUTED_VALUE"""),2016.0)</f>
        <v>2016</v>
      </c>
      <c r="B777" s="6" t="str">
        <f>IFERROR(__xludf.DUMMYFUNCTION("""COMPUTED_VALUE"""),"Abril")</f>
        <v>Abril</v>
      </c>
      <c r="C777" s="6" t="str">
        <f>IFERROR(__xludf.DUMMYFUNCTION("""COMPUTED_VALUE"""),"LESÃO CORPORAL DOLOSA")</f>
        <v>LESÃO CORPORAL DOLOSA</v>
      </c>
      <c r="D777" s="6">
        <f>IFERROR(__xludf.DUMMYFUNCTION("""COMPUTED_VALUE"""),913.0)</f>
        <v>913</v>
      </c>
      <c r="E777" s="6">
        <f>IFERROR(__xludf.DUMMYFUNCTION("""COMPUTED_VALUE"""),805.0)</f>
        <v>805</v>
      </c>
      <c r="F777" s="6">
        <f>IFERROR(__xludf.DUMMYFUNCTION("""COMPUTED_VALUE"""),2914.0)</f>
        <v>2914</v>
      </c>
      <c r="G777" s="6">
        <f>IFERROR(__xludf.DUMMYFUNCTION("""COMPUTED_VALUE"""),4632.0)</f>
        <v>4632</v>
      </c>
    </row>
    <row r="778">
      <c r="A778" s="6">
        <f>IFERROR(__xludf.DUMMYFUNCTION("""COMPUTED_VALUE"""),2016.0)</f>
        <v>2016</v>
      </c>
      <c r="B778" s="6" t="str">
        <f>IFERROR(__xludf.DUMMYFUNCTION("""COMPUTED_VALUE"""),"Abril")</f>
        <v>Abril</v>
      </c>
      <c r="C778" s="6" t="str">
        <f>IFERROR(__xludf.DUMMYFUNCTION("""COMPUTED_VALUE"""),"MAUS TRATOS")</f>
        <v>MAUS TRATOS</v>
      </c>
      <c r="D778" s="6">
        <f>IFERROR(__xludf.DUMMYFUNCTION("""COMPUTED_VALUE"""),3.0)</f>
        <v>3</v>
      </c>
      <c r="E778" s="6">
        <f>IFERROR(__xludf.DUMMYFUNCTION("""COMPUTED_VALUE"""),2.0)</f>
        <v>2</v>
      </c>
      <c r="F778" s="6">
        <f>IFERROR(__xludf.DUMMYFUNCTION("""COMPUTED_VALUE"""),17.0)</f>
        <v>17</v>
      </c>
      <c r="G778" s="6">
        <f>IFERROR(__xludf.DUMMYFUNCTION("""COMPUTED_VALUE"""),22.0)</f>
        <v>22</v>
      </c>
    </row>
    <row r="779">
      <c r="A779" s="6">
        <f>IFERROR(__xludf.DUMMYFUNCTION("""COMPUTED_VALUE"""),2016.0)</f>
        <v>2016</v>
      </c>
      <c r="B779" s="6" t="str">
        <f>IFERROR(__xludf.DUMMYFUNCTION("""COMPUTED_VALUE"""),"Abril")</f>
        <v>Abril</v>
      </c>
      <c r="C779" s="6" t="str">
        <f>IFERROR(__xludf.DUMMYFUNCTION("""COMPUTED_VALUE"""),"CALÚNIA - DIFAMAÇÃO - INJÚRIA")</f>
        <v>CALÚNIA - DIFAMAÇÃO - INJÚRIA</v>
      </c>
      <c r="D779" s="6">
        <f>IFERROR(__xludf.DUMMYFUNCTION("""COMPUTED_VALUE"""),191.0)</f>
        <v>191</v>
      </c>
      <c r="E779" s="6">
        <f>IFERROR(__xludf.DUMMYFUNCTION("""COMPUTED_VALUE"""),168.0)</f>
        <v>168</v>
      </c>
      <c r="F779" s="6">
        <f>IFERROR(__xludf.DUMMYFUNCTION("""COMPUTED_VALUE"""),702.0)</f>
        <v>702</v>
      </c>
      <c r="G779" s="6">
        <f>IFERROR(__xludf.DUMMYFUNCTION("""COMPUTED_VALUE"""),1061.0)</f>
        <v>1061</v>
      </c>
    </row>
    <row r="780">
      <c r="A780" s="6">
        <f>IFERROR(__xludf.DUMMYFUNCTION("""COMPUTED_VALUE"""),2016.0)</f>
        <v>2016</v>
      </c>
      <c r="B780" s="6" t="str">
        <f>IFERROR(__xludf.DUMMYFUNCTION("""COMPUTED_VALUE"""),"Abril")</f>
        <v>Abril</v>
      </c>
      <c r="C780" s="6" t="str">
        <f>IFERROR(__xludf.DUMMYFUNCTION("""COMPUTED_VALUE"""),"CONSTRANGIMENTO ILEGAL")</f>
        <v>CONSTRANGIMENTO ILEGAL</v>
      </c>
      <c r="D780" s="6">
        <f>IFERROR(__xludf.DUMMYFUNCTION("""COMPUTED_VALUE"""),1.0)</f>
        <v>1</v>
      </c>
      <c r="E780" s="6">
        <f>IFERROR(__xludf.DUMMYFUNCTION("""COMPUTED_VALUE"""),0.0)</f>
        <v>0</v>
      </c>
      <c r="F780" s="6">
        <f>IFERROR(__xludf.DUMMYFUNCTION("""COMPUTED_VALUE"""),6.0)</f>
        <v>6</v>
      </c>
      <c r="G780" s="6">
        <f>IFERROR(__xludf.DUMMYFUNCTION("""COMPUTED_VALUE"""),7.0)</f>
        <v>7</v>
      </c>
    </row>
    <row r="781">
      <c r="A781" s="6">
        <f>IFERROR(__xludf.DUMMYFUNCTION("""COMPUTED_VALUE"""),2016.0)</f>
        <v>2016</v>
      </c>
      <c r="B781" s="6" t="str">
        <f>IFERROR(__xludf.DUMMYFUNCTION("""COMPUTED_VALUE"""),"Abril")</f>
        <v>Abril</v>
      </c>
      <c r="C781" s="6" t="str">
        <f>IFERROR(__xludf.DUMMYFUNCTION("""COMPUTED_VALUE"""),"AMEAÇA")</f>
        <v>AMEAÇA</v>
      </c>
      <c r="D781" s="6">
        <f>IFERROR(__xludf.DUMMYFUNCTION("""COMPUTED_VALUE"""),884.0)</f>
        <v>884</v>
      </c>
      <c r="E781" s="6">
        <f>IFERROR(__xludf.DUMMYFUNCTION("""COMPUTED_VALUE"""),812.0)</f>
        <v>812</v>
      </c>
      <c r="F781" s="6">
        <f>IFERROR(__xludf.DUMMYFUNCTION("""COMPUTED_VALUE"""),3012.0)</f>
        <v>3012</v>
      </c>
      <c r="G781" s="6">
        <f>IFERROR(__xludf.DUMMYFUNCTION("""COMPUTED_VALUE"""),4708.0)</f>
        <v>4708</v>
      </c>
    </row>
    <row r="782">
      <c r="A782" s="6">
        <f>IFERROR(__xludf.DUMMYFUNCTION("""COMPUTED_VALUE"""),2016.0)</f>
        <v>2016</v>
      </c>
      <c r="B782" s="6" t="str">
        <f>IFERROR(__xludf.DUMMYFUNCTION("""COMPUTED_VALUE"""),"Abril")</f>
        <v>Abril</v>
      </c>
      <c r="C782" s="6" t="str">
        <f>IFERROR(__xludf.DUMMYFUNCTION("""COMPUTED_VALUE"""),"INVASÃO DE DOMICÍLIO")</f>
        <v>INVASÃO DE DOMICÍLIO</v>
      </c>
      <c r="D782" s="6">
        <f>IFERROR(__xludf.DUMMYFUNCTION("""COMPUTED_VALUE"""),1.0)</f>
        <v>1</v>
      </c>
      <c r="E782" s="6">
        <f>IFERROR(__xludf.DUMMYFUNCTION("""COMPUTED_VALUE"""),2.0)</f>
        <v>2</v>
      </c>
      <c r="F782" s="6">
        <f>IFERROR(__xludf.DUMMYFUNCTION("""COMPUTED_VALUE"""),13.0)</f>
        <v>13</v>
      </c>
      <c r="G782" s="6">
        <f>IFERROR(__xludf.DUMMYFUNCTION("""COMPUTED_VALUE"""),16.0)</f>
        <v>16</v>
      </c>
    </row>
    <row r="783">
      <c r="A783" s="6">
        <f>IFERROR(__xludf.DUMMYFUNCTION("""COMPUTED_VALUE"""),2016.0)</f>
        <v>2016</v>
      </c>
      <c r="B783" s="6" t="str">
        <f>IFERROR(__xludf.DUMMYFUNCTION("""COMPUTED_VALUE"""),"Abril")</f>
        <v>Abril</v>
      </c>
      <c r="C783" s="6" t="str">
        <f>IFERROR(__xludf.DUMMYFUNCTION("""COMPUTED_VALUE"""),"DANO")</f>
        <v>DANO</v>
      </c>
      <c r="D783" s="6">
        <f>IFERROR(__xludf.DUMMYFUNCTION("""COMPUTED_VALUE"""),11.0)</f>
        <v>11</v>
      </c>
      <c r="E783" s="6">
        <f>IFERROR(__xludf.DUMMYFUNCTION("""COMPUTED_VALUE"""),10.0)</f>
        <v>10</v>
      </c>
      <c r="F783" s="6">
        <f>IFERROR(__xludf.DUMMYFUNCTION("""COMPUTED_VALUE"""),56.0)</f>
        <v>56</v>
      </c>
      <c r="G783" s="6">
        <f>IFERROR(__xludf.DUMMYFUNCTION("""COMPUTED_VALUE"""),77.0)</f>
        <v>77</v>
      </c>
    </row>
    <row r="784">
      <c r="A784" s="6">
        <f>IFERROR(__xludf.DUMMYFUNCTION("""COMPUTED_VALUE"""),2016.0)</f>
        <v>2016</v>
      </c>
      <c r="B784" s="6" t="str">
        <f>IFERROR(__xludf.DUMMYFUNCTION("""COMPUTED_VALUE"""),"Abril")</f>
        <v>Abril</v>
      </c>
      <c r="C784" s="6" t="str">
        <f>IFERROR(__xludf.DUMMYFUNCTION("""COMPUTED_VALUE"""),"ESTUPRO CONSUMADO")</f>
        <v>ESTUPRO CONSUMADO</v>
      </c>
      <c r="D784" s="6">
        <f>IFERROR(__xludf.DUMMYFUNCTION("""COMPUTED_VALUE"""),10.0)</f>
        <v>10</v>
      </c>
      <c r="E784" s="6">
        <f>IFERROR(__xludf.DUMMYFUNCTION("""COMPUTED_VALUE"""),7.0)</f>
        <v>7</v>
      </c>
      <c r="F784" s="6">
        <f>IFERROR(__xludf.DUMMYFUNCTION("""COMPUTED_VALUE"""),18.0)</f>
        <v>18</v>
      </c>
      <c r="G784" s="6">
        <f>IFERROR(__xludf.DUMMYFUNCTION("""COMPUTED_VALUE"""),35.0)</f>
        <v>35</v>
      </c>
    </row>
    <row r="785">
      <c r="A785" s="6">
        <f>IFERROR(__xludf.DUMMYFUNCTION("""COMPUTED_VALUE"""),2016.0)</f>
        <v>2016</v>
      </c>
      <c r="B785" s="6" t="str">
        <f>IFERROR(__xludf.DUMMYFUNCTION("""COMPUTED_VALUE"""),"Abril")</f>
        <v>Abril</v>
      </c>
      <c r="C785" s="6" t="str">
        <f>IFERROR(__xludf.DUMMYFUNCTION("""COMPUTED_VALUE"""),"ESTUPRO TENTADO")</f>
        <v>ESTUPRO TENTADO</v>
      </c>
      <c r="D785" s="6">
        <f>IFERROR(__xludf.DUMMYFUNCTION("""COMPUTED_VALUE"""),0.0)</f>
        <v>0</v>
      </c>
      <c r="E785" s="6">
        <f>IFERROR(__xludf.DUMMYFUNCTION("""COMPUTED_VALUE"""),0.0)</f>
        <v>0</v>
      </c>
      <c r="F785" s="6">
        <f>IFERROR(__xludf.DUMMYFUNCTION("""COMPUTED_VALUE"""),1.0)</f>
        <v>1</v>
      </c>
      <c r="G785" s="6">
        <f>IFERROR(__xludf.DUMMYFUNCTION("""COMPUTED_VALUE"""),1.0)</f>
        <v>1</v>
      </c>
    </row>
    <row r="786">
      <c r="A786" s="6">
        <f>IFERROR(__xludf.DUMMYFUNCTION("""COMPUTED_VALUE"""),2016.0)</f>
        <v>2016</v>
      </c>
      <c r="B786" s="6" t="str">
        <f>IFERROR(__xludf.DUMMYFUNCTION("""COMPUTED_VALUE"""),"Abril")</f>
        <v>Abril</v>
      </c>
      <c r="C786" s="6" t="str">
        <f>IFERROR(__xludf.DUMMYFUNCTION("""COMPUTED_VALUE"""),"ESTUPRO DE VULNERÁVEL CONSUMADO")</f>
        <v>ESTUPRO DE VULNERÁVEL CONSUMADO</v>
      </c>
      <c r="D786" s="6">
        <f>IFERROR(__xludf.DUMMYFUNCTION("""COMPUTED_VALUE"""),3.0)</f>
        <v>3</v>
      </c>
      <c r="E786" s="6">
        <f>IFERROR(__xludf.DUMMYFUNCTION("""COMPUTED_VALUE"""),4.0)</f>
        <v>4</v>
      </c>
      <c r="F786" s="6">
        <f>IFERROR(__xludf.DUMMYFUNCTION("""COMPUTED_VALUE"""),18.0)</f>
        <v>18</v>
      </c>
      <c r="G786" s="6">
        <f>IFERROR(__xludf.DUMMYFUNCTION("""COMPUTED_VALUE"""),25.0)</f>
        <v>25</v>
      </c>
    </row>
    <row r="787">
      <c r="A787" s="6">
        <f>IFERROR(__xludf.DUMMYFUNCTION("""COMPUTED_VALUE"""),2016.0)</f>
        <v>2016</v>
      </c>
      <c r="B787" s="6" t="str">
        <f>IFERROR(__xludf.DUMMYFUNCTION("""COMPUTED_VALUE"""),"Abril")</f>
        <v>Abril</v>
      </c>
      <c r="C787" s="6" t="str">
        <f>IFERROR(__xludf.DUMMYFUNCTION("""COMPUTED_VALUE"""),"OUTROS C/C/ DIGNIDADE SEXUAL")</f>
        <v>OUTROS C/C/ DIGNIDADE SEXUAL</v>
      </c>
      <c r="D787" s="6">
        <f>IFERROR(__xludf.DUMMYFUNCTION("""COMPUTED_VALUE"""),0.0)</f>
        <v>0</v>
      </c>
      <c r="E787" s="6">
        <f>IFERROR(__xludf.DUMMYFUNCTION("""COMPUTED_VALUE"""),0.0)</f>
        <v>0</v>
      </c>
      <c r="F787" s="6">
        <f>IFERROR(__xludf.DUMMYFUNCTION("""COMPUTED_VALUE"""),2.0)</f>
        <v>2</v>
      </c>
      <c r="G787" s="6">
        <f>IFERROR(__xludf.DUMMYFUNCTION("""COMPUTED_VALUE"""),2.0)</f>
        <v>2</v>
      </c>
    </row>
    <row r="788">
      <c r="A788" s="6">
        <f>IFERROR(__xludf.DUMMYFUNCTION("""COMPUTED_VALUE"""),2016.0)</f>
        <v>2016</v>
      </c>
      <c r="B788" s="6" t="str">
        <f>IFERROR(__xludf.DUMMYFUNCTION("""COMPUTED_VALUE"""),"Maio")</f>
        <v>Maio</v>
      </c>
      <c r="C788" s="6" t="str">
        <f>IFERROR(__xludf.DUMMYFUNCTION("""COMPUTED_VALUE"""),"HOMICÍDIO DOLOSO (exclui FEMINICÍDIO)")</f>
        <v>HOMICÍDIO DOLOSO (exclui FEMINICÍDIO)</v>
      </c>
      <c r="D788" s="6">
        <f>IFERROR(__xludf.DUMMYFUNCTION("""COMPUTED_VALUE"""),1.0)</f>
        <v>1</v>
      </c>
      <c r="E788" s="6">
        <f>IFERROR(__xludf.DUMMYFUNCTION("""COMPUTED_VALUE"""),1.0)</f>
        <v>1</v>
      </c>
      <c r="F788" s="6">
        <f>IFERROR(__xludf.DUMMYFUNCTION("""COMPUTED_VALUE"""),2.0)</f>
        <v>2</v>
      </c>
      <c r="G788" s="6">
        <f>IFERROR(__xludf.DUMMYFUNCTION("""COMPUTED_VALUE"""),4.0)</f>
        <v>4</v>
      </c>
    </row>
    <row r="789">
      <c r="A789" s="6">
        <f>IFERROR(__xludf.DUMMYFUNCTION("""COMPUTED_VALUE"""),2016.0)</f>
        <v>2016</v>
      </c>
      <c r="B789" s="6" t="str">
        <f>IFERROR(__xludf.DUMMYFUNCTION("""COMPUTED_VALUE"""),"Maio")</f>
        <v>Maio</v>
      </c>
      <c r="C789" s="6" t="str">
        <f>IFERROR(__xludf.DUMMYFUNCTION("""COMPUTED_VALUE"""),"FEMINICÍDIO")</f>
        <v>FEMINICÍDIO</v>
      </c>
      <c r="D789" s="6">
        <f>IFERROR(__xludf.DUMMYFUNCTION("""COMPUTED_VALUE"""),1.0)</f>
        <v>1</v>
      </c>
      <c r="E789" s="6">
        <f>IFERROR(__xludf.DUMMYFUNCTION("""COMPUTED_VALUE"""),0.0)</f>
        <v>0</v>
      </c>
      <c r="F789" s="6">
        <f>IFERROR(__xludf.DUMMYFUNCTION("""COMPUTED_VALUE"""),1.0)</f>
        <v>1</v>
      </c>
      <c r="G789" s="6">
        <f>IFERROR(__xludf.DUMMYFUNCTION("""COMPUTED_VALUE"""),2.0)</f>
        <v>2</v>
      </c>
    </row>
    <row r="790">
      <c r="A790" s="6">
        <f>IFERROR(__xludf.DUMMYFUNCTION("""COMPUTED_VALUE"""),2016.0)</f>
        <v>2016</v>
      </c>
      <c r="B790" s="6" t="str">
        <f>IFERROR(__xludf.DUMMYFUNCTION("""COMPUTED_VALUE"""),"Maio")</f>
        <v>Maio</v>
      </c>
      <c r="C790" s="6" t="str">
        <f>IFERROR(__xludf.DUMMYFUNCTION("""COMPUTED_VALUE"""),"HOMICÍDIO CULPOSO")</f>
        <v>HOMICÍDIO CULPOSO</v>
      </c>
      <c r="D790" s="6">
        <f>IFERROR(__xludf.DUMMYFUNCTION("""COMPUTED_VALUE"""),0.0)</f>
        <v>0</v>
      </c>
      <c r="E790" s="6">
        <f>IFERROR(__xludf.DUMMYFUNCTION("""COMPUTED_VALUE"""),0.0)</f>
        <v>0</v>
      </c>
      <c r="F790" s="6">
        <f>IFERROR(__xludf.DUMMYFUNCTION("""COMPUTED_VALUE"""),0.0)</f>
        <v>0</v>
      </c>
      <c r="G790" s="6">
        <f>IFERROR(__xludf.DUMMYFUNCTION("""COMPUTED_VALUE"""),0.0)</f>
        <v>0</v>
      </c>
    </row>
    <row r="791">
      <c r="A791" s="6">
        <f>IFERROR(__xludf.DUMMYFUNCTION("""COMPUTED_VALUE"""),2016.0)</f>
        <v>2016</v>
      </c>
      <c r="B791" s="6" t="str">
        <f>IFERROR(__xludf.DUMMYFUNCTION("""COMPUTED_VALUE"""),"Maio")</f>
        <v>Maio</v>
      </c>
      <c r="C791" s="6" t="str">
        <f>IFERROR(__xludf.DUMMYFUNCTION("""COMPUTED_VALUE"""),"TENTATIVA DE HOMICÍDIO")</f>
        <v>TENTATIVA DE HOMICÍDIO</v>
      </c>
      <c r="D791" s="6">
        <f>IFERROR(__xludf.DUMMYFUNCTION("""COMPUTED_VALUE"""),1.0)</f>
        <v>1</v>
      </c>
      <c r="E791" s="6">
        <f>IFERROR(__xludf.DUMMYFUNCTION("""COMPUTED_VALUE"""),1.0)</f>
        <v>1</v>
      </c>
      <c r="F791" s="6">
        <f>IFERROR(__xludf.DUMMYFUNCTION("""COMPUTED_VALUE"""),13.0)</f>
        <v>13</v>
      </c>
      <c r="G791" s="6">
        <f>IFERROR(__xludf.DUMMYFUNCTION("""COMPUTED_VALUE"""),15.0)</f>
        <v>15</v>
      </c>
    </row>
    <row r="792">
      <c r="A792" s="6">
        <f>IFERROR(__xludf.DUMMYFUNCTION("""COMPUTED_VALUE"""),2016.0)</f>
        <v>2016</v>
      </c>
      <c r="B792" s="6" t="str">
        <f>IFERROR(__xludf.DUMMYFUNCTION("""COMPUTED_VALUE"""),"Maio")</f>
        <v>Maio</v>
      </c>
      <c r="C792" s="6" t="str">
        <f>IFERROR(__xludf.DUMMYFUNCTION("""COMPUTED_VALUE"""),"LESÃO CORPORAL DOLOSA")</f>
        <v>LESÃO CORPORAL DOLOSA</v>
      </c>
      <c r="D792" s="6">
        <f>IFERROR(__xludf.DUMMYFUNCTION("""COMPUTED_VALUE"""),934.0)</f>
        <v>934</v>
      </c>
      <c r="E792" s="6">
        <f>IFERROR(__xludf.DUMMYFUNCTION("""COMPUTED_VALUE"""),821.0)</f>
        <v>821</v>
      </c>
      <c r="F792" s="6">
        <f>IFERROR(__xludf.DUMMYFUNCTION("""COMPUTED_VALUE"""),3012.0)</f>
        <v>3012</v>
      </c>
      <c r="G792" s="6">
        <f>IFERROR(__xludf.DUMMYFUNCTION("""COMPUTED_VALUE"""),4767.0)</f>
        <v>4767</v>
      </c>
    </row>
    <row r="793">
      <c r="A793" s="6">
        <f>IFERROR(__xludf.DUMMYFUNCTION("""COMPUTED_VALUE"""),2016.0)</f>
        <v>2016</v>
      </c>
      <c r="B793" s="6" t="str">
        <f>IFERROR(__xludf.DUMMYFUNCTION("""COMPUTED_VALUE"""),"Maio")</f>
        <v>Maio</v>
      </c>
      <c r="C793" s="6" t="str">
        <f>IFERROR(__xludf.DUMMYFUNCTION("""COMPUTED_VALUE"""),"MAUS TRATOS")</f>
        <v>MAUS TRATOS</v>
      </c>
      <c r="D793" s="6">
        <f>IFERROR(__xludf.DUMMYFUNCTION("""COMPUTED_VALUE"""),2.0)</f>
        <v>2</v>
      </c>
      <c r="E793" s="6">
        <f>IFERROR(__xludf.DUMMYFUNCTION("""COMPUTED_VALUE"""),3.0)</f>
        <v>3</v>
      </c>
      <c r="F793" s="6">
        <f>IFERROR(__xludf.DUMMYFUNCTION("""COMPUTED_VALUE"""),15.0)</f>
        <v>15</v>
      </c>
      <c r="G793" s="6">
        <f>IFERROR(__xludf.DUMMYFUNCTION("""COMPUTED_VALUE"""),20.0)</f>
        <v>20</v>
      </c>
    </row>
    <row r="794">
      <c r="A794" s="6">
        <f>IFERROR(__xludf.DUMMYFUNCTION("""COMPUTED_VALUE"""),2016.0)</f>
        <v>2016</v>
      </c>
      <c r="B794" s="6" t="str">
        <f>IFERROR(__xludf.DUMMYFUNCTION("""COMPUTED_VALUE"""),"Maio")</f>
        <v>Maio</v>
      </c>
      <c r="C794" s="6" t="str">
        <f>IFERROR(__xludf.DUMMYFUNCTION("""COMPUTED_VALUE"""),"CALÚNIA - DIFAMAÇÃO - INJÚRIA")</f>
        <v>CALÚNIA - DIFAMAÇÃO - INJÚRIA</v>
      </c>
      <c r="D794" s="6">
        <f>IFERROR(__xludf.DUMMYFUNCTION("""COMPUTED_VALUE"""),182.0)</f>
        <v>182</v>
      </c>
      <c r="E794" s="6">
        <f>IFERROR(__xludf.DUMMYFUNCTION("""COMPUTED_VALUE"""),159.0)</f>
        <v>159</v>
      </c>
      <c r="F794" s="6">
        <f>IFERROR(__xludf.DUMMYFUNCTION("""COMPUTED_VALUE"""),688.0)</f>
        <v>688</v>
      </c>
      <c r="G794" s="6">
        <f>IFERROR(__xludf.DUMMYFUNCTION("""COMPUTED_VALUE"""),1029.0)</f>
        <v>1029</v>
      </c>
    </row>
    <row r="795">
      <c r="A795" s="6">
        <f>IFERROR(__xludf.DUMMYFUNCTION("""COMPUTED_VALUE"""),2016.0)</f>
        <v>2016</v>
      </c>
      <c r="B795" s="6" t="str">
        <f>IFERROR(__xludf.DUMMYFUNCTION("""COMPUTED_VALUE"""),"Maio")</f>
        <v>Maio</v>
      </c>
      <c r="C795" s="6" t="str">
        <f>IFERROR(__xludf.DUMMYFUNCTION("""COMPUTED_VALUE"""),"CONSTRANGIMENTO ILEGAL")</f>
        <v>CONSTRANGIMENTO ILEGAL</v>
      </c>
      <c r="D795" s="6">
        <f>IFERROR(__xludf.DUMMYFUNCTION("""COMPUTED_VALUE"""),1.0)</f>
        <v>1</v>
      </c>
      <c r="E795" s="6">
        <f>IFERROR(__xludf.DUMMYFUNCTION("""COMPUTED_VALUE"""),0.0)</f>
        <v>0</v>
      </c>
      <c r="F795" s="6">
        <f>IFERROR(__xludf.DUMMYFUNCTION("""COMPUTED_VALUE"""),5.0)</f>
        <v>5</v>
      </c>
      <c r="G795" s="6">
        <f>IFERROR(__xludf.DUMMYFUNCTION("""COMPUTED_VALUE"""),6.0)</f>
        <v>6</v>
      </c>
    </row>
    <row r="796">
      <c r="A796" s="6">
        <f>IFERROR(__xludf.DUMMYFUNCTION("""COMPUTED_VALUE"""),2016.0)</f>
        <v>2016</v>
      </c>
      <c r="B796" s="6" t="str">
        <f>IFERROR(__xludf.DUMMYFUNCTION("""COMPUTED_VALUE"""),"Maio")</f>
        <v>Maio</v>
      </c>
      <c r="C796" s="6" t="str">
        <f>IFERROR(__xludf.DUMMYFUNCTION("""COMPUTED_VALUE"""),"AMEAÇA")</f>
        <v>AMEAÇA</v>
      </c>
      <c r="D796" s="6">
        <f>IFERROR(__xludf.DUMMYFUNCTION("""COMPUTED_VALUE"""),865.0)</f>
        <v>865</v>
      </c>
      <c r="E796" s="6">
        <f>IFERROR(__xludf.DUMMYFUNCTION("""COMPUTED_VALUE"""),788.0)</f>
        <v>788</v>
      </c>
      <c r="F796" s="6">
        <f>IFERROR(__xludf.DUMMYFUNCTION("""COMPUTED_VALUE"""),2964.0)</f>
        <v>2964</v>
      </c>
      <c r="G796" s="6">
        <f>IFERROR(__xludf.DUMMYFUNCTION("""COMPUTED_VALUE"""),4617.0)</f>
        <v>4617</v>
      </c>
    </row>
    <row r="797">
      <c r="A797" s="6">
        <f>IFERROR(__xludf.DUMMYFUNCTION("""COMPUTED_VALUE"""),2016.0)</f>
        <v>2016</v>
      </c>
      <c r="B797" s="6" t="str">
        <f>IFERROR(__xludf.DUMMYFUNCTION("""COMPUTED_VALUE"""),"Maio")</f>
        <v>Maio</v>
      </c>
      <c r="C797" s="6" t="str">
        <f>IFERROR(__xludf.DUMMYFUNCTION("""COMPUTED_VALUE"""),"INVASÃO DE DOMICÍLIO")</f>
        <v>INVASÃO DE DOMICÍLIO</v>
      </c>
      <c r="D797" s="6">
        <f>IFERROR(__xludf.DUMMYFUNCTION("""COMPUTED_VALUE"""),1.0)</f>
        <v>1</v>
      </c>
      <c r="E797" s="6">
        <f>IFERROR(__xludf.DUMMYFUNCTION("""COMPUTED_VALUE"""),1.0)</f>
        <v>1</v>
      </c>
      <c r="F797" s="6">
        <f>IFERROR(__xludf.DUMMYFUNCTION("""COMPUTED_VALUE"""),11.0)</f>
        <v>11</v>
      </c>
      <c r="G797" s="6">
        <f>IFERROR(__xludf.DUMMYFUNCTION("""COMPUTED_VALUE"""),13.0)</f>
        <v>13</v>
      </c>
    </row>
    <row r="798">
      <c r="A798" s="6">
        <f>IFERROR(__xludf.DUMMYFUNCTION("""COMPUTED_VALUE"""),2016.0)</f>
        <v>2016</v>
      </c>
      <c r="B798" s="6" t="str">
        <f>IFERROR(__xludf.DUMMYFUNCTION("""COMPUTED_VALUE"""),"Maio")</f>
        <v>Maio</v>
      </c>
      <c r="C798" s="6" t="str">
        <f>IFERROR(__xludf.DUMMYFUNCTION("""COMPUTED_VALUE"""),"DANO")</f>
        <v>DANO</v>
      </c>
      <c r="D798" s="6">
        <f>IFERROR(__xludf.DUMMYFUNCTION("""COMPUTED_VALUE"""),10.0)</f>
        <v>10</v>
      </c>
      <c r="E798" s="6">
        <f>IFERROR(__xludf.DUMMYFUNCTION("""COMPUTED_VALUE"""),9.0)</f>
        <v>9</v>
      </c>
      <c r="F798" s="6">
        <f>IFERROR(__xludf.DUMMYFUNCTION("""COMPUTED_VALUE"""),53.0)</f>
        <v>53</v>
      </c>
      <c r="G798" s="6">
        <f>IFERROR(__xludf.DUMMYFUNCTION("""COMPUTED_VALUE"""),72.0)</f>
        <v>72</v>
      </c>
    </row>
    <row r="799">
      <c r="A799" s="6">
        <f>IFERROR(__xludf.DUMMYFUNCTION("""COMPUTED_VALUE"""),2016.0)</f>
        <v>2016</v>
      </c>
      <c r="B799" s="6" t="str">
        <f>IFERROR(__xludf.DUMMYFUNCTION("""COMPUTED_VALUE"""),"Maio")</f>
        <v>Maio</v>
      </c>
      <c r="C799" s="6" t="str">
        <f>IFERROR(__xludf.DUMMYFUNCTION("""COMPUTED_VALUE"""),"ESTUPRO CONSUMADO")</f>
        <v>ESTUPRO CONSUMADO</v>
      </c>
      <c r="D799" s="6">
        <f>IFERROR(__xludf.DUMMYFUNCTION("""COMPUTED_VALUE"""),9.0)</f>
        <v>9</v>
      </c>
      <c r="E799" s="6">
        <f>IFERROR(__xludf.DUMMYFUNCTION("""COMPUTED_VALUE"""),6.0)</f>
        <v>6</v>
      </c>
      <c r="F799" s="6">
        <f>IFERROR(__xludf.DUMMYFUNCTION("""COMPUTED_VALUE"""),16.0)</f>
        <v>16</v>
      </c>
      <c r="G799" s="6">
        <f>IFERROR(__xludf.DUMMYFUNCTION("""COMPUTED_VALUE"""),31.0)</f>
        <v>31</v>
      </c>
    </row>
    <row r="800">
      <c r="A800" s="6">
        <f>IFERROR(__xludf.DUMMYFUNCTION("""COMPUTED_VALUE"""),2016.0)</f>
        <v>2016</v>
      </c>
      <c r="B800" s="6" t="str">
        <f>IFERROR(__xludf.DUMMYFUNCTION("""COMPUTED_VALUE"""),"Maio")</f>
        <v>Maio</v>
      </c>
      <c r="C800" s="6" t="str">
        <f>IFERROR(__xludf.DUMMYFUNCTION("""COMPUTED_VALUE"""),"ESTUPRO TENTADO")</f>
        <v>ESTUPRO TENTADO</v>
      </c>
      <c r="D800" s="6">
        <f>IFERROR(__xludf.DUMMYFUNCTION("""COMPUTED_VALUE"""),0.0)</f>
        <v>0</v>
      </c>
      <c r="E800" s="6">
        <f>IFERROR(__xludf.DUMMYFUNCTION("""COMPUTED_VALUE"""),0.0)</f>
        <v>0</v>
      </c>
      <c r="F800" s="6">
        <f>IFERROR(__xludf.DUMMYFUNCTION("""COMPUTED_VALUE"""),1.0)</f>
        <v>1</v>
      </c>
      <c r="G800" s="6">
        <f>IFERROR(__xludf.DUMMYFUNCTION("""COMPUTED_VALUE"""),1.0)</f>
        <v>1</v>
      </c>
    </row>
    <row r="801">
      <c r="A801" s="6">
        <f>IFERROR(__xludf.DUMMYFUNCTION("""COMPUTED_VALUE"""),2016.0)</f>
        <v>2016</v>
      </c>
      <c r="B801" s="6" t="str">
        <f>IFERROR(__xludf.DUMMYFUNCTION("""COMPUTED_VALUE"""),"Maio")</f>
        <v>Maio</v>
      </c>
      <c r="C801" s="6" t="str">
        <f>IFERROR(__xludf.DUMMYFUNCTION("""COMPUTED_VALUE"""),"ESTUPRO DE VULNERÁVEL CONSUMADO")</f>
        <v>ESTUPRO DE VULNERÁVEL CONSUMADO</v>
      </c>
      <c r="D801" s="6">
        <f>IFERROR(__xludf.DUMMYFUNCTION("""COMPUTED_VALUE"""),2.0)</f>
        <v>2</v>
      </c>
      <c r="E801" s="6">
        <f>IFERROR(__xludf.DUMMYFUNCTION("""COMPUTED_VALUE"""),3.0)</f>
        <v>3</v>
      </c>
      <c r="F801" s="6">
        <f>IFERROR(__xludf.DUMMYFUNCTION("""COMPUTED_VALUE"""),15.0)</f>
        <v>15</v>
      </c>
      <c r="G801" s="6">
        <f>IFERROR(__xludf.DUMMYFUNCTION("""COMPUTED_VALUE"""),20.0)</f>
        <v>20</v>
      </c>
    </row>
    <row r="802">
      <c r="A802" s="6">
        <f>IFERROR(__xludf.DUMMYFUNCTION("""COMPUTED_VALUE"""),2016.0)</f>
        <v>2016</v>
      </c>
      <c r="B802" s="6" t="str">
        <f>IFERROR(__xludf.DUMMYFUNCTION("""COMPUTED_VALUE"""),"Maio")</f>
        <v>Maio</v>
      </c>
      <c r="C802" s="6" t="str">
        <f>IFERROR(__xludf.DUMMYFUNCTION("""COMPUTED_VALUE"""),"OUTROS C/C/ DIGNIDADE SEXUAL")</f>
        <v>OUTROS C/C/ DIGNIDADE SEXUAL</v>
      </c>
      <c r="D802" s="6">
        <f>IFERROR(__xludf.DUMMYFUNCTION("""COMPUTED_VALUE"""),0.0)</f>
        <v>0</v>
      </c>
      <c r="E802" s="6">
        <f>IFERROR(__xludf.DUMMYFUNCTION("""COMPUTED_VALUE"""),0.0)</f>
        <v>0</v>
      </c>
      <c r="F802" s="6">
        <f>IFERROR(__xludf.DUMMYFUNCTION("""COMPUTED_VALUE"""),1.0)</f>
        <v>1</v>
      </c>
      <c r="G802" s="6">
        <f>IFERROR(__xludf.DUMMYFUNCTION("""COMPUTED_VALUE"""),1.0)</f>
        <v>1</v>
      </c>
    </row>
    <row r="803">
      <c r="A803" s="6">
        <f>IFERROR(__xludf.DUMMYFUNCTION("""COMPUTED_VALUE"""),2016.0)</f>
        <v>2016</v>
      </c>
      <c r="B803" s="6" t="str">
        <f>IFERROR(__xludf.DUMMYFUNCTION("""COMPUTED_VALUE"""),"Junho")</f>
        <v>Junho</v>
      </c>
      <c r="C803" s="6" t="str">
        <f>IFERROR(__xludf.DUMMYFUNCTION("""COMPUTED_VALUE"""),"HOMICÍDIO DOLOSO (exclui FEMINICÍDIO)")</f>
        <v>HOMICÍDIO DOLOSO (exclui FEMINICÍDIO)</v>
      </c>
      <c r="D803" s="6">
        <f>IFERROR(__xludf.DUMMYFUNCTION("""COMPUTED_VALUE"""),2.0)</f>
        <v>2</v>
      </c>
      <c r="E803" s="6">
        <f>IFERROR(__xludf.DUMMYFUNCTION("""COMPUTED_VALUE"""),1.0)</f>
        <v>1</v>
      </c>
      <c r="F803" s="6">
        <f>IFERROR(__xludf.DUMMYFUNCTION("""COMPUTED_VALUE"""),4.0)</f>
        <v>4</v>
      </c>
      <c r="G803" s="6">
        <f>IFERROR(__xludf.DUMMYFUNCTION("""COMPUTED_VALUE"""),7.0)</f>
        <v>7</v>
      </c>
    </row>
    <row r="804">
      <c r="A804" s="6">
        <f>IFERROR(__xludf.DUMMYFUNCTION("""COMPUTED_VALUE"""),2016.0)</f>
        <v>2016</v>
      </c>
      <c r="B804" s="6" t="str">
        <f>IFERROR(__xludf.DUMMYFUNCTION("""COMPUTED_VALUE"""),"Junho")</f>
        <v>Junho</v>
      </c>
      <c r="C804" s="6" t="str">
        <f>IFERROR(__xludf.DUMMYFUNCTION("""COMPUTED_VALUE"""),"FEMINICÍDIO")</f>
        <v>FEMINICÍDIO</v>
      </c>
      <c r="D804" s="6">
        <f>IFERROR(__xludf.DUMMYFUNCTION("""COMPUTED_VALUE"""),2.0)</f>
        <v>2</v>
      </c>
      <c r="E804" s="6">
        <f>IFERROR(__xludf.DUMMYFUNCTION("""COMPUTED_VALUE"""),1.0)</f>
        <v>1</v>
      </c>
      <c r="F804" s="6">
        <f>IFERROR(__xludf.DUMMYFUNCTION("""COMPUTED_VALUE"""),1.0)</f>
        <v>1</v>
      </c>
      <c r="G804" s="6">
        <f>IFERROR(__xludf.DUMMYFUNCTION("""COMPUTED_VALUE"""),4.0)</f>
        <v>4</v>
      </c>
    </row>
    <row r="805">
      <c r="A805" s="6">
        <f>IFERROR(__xludf.DUMMYFUNCTION("""COMPUTED_VALUE"""),2016.0)</f>
        <v>2016</v>
      </c>
      <c r="B805" s="6" t="str">
        <f>IFERROR(__xludf.DUMMYFUNCTION("""COMPUTED_VALUE"""),"Junho")</f>
        <v>Junho</v>
      </c>
      <c r="C805" s="6" t="str">
        <f>IFERROR(__xludf.DUMMYFUNCTION("""COMPUTED_VALUE"""),"HOMICÍDIO CULPOSO")</f>
        <v>HOMICÍDIO CULPOSO</v>
      </c>
      <c r="D805" s="6">
        <f>IFERROR(__xludf.DUMMYFUNCTION("""COMPUTED_VALUE"""),0.0)</f>
        <v>0</v>
      </c>
      <c r="E805" s="6">
        <f>IFERROR(__xludf.DUMMYFUNCTION("""COMPUTED_VALUE"""),0.0)</f>
        <v>0</v>
      </c>
      <c r="F805" s="6">
        <f>IFERROR(__xludf.DUMMYFUNCTION("""COMPUTED_VALUE"""),0.0)</f>
        <v>0</v>
      </c>
      <c r="G805" s="6">
        <f>IFERROR(__xludf.DUMMYFUNCTION("""COMPUTED_VALUE"""),0.0)</f>
        <v>0</v>
      </c>
    </row>
    <row r="806">
      <c r="A806" s="6">
        <f>IFERROR(__xludf.DUMMYFUNCTION("""COMPUTED_VALUE"""),2016.0)</f>
        <v>2016</v>
      </c>
      <c r="B806" s="6" t="str">
        <f>IFERROR(__xludf.DUMMYFUNCTION("""COMPUTED_VALUE"""),"Junho")</f>
        <v>Junho</v>
      </c>
      <c r="C806" s="6" t="str">
        <f>IFERROR(__xludf.DUMMYFUNCTION("""COMPUTED_VALUE"""),"TENTATIVA DE HOMICÍDIO")</f>
        <v>TENTATIVA DE HOMICÍDIO</v>
      </c>
      <c r="D806" s="6">
        <f>IFERROR(__xludf.DUMMYFUNCTION("""COMPUTED_VALUE"""),2.0)</f>
        <v>2</v>
      </c>
      <c r="E806" s="6">
        <f>IFERROR(__xludf.DUMMYFUNCTION("""COMPUTED_VALUE"""),2.0)</f>
        <v>2</v>
      </c>
      <c r="F806" s="6">
        <f>IFERROR(__xludf.DUMMYFUNCTION("""COMPUTED_VALUE"""),15.0)</f>
        <v>15</v>
      </c>
      <c r="G806" s="6">
        <f>IFERROR(__xludf.DUMMYFUNCTION("""COMPUTED_VALUE"""),19.0)</f>
        <v>19</v>
      </c>
    </row>
    <row r="807">
      <c r="A807" s="6">
        <f>IFERROR(__xludf.DUMMYFUNCTION("""COMPUTED_VALUE"""),2016.0)</f>
        <v>2016</v>
      </c>
      <c r="B807" s="6" t="str">
        <f>IFERROR(__xludf.DUMMYFUNCTION("""COMPUTED_VALUE"""),"Junho")</f>
        <v>Junho</v>
      </c>
      <c r="C807" s="6" t="str">
        <f>IFERROR(__xludf.DUMMYFUNCTION("""COMPUTED_VALUE"""),"LESÃO CORPORAL DOLOSA")</f>
        <v>LESÃO CORPORAL DOLOSA</v>
      </c>
      <c r="D807" s="6">
        <f>IFERROR(__xludf.DUMMYFUNCTION("""COMPUTED_VALUE"""),1114.0)</f>
        <v>1114</v>
      </c>
      <c r="E807" s="6">
        <f>IFERROR(__xludf.DUMMYFUNCTION("""COMPUTED_VALUE"""),916.0)</f>
        <v>916</v>
      </c>
      <c r="F807" s="6">
        <f>IFERROR(__xludf.DUMMYFUNCTION("""COMPUTED_VALUE"""),3418.0)</f>
        <v>3418</v>
      </c>
      <c r="G807" s="6">
        <f>IFERROR(__xludf.DUMMYFUNCTION("""COMPUTED_VALUE"""),5448.0)</f>
        <v>5448</v>
      </c>
    </row>
    <row r="808">
      <c r="A808" s="6">
        <f>IFERROR(__xludf.DUMMYFUNCTION("""COMPUTED_VALUE"""),2016.0)</f>
        <v>2016</v>
      </c>
      <c r="B808" s="6" t="str">
        <f>IFERROR(__xludf.DUMMYFUNCTION("""COMPUTED_VALUE"""),"Junho")</f>
        <v>Junho</v>
      </c>
      <c r="C808" s="6" t="str">
        <f>IFERROR(__xludf.DUMMYFUNCTION("""COMPUTED_VALUE"""),"MAUS TRATOS")</f>
        <v>MAUS TRATOS</v>
      </c>
      <c r="D808" s="6">
        <f>IFERROR(__xludf.DUMMYFUNCTION("""COMPUTED_VALUE"""),4.0)</f>
        <v>4</v>
      </c>
      <c r="E808" s="6">
        <f>IFERROR(__xludf.DUMMYFUNCTION("""COMPUTED_VALUE"""),2.0)</f>
        <v>2</v>
      </c>
      <c r="F808" s="6">
        <f>IFERROR(__xludf.DUMMYFUNCTION("""COMPUTED_VALUE"""),21.0)</f>
        <v>21</v>
      </c>
      <c r="G808" s="6">
        <f>IFERROR(__xludf.DUMMYFUNCTION("""COMPUTED_VALUE"""),27.0)</f>
        <v>27</v>
      </c>
    </row>
    <row r="809">
      <c r="A809" s="6">
        <f>IFERROR(__xludf.DUMMYFUNCTION("""COMPUTED_VALUE"""),2016.0)</f>
        <v>2016</v>
      </c>
      <c r="B809" s="6" t="str">
        <f>IFERROR(__xludf.DUMMYFUNCTION("""COMPUTED_VALUE"""),"Junho")</f>
        <v>Junho</v>
      </c>
      <c r="C809" s="6" t="str">
        <f>IFERROR(__xludf.DUMMYFUNCTION("""COMPUTED_VALUE"""),"CALÚNIA - DIFAMAÇÃO - INJÚRIA")</f>
        <v>CALÚNIA - DIFAMAÇÃO - INJÚRIA</v>
      </c>
      <c r="D809" s="6">
        <f>IFERROR(__xludf.DUMMYFUNCTION("""COMPUTED_VALUE"""),211.0)</f>
        <v>211</v>
      </c>
      <c r="E809" s="6">
        <f>IFERROR(__xludf.DUMMYFUNCTION("""COMPUTED_VALUE"""),184.0)</f>
        <v>184</v>
      </c>
      <c r="F809" s="6">
        <f>IFERROR(__xludf.DUMMYFUNCTION("""COMPUTED_VALUE"""),794.0)</f>
        <v>794</v>
      </c>
      <c r="G809" s="6">
        <f>IFERROR(__xludf.DUMMYFUNCTION("""COMPUTED_VALUE"""),1189.0)</f>
        <v>1189</v>
      </c>
    </row>
    <row r="810">
      <c r="A810" s="6">
        <f>IFERROR(__xludf.DUMMYFUNCTION("""COMPUTED_VALUE"""),2016.0)</f>
        <v>2016</v>
      </c>
      <c r="B810" s="6" t="str">
        <f>IFERROR(__xludf.DUMMYFUNCTION("""COMPUTED_VALUE"""),"Junho")</f>
        <v>Junho</v>
      </c>
      <c r="C810" s="6" t="str">
        <f>IFERROR(__xludf.DUMMYFUNCTION("""COMPUTED_VALUE"""),"CONSTRANGIMENTO ILEGAL")</f>
        <v>CONSTRANGIMENTO ILEGAL</v>
      </c>
      <c r="D810" s="6">
        <f>IFERROR(__xludf.DUMMYFUNCTION("""COMPUTED_VALUE"""),2.0)</f>
        <v>2</v>
      </c>
      <c r="E810" s="6">
        <f>IFERROR(__xludf.DUMMYFUNCTION("""COMPUTED_VALUE"""),1.0)</f>
        <v>1</v>
      </c>
      <c r="F810" s="6">
        <f>IFERROR(__xludf.DUMMYFUNCTION("""COMPUTED_VALUE"""),8.0)</f>
        <v>8</v>
      </c>
      <c r="G810" s="6">
        <f>IFERROR(__xludf.DUMMYFUNCTION("""COMPUTED_VALUE"""),11.0)</f>
        <v>11</v>
      </c>
    </row>
    <row r="811">
      <c r="A811" s="6">
        <f>IFERROR(__xludf.DUMMYFUNCTION("""COMPUTED_VALUE"""),2016.0)</f>
        <v>2016</v>
      </c>
      <c r="B811" s="6" t="str">
        <f>IFERROR(__xludf.DUMMYFUNCTION("""COMPUTED_VALUE"""),"Junho")</f>
        <v>Junho</v>
      </c>
      <c r="C811" s="6" t="str">
        <f>IFERROR(__xludf.DUMMYFUNCTION("""COMPUTED_VALUE"""),"AMEAÇA")</f>
        <v>AMEAÇA</v>
      </c>
      <c r="D811" s="6">
        <f>IFERROR(__xludf.DUMMYFUNCTION("""COMPUTED_VALUE"""),1084.0)</f>
        <v>1084</v>
      </c>
      <c r="E811" s="6">
        <f>IFERROR(__xludf.DUMMYFUNCTION("""COMPUTED_VALUE"""),942.0)</f>
        <v>942</v>
      </c>
      <c r="F811" s="6">
        <f>IFERROR(__xludf.DUMMYFUNCTION("""COMPUTED_VALUE"""),3658.0)</f>
        <v>3658</v>
      </c>
      <c r="G811" s="6">
        <f>IFERROR(__xludf.DUMMYFUNCTION("""COMPUTED_VALUE"""),5684.0)</f>
        <v>5684</v>
      </c>
    </row>
    <row r="812">
      <c r="A812" s="6">
        <f>IFERROR(__xludf.DUMMYFUNCTION("""COMPUTED_VALUE"""),2016.0)</f>
        <v>2016</v>
      </c>
      <c r="B812" s="6" t="str">
        <f>IFERROR(__xludf.DUMMYFUNCTION("""COMPUTED_VALUE"""),"Junho")</f>
        <v>Junho</v>
      </c>
      <c r="C812" s="6" t="str">
        <f>IFERROR(__xludf.DUMMYFUNCTION("""COMPUTED_VALUE"""),"INVASÃO DE DOMICÍLIO")</f>
        <v>INVASÃO DE DOMICÍLIO</v>
      </c>
      <c r="D812" s="6">
        <f>IFERROR(__xludf.DUMMYFUNCTION("""COMPUTED_VALUE"""),2.0)</f>
        <v>2</v>
      </c>
      <c r="E812" s="6">
        <f>IFERROR(__xludf.DUMMYFUNCTION("""COMPUTED_VALUE"""),3.0)</f>
        <v>3</v>
      </c>
      <c r="F812" s="6">
        <f>IFERROR(__xludf.DUMMYFUNCTION("""COMPUTED_VALUE"""),15.0)</f>
        <v>15</v>
      </c>
      <c r="G812" s="6">
        <f>IFERROR(__xludf.DUMMYFUNCTION("""COMPUTED_VALUE"""),20.0)</f>
        <v>20</v>
      </c>
    </row>
    <row r="813">
      <c r="A813" s="6">
        <f>IFERROR(__xludf.DUMMYFUNCTION("""COMPUTED_VALUE"""),2016.0)</f>
        <v>2016</v>
      </c>
      <c r="B813" s="6" t="str">
        <f>IFERROR(__xludf.DUMMYFUNCTION("""COMPUTED_VALUE"""),"Junho")</f>
        <v>Junho</v>
      </c>
      <c r="C813" s="6" t="str">
        <f>IFERROR(__xludf.DUMMYFUNCTION("""COMPUTED_VALUE"""),"DANO")</f>
        <v>DANO</v>
      </c>
      <c r="D813" s="6">
        <f>IFERROR(__xludf.DUMMYFUNCTION("""COMPUTED_VALUE"""),14.0)</f>
        <v>14</v>
      </c>
      <c r="E813" s="6">
        <f>IFERROR(__xludf.DUMMYFUNCTION("""COMPUTED_VALUE"""),12.0)</f>
        <v>12</v>
      </c>
      <c r="F813" s="6">
        <f>IFERROR(__xludf.DUMMYFUNCTION("""COMPUTED_VALUE"""),71.0)</f>
        <v>71</v>
      </c>
      <c r="G813" s="6">
        <f>IFERROR(__xludf.DUMMYFUNCTION("""COMPUTED_VALUE"""),97.0)</f>
        <v>97</v>
      </c>
    </row>
    <row r="814">
      <c r="A814" s="6">
        <f>IFERROR(__xludf.DUMMYFUNCTION("""COMPUTED_VALUE"""),2016.0)</f>
        <v>2016</v>
      </c>
      <c r="B814" s="6" t="str">
        <f>IFERROR(__xludf.DUMMYFUNCTION("""COMPUTED_VALUE"""),"Junho")</f>
        <v>Junho</v>
      </c>
      <c r="C814" s="6" t="str">
        <f>IFERROR(__xludf.DUMMYFUNCTION("""COMPUTED_VALUE"""),"ESTUPRO CONSUMADO")</f>
        <v>ESTUPRO CONSUMADO</v>
      </c>
      <c r="D814" s="6">
        <f>IFERROR(__xludf.DUMMYFUNCTION("""COMPUTED_VALUE"""),11.0)</f>
        <v>11</v>
      </c>
      <c r="E814" s="6">
        <f>IFERROR(__xludf.DUMMYFUNCTION("""COMPUTED_VALUE"""),8.0)</f>
        <v>8</v>
      </c>
      <c r="F814" s="6">
        <f>IFERROR(__xludf.DUMMYFUNCTION("""COMPUTED_VALUE"""),22.0)</f>
        <v>22</v>
      </c>
      <c r="G814" s="6">
        <f>IFERROR(__xludf.DUMMYFUNCTION("""COMPUTED_VALUE"""),41.0)</f>
        <v>41</v>
      </c>
    </row>
    <row r="815">
      <c r="A815" s="6">
        <f>IFERROR(__xludf.DUMMYFUNCTION("""COMPUTED_VALUE"""),2016.0)</f>
        <v>2016</v>
      </c>
      <c r="B815" s="6" t="str">
        <f>IFERROR(__xludf.DUMMYFUNCTION("""COMPUTED_VALUE"""),"Junho")</f>
        <v>Junho</v>
      </c>
      <c r="C815" s="6" t="str">
        <f>IFERROR(__xludf.DUMMYFUNCTION("""COMPUTED_VALUE"""),"ESTUPRO TENTADO")</f>
        <v>ESTUPRO TENTADO</v>
      </c>
      <c r="D815" s="6">
        <f>IFERROR(__xludf.DUMMYFUNCTION("""COMPUTED_VALUE"""),1.0)</f>
        <v>1</v>
      </c>
      <c r="E815" s="6">
        <f>IFERROR(__xludf.DUMMYFUNCTION("""COMPUTED_VALUE"""),0.0)</f>
        <v>0</v>
      </c>
      <c r="F815" s="6">
        <f>IFERROR(__xludf.DUMMYFUNCTION("""COMPUTED_VALUE"""),2.0)</f>
        <v>2</v>
      </c>
      <c r="G815" s="6">
        <f>IFERROR(__xludf.DUMMYFUNCTION("""COMPUTED_VALUE"""),3.0)</f>
        <v>3</v>
      </c>
    </row>
    <row r="816">
      <c r="A816" s="6">
        <f>IFERROR(__xludf.DUMMYFUNCTION("""COMPUTED_VALUE"""),2016.0)</f>
        <v>2016</v>
      </c>
      <c r="B816" s="6" t="str">
        <f>IFERROR(__xludf.DUMMYFUNCTION("""COMPUTED_VALUE"""),"Junho")</f>
        <v>Junho</v>
      </c>
      <c r="C816" s="6" t="str">
        <f>IFERROR(__xludf.DUMMYFUNCTION("""COMPUTED_VALUE"""),"ESTUPRO DE VULNERÁVEL CONSUMADO")</f>
        <v>ESTUPRO DE VULNERÁVEL CONSUMADO</v>
      </c>
      <c r="D816" s="6">
        <f>IFERROR(__xludf.DUMMYFUNCTION("""COMPUTED_VALUE"""),4.0)</f>
        <v>4</v>
      </c>
      <c r="E816" s="6">
        <f>IFERROR(__xludf.DUMMYFUNCTION("""COMPUTED_VALUE"""),5.0)</f>
        <v>5</v>
      </c>
      <c r="F816" s="6">
        <f>IFERROR(__xludf.DUMMYFUNCTION("""COMPUTED_VALUE"""),20.0)</f>
        <v>20</v>
      </c>
      <c r="G816" s="6">
        <f>IFERROR(__xludf.DUMMYFUNCTION("""COMPUTED_VALUE"""),29.0)</f>
        <v>29</v>
      </c>
    </row>
    <row r="817">
      <c r="A817" s="6">
        <f>IFERROR(__xludf.DUMMYFUNCTION("""COMPUTED_VALUE"""),2016.0)</f>
        <v>2016</v>
      </c>
      <c r="B817" s="6" t="str">
        <f>IFERROR(__xludf.DUMMYFUNCTION("""COMPUTED_VALUE"""),"Junho")</f>
        <v>Junho</v>
      </c>
      <c r="C817" s="6" t="str">
        <f>IFERROR(__xludf.DUMMYFUNCTION("""COMPUTED_VALUE"""),"OUTROS C/C/ DIGNIDADE SEXUAL")</f>
        <v>OUTROS C/C/ DIGNIDADE SEXUAL</v>
      </c>
      <c r="D817" s="6">
        <f>IFERROR(__xludf.DUMMYFUNCTION("""COMPUTED_VALUE"""),0.0)</f>
        <v>0</v>
      </c>
      <c r="E817" s="6">
        <f>IFERROR(__xludf.DUMMYFUNCTION("""COMPUTED_VALUE"""),1.0)</f>
        <v>1</v>
      </c>
      <c r="F817" s="6">
        <f>IFERROR(__xludf.DUMMYFUNCTION("""COMPUTED_VALUE"""),2.0)</f>
        <v>2</v>
      </c>
      <c r="G817" s="6">
        <f>IFERROR(__xludf.DUMMYFUNCTION("""COMPUTED_VALUE"""),3.0)</f>
        <v>3</v>
      </c>
    </row>
    <row r="818">
      <c r="A818" s="6">
        <f>IFERROR(__xludf.DUMMYFUNCTION("""COMPUTED_VALUE"""),2016.0)</f>
        <v>2016</v>
      </c>
      <c r="B818" s="6" t="str">
        <f>IFERROR(__xludf.DUMMYFUNCTION("""COMPUTED_VALUE"""),"Julho")</f>
        <v>Julho</v>
      </c>
      <c r="C818" s="6" t="str">
        <f>IFERROR(__xludf.DUMMYFUNCTION("""COMPUTED_VALUE"""),"HOMICÍDIO DOLOSO (exclui FEMINICÍDIO)")</f>
        <v>HOMICÍDIO DOLOSO (exclui FEMINICÍDIO)</v>
      </c>
      <c r="D818" s="6">
        <f>IFERROR(__xludf.DUMMYFUNCTION("""COMPUTED_VALUE"""),1.0)</f>
        <v>1</v>
      </c>
      <c r="E818" s="6">
        <f>IFERROR(__xludf.DUMMYFUNCTION("""COMPUTED_VALUE"""),0.0)</f>
        <v>0</v>
      </c>
      <c r="F818" s="6">
        <f>IFERROR(__xludf.DUMMYFUNCTION("""COMPUTED_VALUE"""),1.0)</f>
        <v>1</v>
      </c>
      <c r="G818" s="6">
        <f>IFERROR(__xludf.DUMMYFUNCTION("""COMPUTED_VALUE"""),2.0)</f>
        <v>2</v>
      </c>
    </row>
    <row r="819">
      <c r="A819" s="6">
        <f>IFERROR(__xludf.DUMMYFUNCTION("""COMPUTED_VALUE"""),2016.0)</f>
        <v>2016</v>
      </c>
      <c r="B819" s="6" t="str">
        <f>IFERROR(__xludf.DUMMYFUNCTION("""COMPUTED_VALUE"""),"Julho")</f>
        <v>Julho</v>
      </c>
      <c r="C819" s="6" t="str">
        <f>IFERROR(__xludf.DUMMYFUNCTION("""COMPUTED_VALUE"""),"FEMINICÍDIO")</f>
        <v>FEMINICÍDIO</v>
      </c>
      <c r="D819" s="6">
        <f>IFERROR(__xludf.DUMMYFUNCTION("""COMPUTED_VALUE"""),0.0)</f>
        <v>0</v>
      </c>
      <c r="E819" s="6">
        <f>IFERROR(__xludf.DUMMYFUNCTION("""COMPUTED_VALUE"""),1.0)</f>
        <v>1</v>
      </c>
      <c r="F819" s="6">
        <f>IFERROR(__xludf.DUMMYFUNCTION("""COMPUTED_VALUE"""),1.0)</f>
        <v>1</v>
      </c>
      <c r="G819" s="6">
        <f>IFERROR(__xludf.DUMMYFUNCTION("""COMPUTED_VALUE"""),2.0)</f>
        <v>2</v>
      </c>
    </row>
    <row r="820">
      <c r="A820" s="6">
        <f>IFERROR(__xludf.DUMMYFUNCTION("""COMPUTED_VALUE"""),2016.0)</f>
        <v>2016</v>
      </c>
      <c r="B820" s="6" t="str">
        <f>IFERROR(__xludf.DUMMYFUNCTION("""COMPUTED_VALUE"""),"Julho")</f>
        <v>Julho</v>
      </c>
      <c r="C820" s="6" t="str">
        <f>IFERROR(__xludf.DUMMYFUNCTION("""COMPUTED_VALUE"""),"HOMICÍDIO CULPOSO")</f>
        <v>HOMICÍDIO CULPOSO</v>
      </c>
      <c r="D820" s="6">
        <f>IFERROR(__xludf.DUMMYFUNCTION("""COMPUTED_VALUE"""),0.0)</f>
        <v>0</v>
      </c>
      <c r="E820" s="6">
        <f>IFERROR(__xludf.DUMMYFUNCTION("""COMPUTED_VALUE"""),0.0)</f>
        <v>0</v>
      </c>
      <c r="F820" s="6">
        <f>IFERROR(__xludf.DUMMYFUNCTION("""COMPUTED_VALUE"""),0.0)</f>
        <v>0</v>
      </c>
      <c r="G820" s="6">
        <f>IFERROR(__xludf.DUMMYFUNCTION("""COMPUTED_VALUE"""),0.0)</f>
        <v>0</v>
      </c>
    </row>
    <row r="821">
      <c r="A821" s="6">
        <f>IFERROR(__xludf.DUMMYFUNCTION("""COMPUTED_VALUE"""),2016.0)</f>
        <v>2016</v>
      </c>
      <c r="B821" s="6" t="str">
        <f>IFERROR(__xludf.DUMMYFUNCTION("""COMPUTED_VALUE"""),"Julho")</f>
        <v>Julho</v>
      </c>
      <c r="C821" s="6" t="str">
        <f>IFERROR(__xludf.DUMMYFUNCTION("""COMPUTED_VALUE"""),"TENTATIVA DE HOMICÍDIO")</f>
        <v>TENTATIVA DE HOMICÍDIO</v>
      </c>
      <c r="D821" s="6">
        <f>IFERROR(__xludf.DUMMYFUNCTION("""COMPUTED_VALUE"""),1.0)</f>
        <v>1</v>
      </c>
      <c r="E821" s="6">
        <f>IFERROR(__xludf.DUMMYFUNCTION("""COMPUTED_VALUE"""),2.0)</f>
        <v>2</v>
      </c>
      <c r="F821" s="6">
        <f>IFERROR(__xludf.DUMMYFUNCTION("""COMPUTED_VALUE"""),10.0)</f>
        <v>10</v>
      </c>
      <c r="G821" s="6">
        <f>IFERROR(__xludf.DUMMYFUNCTION("""COMPUTED_VALUE"""),13.0)</f>
        <v>13</v>
      </c>
    </row>
    <row r="822">
      <c r="A822" s="6">
        <f>IFERROR(__xludf.DUMMYFUNCTION("""COMPUTED_VALUE"""),2016.0)</f>
        <v>2016</v>
      </c>
      <c r="B822" s="6" t="str">
        <f>IFERROR(__xludf.DUMMYFUNCTION("""COMPUTED_VALUE"""),"Julho")</f>
        <v>Julho</v>
      </c>
      <c r="C822" s="6" t="str">
        <f>IFERROR(__xludf.DUMMYFUNCTION("""COMPUTED_VALUE"""),"LESÃO CORPORAL DOLOSA")</f>
        <v>LESÃO CORPORAL DOLOSA</v>
      </c>
      <c r="D822" s="6">
        <f>IFERROR(__xludf.DUMMYFUNCTION("""COMPUTED_VALUE"""),932.0)</f>
        <v>932</v>
      </c>
      <c r="E822" s="6">
        <f>IFERROR(__xludf.DUMMYFUNCTION("""COMPUTED_VALUE"""),798.0)</f>
        <v>798</v>
      </c>
      <c r="F822" s="6">
        <f>IFERROR(__xludf.DUMMYFUNCTION("""COMPUTED_VALUE"""),2843.0)</f>
        <v>2843</v>
      </c>
      <c r="G822" s="6">
        <f>IFERROR(__xludf.DUMMYFUNCTION("""COMPUTED_VALUE"""),4573.0)</f>
        <v>4573</v>
      </c>
    </row>
    <row r="823">
      <c r="A823" s="6">
        <f>IFERROR(__xludf.DUMMYFUNCTION("""COMPUTED_VALUE"""),2016.0)</f>
        <v>2016</v>
      </c>
      <c r="B823" s="6" t="str">
        <f>IFERROR(__xludf.DUMMYFUNCTION("""COMPUTED_VALUE"""),"Julho")</f>
        <v>Julho</v>
      </c>
      <c r="C823" s="6" t="str">
        <f>IFERROR(__xludf.DUMMYFUNCTION("""COMPUTED_VALUE"""),"MAUS TRATOS")</f>
        <v>MAUS TRATOS</v>
      </c>
      <c r="D823" s="6">
        <f>IFERROR(__xludf.DUMMYFUNCTION("""COMPUTED_VALUE"""),3.0)</f>
        <v>3</v>
      </c>
      <c r="E823" s="6">
        <f>IFERROR(__xludf.DUMMYFUNCTION("""COMPUTED_VALUE"""),2.0)</f>
        <v>2</v>
      </c>
      <c r="F823" s="6">
        <f>IFERROR(__xludf.DUMMYFUNCTION("""COMPUTED_VALUE"""),15.0)</f>
        <v>15</v>
      </c>
      <c r="G823" s="6">
        <f>IFERROR(__xludf.DUMMYFUNCTION("""COMPUTED_VALUE"""),20.0)</f>
        <v>20</v>
      </c>
    </row>
    <row r="824">
      <c r="A824" s="6">
        <f>IFERROR(__xludf.DUMMYFUNCTION("""COMPUTED_VALUE"""),2016.0)</f>
        <v>2016</v>
      </c>
      <c r="B824" s="6" t="str">
        <f>IFERROR(__xludf.DUMMYFUNCTION("""COMPUTED_VALUE"""),"Julho")</f>
        <v>Julho</v>
      </c>
      <c r="C824" s="6" t="str">
        <f>IFERROR(__xludf.DUMMYFUNCTION("""COMPUTED_VALUE"""),"CALÚNIA - DIFAMAÇÃO - INJÚRIA")</f>
        <v>CALÚNIA - DIFAMAÇÃO - INJÚRIA</v>
      </c>
      <c r="D824" s="6">
        <f>IFERROR(__xludf.DUMMYFUNCTION("""COMPUTED_VALUE"""),182.0)</f>
        <v>182</v>
      </c>
      <c r="E824" s="6">
        <f>IFERROR(__xludf.DUMMYFUNCTION("""COMPUTED_VALUE"""),154.0)</f>
        <v>154</v>
      </c>
      <c r="F824" s="6">
        <f>IFERROR(__xludf.DUMMYFUNCTION("""COMPUTED_VALUE"""),682.0)</f>
        <v>682</v>
      </c>
      <c r="G824" s="6">
        <f>IFERROR(__xludf.DUMMYFUNCTION("""COMPUTED_VALUE"""),1018.0)</f>
        <v>1018</v>
      </c>
    </row>
    <row r="825">
      <c r="A825" s="6">
        <f>IFERROR(__xludf.DUMMYFUNCTION("""COMPUTED_VALUE"""),2016.0)</f>
        <v>2016</v>
      </c>
      <c r="B825" s="6" t="str">
        <f>IFERROR(__xludf.DUMMYFUNCTION("""COMPUTED_VALUE"""),"Julho")</f>
        <v>Julho</v>
      </c>
      <c r="C825" s="6" t="str">
        <f>IFERROR(__xludf.DUMMYFUNCTION("""COMPUTED_VALUE"""),"CONSTRANGIMENTO ILEGAL")</f>
        <v>CONSTRANGIMENTO ILEGAL</v>
      </c>
      <c r="D825" s="6">
        <f>IFERROR(__xludf.DUMMYFUNCTION("""COMPUTED_VALUE"""),1.0)</f>
        <v>1</v>
      </c>
      <c r="E825" s="6">
        <f>IFERROR(__xludf.DUMMYFUNCTION("""COMPUTED_VALUE"""),0.0)</f>
        <v>0</v>
      </c>
      <c r="F825" s="6">
        <f>IFERROR(__xludf.DUMMYFUNCTION("""COMPUTED_VALUE"""),5.0)</f>
        <v>5</v>
      </c>
      <c r="G825" s="6">
        <f>IFERROR(__xludf.DUMMYFUNCTION("""COMPUTED_VALUE"""),6.0)</f>
        <v>6</v>
      </c>
    </row>
    <row r="826">
      <c r="A826" s="6">
        <f>IFERROR(__xludf.DUMMYFUNCTION("""COMPUTED_VALUE"""),2016.0)</f>
        <v>2016</v>
      </c>
      <c r="B826" s="6" t="str">
        <f>IFERROR(__xludf.DUMMYFUNCTION("""COMPUTED_VALUE"""),"Julho")</f>
        <v>Julho</v>
      </c>
      <c r="C826" s="6" t="str">
        <f>IFERROR(__xludf.DUMMYFUNCTION("""COMPUTED_VALUE"""),"AMEAÇA")</f>
        <v>AMEAÇA</v>
      </c>
      <c r="D826" s="6">
        <f>IFERROR(__xludf.DUMMYFUNCTION("""COMPUTED_VALUE"""),864.0)</f>
        <v>864</v>
      </c>
      <c r="E826" s="6">
        <f>IFERROR(__xludf.DUMMYFUNCTION("""COMPUTED_VALUE"""),792.0)</f>
        <v>792</v>
      </c>
      <c r="F826" s="6">
        <f>IFERROR(__xludf.DUMMYFUNCTION("""COMPUTED_VALUE"""),2932.0)</f>
        <v>2932</v>
      </c>
      <c r="G826" s="6">
        <f>IFERROR(__xludf.DUMMYFUNCTION("""COMPUTED_VALUE"""),4588.0)</f>
        <v>4588</v>
      </c>
    </row>
    <row r="827">
      <c r="A827" s="6">
        <f>IFERROR(__xludf.DUMMYFUNCTION("""COMPUTED_VALUE"""),2016.0)</f>
        <v>2016</v>
      </c>
      <c r="B827" s="6" t="str">
        <f>IFERROR(__xludf.DUMMYFUNCTION("""COMPUTED_VALUE"""),"Julho")</f>
        <v>Julho</v>
      </c>
      <c r="C827" s="6" t="str">
        <f>IFERROR(__xludf.DUMMYFUNCTION("""COMPUTED_VALUE"""),"INVASÃO DE DOMICÍLIO")</f>
        <v>INVASÃO DE DOMICÍLIO</v>
      </c>
      <c r="D827" s="6">
        <f>IFERROR(__xludf.DUMMYFUNCTION("""COMPUTED_VALUE"""),1.0)</f>
        <v>1</v>
      </c>
      <c r="E827" s="6">
        <f>IFERROR(__xludf.DUMMYFUNCTION("""COMPUTED_VALUE"""),2.0)</f>
        <v>2</v>
      </c>
      <c r="F827" s="6">
        <f>IFERROR(__xludf.DUMMYFUNCTION("""COMPUTED_VALUE"""),12.0)</f>
        <v>12</v>
      </c>
      <c r="G827" s="6">
        <f>IFERROR(__xludf.DUMMYFUNCTION("""COMPUTED_VALUE"""),15.0)</f>
        <v>15</v>
      </c>
    </row>
    <row r="828">
      <c r="A828" s="6">
        <f>IFERROR(__xludf.DUMMYFUNCTION("""COMPUTED_VALUE"""),2016.0)</f>
        <v>2016</v>
      </c>
      <c r="B828" s="6" t="str">
        <f>IFERROR(__xludf.DUMMYFUNCTION("""COMPUTED_VALUE"""),"Julho")</f>
        <v>Julho</v>
      </c>
      <c r="C828" s="6" t="str">
        <f>IFERROR(__xludf.DUMMYFUNCTION("""COMPUTED_VALUE"""),"DANO")</f>
        <v>DANO</v>
      </c>
      <c r="D828" s="6">
        <f>IFERROR(__xludf.DUMMYFUNCTION("""COMPUTED_VALUE"""),10.0)</f>
        <v>10</v>
      </c>
      <c r="E828" s="6">
        <f>IFERROR(__xludf.DUMMYFUNCTION("""COMPUTED_VALUE"""),9.0)</f>
        <v>9</v>
      </c>
      <c r="F828" s="6">
        <f>IFERROR(__xludf.DUMMYFUNCTION("""COMPUTED_VALUE"""),52.0)</f>
        <v>52</v>
      </c>
      <c r="G828" s="6">
        <f>IFERROR(__xludf.DUMMYFUNCTION("""COMPUTED_VALUE"""),71.0)</f>
        <v>71</v>
      </c>
    </row>
    <row r="829">
      <c r="A829" s="6">
        <f>IFERROR(__xludf.DUMMYFUNCTION("""COMPUTED_VALUE"""),2016.0)</f>
        <v>2016</v>
      </c>
      <c r="B829" s="6" t="str">
        <f>IFERROR(__xludf.DUMMYFUNCTION("""COMPUTED_VALUE"""),"Julho")</f>
        <v>Julho</v>
      </c>
      <c r="C829" s="6" t="str">
        <f>IFERROR(__xludf.DUMMYFUNCTION("""COMPUTED_VALUE"""),"ESTUPRO CONSUMADO")</f>
        <v>ESTUPRO CONSUMADO</v>
      </c>
      <c r="D829" s="6">
        <f>IFERROR(__xludf.DUMMYFUNCTION("""COMPUTED_VALUE"""),9.0)</f>
        <v>9</v>
      </c>
      <c r="E829" s="6">
        <f>IFERROR(__xludf.DUMMYFUNCTION("""COMPUTED_VALUE"""),6.0)</f>
        <v>6</v>
      </c>
      <c r="F829" s="6">
        <f>IFERROR(__xludf.DUMMYFUNCTION("""COMPUTED_VALUE"""),16.0)</f>
        <v>16</v>
      </c>
      <c r="G829" s="6">
        <f>IFERROR(__xludf.DUMMYFUNCTION("""COMPUTED_VALUE"""),31.0)</f>
        <v>31</v>
      </c>
    </row>
    <row r="830">
      <c r="A830" s="6">
        <f>IFERROR(__xludf.DUMMYFUNCTION("""COMPUTED_VALUE"""),2016.0)</f>
        <v>2016</v>
      </c>
      <c r="B830" s="6" t="str">
        <f>IFERROR(__xludf.DUMMYFUNCTION("""COMPUTED_VALUE"""),"Julho")</f>
        <v>Julho</v>
      </c>
      <c r="C830" s="6" t="str">
        <f>IFERROR(__xludf.DUMMYFUNCTION("""COMPUTED_VALUE"""),"ESTUPRO TENTADO")</f>
        <v>ESTUPRO TENTADO</v>
      </c>
      <c r="D830" s="6">
        <f>IFERROR(__xludf.DUMMYFUNCTION("""COMPUTED_VALUE"""),0.0)</f>
        <v>0</v>
      </c>
      <c r="E830" s="6">
        <f>IFERROR(__xludf.DUMMYFUNCTION("""COMPUTED_VALUE"""),0.0)</f>
        <v>0</v>
      </c>
      <c r="F830" s="6">
        <f>IFERROR(__xludf.DUMMYFUNCTION("""COMPUTED_VALUE"""),1.0)</f>
        <v>1</v>
      </c>
      <c r="G830" s="6">
        <f>IFERROR(__xludf.DUMMYFUNCTION("""COMPUTED_VALUE"""),1.0)</f>
        <v>1</v>
      </c>
    </row>
    <row r="831">
      <c r="A831" s="6">
        <f>IFERROR(__xludf.DUMMYFUNCTION("""COMPUTED_VALUE"""),2016.0)</f>
        <v>2016</v>
      </c>
      <c r="B831" s="6" t="str">
        <f>IFERROR(__xludf.DUMMYFUNCTION("""COMPUTED_VALUE"""),"Julho")</f>
        <v>Julho</v>
      </c>
      <c r="C831" s="6" t="str">
        <f>IFERROR(__xludf.DUMMYFUNCTION("""COMPUTED_VALUE"""),"ESTUPRO DE VULNERÁVEL CONSUMADO")</f>
        <v>ESTUPRO DE VULNERÁVEL CONSUMADO</v>
      </c>
      <c r="D831" s="6">
        <f>IFERROR(__xludf.DUMMYFUNCTION("""COMPUTED_VALUE"""),2.0)</f>
        <v>2</v>
      </c>
      <c r="E831" s="6">
        <f>IFERROR(__xludf.DUMMYFUNCTION("""COMPUTED_VALUE"""),3.0)</f>
        <v>3</v>
      </c>
      <c r="F831" s="6">
        <f>IFERROR(__xludf.DUMMYFUNCTION("""COMPUTED_VALUE"""),16.0)</f>
        <v>16</v>
      </c>
      <c r="G831" s="6">
        <f>IFERROR(__xludf.DUMMYFUNCTION("""COMPUTED_VALUE"""),21.0)</f>
        <v>21</v>
      </c>
    </row>
    <row r="832">
      <c r="A832" s="6">
        <f>IFERROR(__xludf.DUMMYFUNCTION("""COMPUTED_VALUE"""),2016.0)</f>
        <v>2016</v>
      </c>
      <c r="B832" s="6" t="str">
        <f>IFERROR(__xludf.DUMMYFUNCTION("""COMPUTED_VALUE"""),"Julho")</f>
        <v>Julho</v>
      </c>
      <c r="C832" s="6" t="str">
        <f>IFERROR(__xludf.DUMMYFUNCTION("""COMPUTED_VALUE"""),"OUTROS C/C/ DIGNIDADE SEXUAL")</f>
        <v>OUTROS C/C/ DIGNIDADE SEXUAL</v>
      </c>
      <c r="D832" s="6">
        <f>IFERROR(__xludf.DUMMYFUNCTION("""COMPUTED_VALUE"""),0.0)</f>
        <v>0</v>
      </c>
      <c r="E832" s="6">
        <f>IFERROR(__xludf.DUMMYFUNCTION("""COMPUTED_VALUE"""),0.0)</f>
        <v>0</v>
      </c>
      <c r="F832" s="6">
        <f>IFERROR(__xludf.DUMMYFUNCTION("""COMPUTED_VALUE"""),1.0)</f>
        <v>1</v>
      </c>
      <c r="G832" s="6">
        <f>IFERROR(__xludf.DUMMYFUNCTION("""COMPUTED_VALUE"""),1.0)</f>
        <v>1</v>
      </c>
    </row>
    <row r="833">
      <c r="A833" s="6">
        <f>IFERROR(__xludf.DUMMYFUNCTION("""COMPUTED_VALUE"""),2016.0)</f>
        <v>2016</v>
      </c>
      <c r="B833" s="6" t="str">
        <f>IFERROR(__xludf.DUMMYFUNCTION("""COMPUTED_VALUE"""),"Agosto")</f>
        <v>Agosto</v>
      </c>
      <c r="C833" s="6" t="str">
        <f>IFERROR(__xludf.DUMMYFUNCTION("""COMPUTED_VALUE"""),"HOMICÍDIO DOLOSO (exclui FEMINICÍDIO)")</f>
        <v>HOMICÍDIO DOLOSO (exclui FEMINICÍDIO)</v>
      </c>
      <c r="D833" s="6">
        <f>IFERROR(__xludf.DUMMYFUNCTION("""COMPUTED_VALUE"""),1.0)</f>
        <v>1</v>
      </c>
      <c r="E833" s="6">
        <f>IFERROR(__xludf.DUMMYFUNCTION("""COMPUTED_VALUE"""),1.0)</f>
        <v>1</v>
      </c>
      <c r="F833" s="6">
        <f>IFERROR(__xludf.DUMMYFUNCTION("""COMPUTED_VALUE"""),2.0)</f>
        <v>2</v>
      </c>
      <c r="G833" s="6">
        <f>IFERROR(__xludf.DUMMYFUNCTION("""COMPUTED_VALUE"""),4.0)</f>
        <v>4</v>
      </c>
    </row>
    <row r="834">
      <c r="A834" s="6">
        <f>IFERROR(__xludf.DUMMYFUNCTION("""COMPUTED_VALUE"""),2016.0)</f>
        <v>2016</v>
      </c>
      <c r="B834" s="6" t="str">
        <f>IFERROR(__xludf.DUMMYFUNCTION("""COMPUTED_VALUE"""),"Agosto")</f>
        <v>Agosto</v>
      </c>
      <c r="C834" s="6" t="str">
        <f>IFERROR(__xludf.DUMMYFUNCTION("""COMPUTED_VALUE"""),"FEMINICÍDIO")</f>
        <v>FEMINICÍDIO</v>
      </c>
      <c r="D834" s="6">
        <f>IFERROR(__xludf.DUMMYFUNCTION("""COMPUTED_VALUE"""),1.0)</f>
        <v>1</v>
      </c>
      <c r="E834" s="6">
        <f>IFERROR(__xludf.DUMMYFUNCTION("""COMPUTED_VALUE"""),0.0)</f>
        <v>0</v>
      </c>
      <c r="F834" s="6">
        <f>IFERROR(__xludf.DUMMYFUNCTION("""COMPUTED_VALUE"""),2.0)</f>
        <v>2</v>
      </c>
      <c r="G834" s="6">
        <f>IFERROR(__xludf.DUMMYFUNCTION("""COMPUTED_VALUE"""),3.0)</f>
        <v>3</v>
      </c>
    </row>
    <row r="835">
      <c r="A835" s="6">
        <f>IFERROR(__xludf.DUMMYFUNCTION("""COMPUTED_VALUE"""),2016.0)</f>
        <v>2016</v>
      </c>
      <c r="B835" s="6" t="str">
        <f>IFERROR(__xludf.DUMMYFUNCTION("""COMPUTED_VALUE"""),"Agosto")</f>
        <v>Agosto</v>
      </c>
      <c r="C835" s="6" t="str">
        <f>IFERROR(__xludf.DUMMYFUNCTION("""COMPUTED_VALUE"""),"HOMICÍDIO CULPOSO")</f>
        <v>HOMICÍDIO CULPOSO</v>
      </c>
      <c r="D835" s="6">
        <f>IFERROR(__xludf.DUMMYFUNCTION("""COMPUTED_VALUE"""),0.0)</f>
        <v>0</v>
      </c>
      <c r="E835" s="6">
        <f>IFERROR(__xludf.DUMMYFUNCTION("""COMPUTED_VALUE"""),0.0)</f>
        <v>0</v>
      </c>
      <c r="F835" s="6">
        <f>IFERROR(__xludf.DUMMYFUNCTION("""COMPUTED_VALUE"""),0.0)</f>
        <v>0</v>
      </c>
      <c r="G835" s="6">
        <f>IFERROR(__xludf.DUMMYFUNCTION("""COMPUTED_VALUE"""),0.0)</f>
        <v>0</v>
      </c>
    </row>
    <row r="836">
      <c r="A836" s="6">
        <f>IFERROR(__xludf.DUMMYFUNCTION("""COMPUTED_VALUE"""),2016.0)</f>
        <v>2016</v>
      </c>
      <c r="B836" s="6" t="str">
        <f>IFERROR(__xludf.DUMMYFUNCTION("""COMPUTED_VALUE"""),"Agosto")</f>
        <v>Agosto</v>
      </c>
      <c r="C836" s="6" t="str">
        <f>IFERROR(__xludf.DUMMYFUNCTION("""COMPUTED_VALUE"""),"TENTATIVA DE HOMICÍDIO")</f>
        <v>TENTATIVA DE HOMICÍDIO</v>
      </c>
      <c r="D836" s="6">
        <f>IFERROR(__xludf.DUMMYFUNCTION("""COMPUTED_VALUE"""),2.0)</f>
        <v>2</v>
      </c>
      <c r="E836" s="6">
        <f>IFERROR(__xludf.DUMMYFUNCTION("""COMPUTED_VALUE"""),2.0)</f>
        <v>2</v>
      </c>
      <c r="F836" s="6">
        <f>IFERROR(__xludf.DUMMYFUNCTION("""COMPUTED_VALUE"""),12.0)</f>
        <v>12</v>
      </c>
      <c r="G836" s="6">
        <f>IFERROR(__xludf.DUMMYFUNCTION("""COMPUTED_VALUE"""),16.0)</f>
        <v>16</v>
      </c>
    </row>
    <row r="837">
      <c r="A837" s="6">
        <f>IFERROR(__xludf.DUMMYFUNCTION("""COMPUTED_VALUE"""),2016.0)</f>
        <v>2016</v>
      </c>
      <c r="B837" s="6" t="str">
        <f>IFERROR(__xludf.DUMMYFUNCTION("""COMPUTED_VALUE"""),"Agosto")</f>
        <v>Agosto</v>
      </c>
      <c r="C837" s="6" t="str">
        <f>IFERROR(__xludf.DUMMYFUNCTION("""COMPUTED_VALUE"""),"LESÃO CORPORAL DOLOSA")</f>
        <v>LESÃO CORPORAL DOLOSA</v>
      </c>
      <c r="D837" s="6">
        <f>IFERROR(__xludf.DUMMYFUNCTION("""COMPUTED_VALUE"""),948.0)</f>
        <v>948</v>
      </c>
      <c r="E837" s="6">
        <f>IFERROR(__xludf.DUMMYFUNCTION("""COMPUTED_VALUE"""),812.0)</f>
        <v>812</v>
      </c>
      <c r="F837" s="6">
        <f>IFERROR(__xludf.DUMMYFUNCTION("""COMPUTED_VALUE"""),2914.0)</f>
        <v>2914</v>
      </c>
      <c r="G837" s="6">
        <f>IFERROR(__xludf.DUMMYFUNCTION("""COMPUTED_VALUE"""),4674.0)</f>
        <v>4674</v>
      </c>
    </row>
    <row r="838">
      <c r="A838" s="6">
        <f>IFERROR(__xludf.DUMMYFUNCTION("""COMPUTED_VALUE"""),2016.0)</f>
        <v>2016</v>
      </c>
      <c r="B838" s="6" t="str">
        <f>IFERROR(__xludf.DUMMYFUNCTION("""COMPUTED_VALUE"""),"Agosto")</f>
        <v>Agosto</v>
      </c>
      <c r="C838" s="6" t="str">
        <f>IFERROR(__xludf.DUMMYFUNCTION("""COMPUTED_VALUE"""),"MAUS TRATOS")</f>
        <v>MAUS TRATOS</v>
      </c>
      <c r="D838" s="6">
        <f>IFERROR(__xludf.DUMMYFUNCTION("""COMPUTED_VALUE"""),3.0)</f>
        <v>3</v>
      </c>
      <c r="E838" s="6">
        <f>IFERROR(__xludf.DUMMYFUNCTION("""COMPUTED_VALUE"""),2.0)</f>
        <v>2</v>
      </c>
      <c r="F838" s="6">
        <f>IFERROR(__xludf.DUMMYFUNCTION("""COMPUTED_VALUE"""),16.0)</f>
        <v>16</v>
      </c>
      <c r="G838" s="6">
        <f>IFERROR(__xludf.DUMMYFUNCTION("""COMPUTED_VALUE"""),21.0)</f>
        <v>21</v>
      </c>
    </row>
    <row r="839">
      <c r="A839" s="6">
        <f>IFERROR(__xludf.DUMMYFUNCTION("""COMPUTED_VALUE"""),2016.0)</f>
        <v>2016</v>
      </c>
      <c r="B839" s="6" t="str">
        <f>IFERROR(__xludf.DUMMYFUNCTION("""COMPUTED_VALUE"""),"Agosto")</f>
        <v>Agosto</v>
      </c>
      <c r="C839" s="6" t="str">
        <f>IFERROR(__xludf.DUMMYFUNCTION("""COMPUTED_VALUE"""),"CALÚNIA - DIFAMAÇÃO - INJÚRIA")</f>
        <v>CALÚNIA - DIFAMAÇÃO - INJÚRIA</v>
      </c>
      <c r="D839" s="6">
        <f>IFERROR(__xludf.DUMMYFUNCTION("""COMPUTED_VALUE"""),187.0)</f>
        <v>187</v>
      </c>
      <c r="E839" s="6">
        <f>IFERROR(__xludf.DUMMYFUNCTION("""COMPUTED_VALUE"""),159.0)</f>
        <v>159</v>
      </c>
      <c r="F839" s="6">
        <f>IFERROR(__xludf.DUMMYFUNCTION("""COMPUTED_VALUE"""),694.0)</f>
        <v>694</v>
      </c>
      <c r="G839" s="6">
        <f>IFERROR(__xludf.DUMMYFUNCTION("""COMPUTED_VALUE"""),1040.0)</f>
        <v>1040</v>
      </c>
    </row>
    <row r="840">
      <c r="A840" s="6">
        <f>IFERROR(__xludf.DUMMYFUNCTION("""COMPUTED_VALUE"""),2016.0)</f>
        <v>2016</v>
      </c>
      <c r="B840" s="6" t="str">
        <f>IFERROR(__xludf.DUMMYFUNCTION("""COMPUTED_VALUE"""),"Agosto")</f>
        <v>Agosto</v>
      </c>
      <c r="C840" s="6" t="str">
        <f>IFERROR(__xludf.DUMMYFUNCTION("""COMPUTED_VALUE"""),"CONSTRANGIMENTO ILEGAL")</f>
        <v>CONSTRANGIMENTO ILEGAL</v>
      </c>
      <c r="D840" s="6">
        <f>IFERROR(__xludf.DUMMYFUNCTION("""COMPUTED_VALUE"""),1.0)</f>
        <v>1</v>
      </c>
      <c r="E840" s="6">
        <f>IFERROR(__xludf.DUMMYFUNCTION("""COMPUTED_VALUE"""),0.0)</f>
        <v>0</v>
      </c>
      <c r="F840" s="6">
        <f>IFERROR(__xludf.DUMMYFUNCTION("""COMPUTED_VALUE"""),6.0)</f>
        <v>6</v>
      </c>
      <c r="G840" s="6">
        <f>IFERROR(__xludf.DUMMYFUNCTION("""COMPUTED_VALUE"""),7.0)</f>
        <v>7</v>
      </c>
    </row>
    <row r="841">
      <c r="A841" s="6">
        <f>IFERROR(__xludf.DUMMYFUNCTION("""COMPUTED_VALUE"""),2016.0)</f>
        <v>2016</v>
      </c>
      <c r="B841" s="6" t="str">
        <f>IFERROR(__xludf.DUMMYFUNCTION("""COMPUTED_VALUE"""),"Agosto")</f>
        <v>Agosto</v>
      </c>
      <c r="C841" s="6" t="str">
        <f>IFERROR(__xludf.DUMMYFUNCTION("""COMPUTED_VALUE"""),"AMEAÇA")</f>
        <v>AMEAÇA</v>
      </c>
      <c r="D841" s="6">
        <f>IFERROR(__xludf.DUMMYFUNCTION("""COMPUTED_VALUE"""),872.0)</f>
        <v>872</v>
      </c>
      <c r="E841" s="6">
        <f>IFERROR(__xludf.DUMMYFUNCTION("""COMPUTED_VALUE"""),804.0)</f>
        <v>804</v>
      </c>
      <c r="F841" s="6">
        <f>IFERROR(__xludf.DUMMYFUNCTION("""COMPUTED_VALUE"""),2984.0)</f>
        <v>2984</v>
      </c>
      <c r="G841" s="6">
        <f>IFERROR(__xludf.DUMMYFUNCTION("""COMPUTED_VALUE"""),4660.0)</f>
        <v>4660</v>
      </c>
    </row>
    <row r="842">
      <c r="A842" s="6">
        <f>IFERROR(__xludf.DUMMYFUNCTION("""COMPUTED_VALUE"""),2016.0)</f>
        <v>2016</v>
      </c>
      <c r="B842" s="6" t="str">
        <f>IFERROR(__xludf.DUMMYFUNCTION("""COMPUTED_VALUE"""),"Agosto")</f>
        <v>Agosto</v>
      </c>
      <c r="C842" s="6" t="str">
        <f>IFERROR(__xludf.DUMMYFUNCTION("""COMPUTED_VALUE"""),"INVASÃO DE DOMICÍLIO")</f>
        <v>INVASÃO DE DOMICÍLIO</v>
      </c>
      <c r="D842" s="6">
        <f>IFERROR(__xludf.DUMMYFUNCTION("""COMPUTED_VALUE"""),1.0)</f>
        <v>1</v>
      </c>
      <c r="E842" s="6">
        <f>IFERROR(__xludf.DUMMYFUNCTION("""COMPUTED_VALUE"""),2.0)</f>
        <v>2</v>
      </c>
      <c r="F842" s="6">
        <f>IFERROR(__xludf.DUMMYFUNCTION("""COMPUTED_VALUE"""),13.0)</f>
        <v>13</v>
      </c>
      <c r="G842" s="6">
        <f>IFERROR(__xludf.DUMMYFUNCTION("""COMPUTED_VALUE"""),16.0)</f>
        <v>16</v>
      </c>
    </row>
    <row r="843">
      <c r="A843" s="6">
        <f>IFERROR(__xludf.DUMMYFUNCTION("""COMPUTED_VALUE"""),2016.0)</f>
        <v>2016</v>
      </c>
      <c r="B843" s="6" t="str">
        <f>IFERROR(__xludf.DUMMYFUNCTION("""COMPUTED_VALUE"""),"Agosto")</f>
        <v>Agosto</v>
      </c>
      <c r="C843" s="6" t="str">
        <f>IFERROR(__xludf.DUMMYFUNCTION("""COMPUTED_VALUE"""),"DANO")</f>
        <v>DANO</v>
      </c>
      <c r="D843" s="6">
        <f>IFERROR(__xludf.DUMMYFUNCTION("""COMPUTED_VALUE"""),11.0)</f>
        <v>11</v>
      </c>
      <c r="E843" s="6">
        <f>IFERROR(__xludf.DUMMYFUNCTION("""COMPUTED_VALUE"""),10.0)</f>
        <v>10</v>
      </c>
      <c r="F843" s="6">
        <f>IFERROR(__xludf.DUMMYFUNCTION("""COMPUTED_VALUE"""),54.0)</f>
        <v>54</v>
      </c>
      <c r="G843" s="6">
        <f>IFERROR(__xludf.DUMMYFUNCTION("""COMPUTED_VALUE"""),75.0)</f>
        <v>75</v>
      </c>
    </row>
    <row r="844">
      <c r="A844" s="6">
        <f>IFERROR(__xludf.DUMMYFUNCTION("""COMPUTED_VALUE"""),2016.0)</f>
        <v>2016</v>
      </c>
      <c r="B844" s="6" t="str">
        <f>IFERROR(__xludf.DUMMYFUNCTION("""COMPUTED_VALUE"""),"Agosto")</f>
        <v>Agosto</v>
      </c>
      <c r="C844" s="6" t="str">
        <f>IFERROR(__xludf.DUMMYFUNCTION("""COMPUTED_VALUE"""),"ESTUPRO CONSUMADO")</f>
        <v>ESTUPRO CONSUMADO</v>
      </c>
      <c r="D844" s="6">
        <f>IFERROR(__xludf.DUMMYFUNCTION("""COMPUTED_VALUE"""),10.0)</f>
        <v>10</v>
      </c>
      <c r="E844" s="6">
        <f>IFERROR(__xludf.DUMMYFUNCTION("""COMPUTED_VALUE"""),7.0)</f>
        <v>7</v>
      </c>
      <c r="F844" s="6">
        <f>IFERROR(__xludf.DUMMYFUNCTION("""COMPUTED_VALUE"""),17.0)</f>
        <v>17</v>
      </c>
      <c r="G844" s="6">
        <f>IFERROR(__xludf.DUMMYFUNCTION("""COMPUTED_VALUE"""),34.0)</f>
        <v>34</v>
      </c>
    </row>
    <row r="845">
      <c r="A845" s="6">
        <f>IFERROR(__xludf.DUMMYFUNCTION("""COMPUTED_VALUE"""),2016.0)</f>
        <v>2016</v>
      </c>
      <c r="B845" s="6" t="str">
        <f>IFERROR(__xludf.DUMMYFUNCTION("""COMPUTED_VALUE"""),"Agosto")</f>
        <v>Agosto</v>
      </c>
      <c r="C845" s="6" t="str">
        <f>IFERROR(__xludf.DUMMYFUNCTION("""COMPUTED_VALUE"""),"ESTUPRO TENTADO")</f>
        <v>ESTUPRO TENTADO</v>
      </c>
      <c r="D845" s="6">
        <f>IFERROR(__xludf.DUMMYFUNCTION("""COMPUTED_VALUE"""),0.0)</f>
        <v>0</v>
      </c>
      <c r="E845" s="6">
        <f>IFERROR(__xludf.DUMMYFUNCTION("""COMPUTED_VALUE"""),0.0)</f>
        <v>0</v>
      </c>
      <c r="F845" s="6">
        <f>IFERROR(__xludf.DUMMYFUNCTION("""COMPUTED_VALUE"""),1.0)</f>
        <v>1</v>
      </c>
      <c r="G845" s="6">
        <f>IFERROR(__xludf.DUMMYFUNCTION("""COMPUTED_VALUE"""),1.0)</f>
        <v>1</v>
      </c>
    </row>
    <row r="846">
      <c r="A846" s="6">
        <f>IFERROR(__xludf.DUMMYFUNCTION("""COMPUTED_VALUE"""),2016.0)</f>
        <v>2016</v>
      </c>
      <c r="B846" s="6" t="str">
        <f>IFERROR(__xludf.DUMMYFUNCTION("""COMPUTED_VALUE"""),"Agosto")</f>
        <v>Agosto</v>
      </c>
      <c r="C846" s="6" t="str">
        <f>IFERROR(__xludf.DUMMYFUNCTION("""COMPUTED_VALUE"""),"ESTUPRO DE VULNERÁVEL CONSUMADO")</f>
        <v>ESTUPRO DE VULNERÁVEL CONSUMADO</v>
      </c>
      <c r="D846" s="6">
        <f>IFERROR(__xludf.DUMMYFUNCTION("""COMPUTED_VALUE"""),3.0)</f>
        <v>3</v>
      </c>
      <c r="E846" s="6">
        <f>IFERROR(__xludf.DUMMYFUNCTION("""COMPUTED_VALUE"""),4.0)</f>
        <v>4</v>
      </c>
      <c r="F846" s="6">
        <f>IFERROR(__xludf.DUMMYFUNCTION("""COMPUTED_VALUE"""),17.0)</f>
        <v>17</v>
      </c>
      <c r="G846" s="6">
        <f>IFERROR(__xludf.DUMMYFUNCTION("""COMPUTED_VALUE"""),24.0)</f>
        <v>24</v>
      </c>
    </row>
    <row r="847">
      <c r="A847" s="6">
        <f>IFERROR(__xludf.DUMMYFUNCTION("""COMPUTED_VALUE"""),2016.0)</f>
        <v>2016</v>
      </c>
      <c r="B847" s="6" t="str">
        <f>IFERROR(__xludf.DUMMYFUNCTION("""COMPUTED_VALUE"""),"Agosto")</f>
        <v>Agosto</v>
      </c>
      <c r="C847" s="6" t="str">
        <f>IFERROR(__xludf.DUMMYFUNCTION("""COMPUTED_VALUE"""),"OUTROS C/C/ DIGNIDADE SEXUAL")</f>
        <v>OUTROS C/C/ DIGNIDADE SEXUAL</v>
      </c>
      <c r="D847" s="6">
        <f>IFERROR(__xludf.DUMMYFUNCTION("""COMPUTED_VALUE"""),0.0)</f>
        <v>0</v>
      </c>
      <c r="E847" s="6">
        <f>IFERROR(__xludf.DUMMYFUNCTION("""COMPUTED_VALUE"""),0.0)</f>
        <v>0</v>
      </c>
      <c r="F847" s="6">
        <f>IFERROR(__xludf.DUMMYFUNCTION("""COMPUTED_VALUE"""),2.0)</f>
        <v>2</v>
      </c>
      <c r="G847" s="6">
        <f>IFERROR(__xludf.DUMMYFUNCTION("""COMPUTED_VALUE"""),2.0)</f>
        <v>2</v>
      </c>
    </row>
    <row r="848">
      <c r="A848" s="6">
        <f>IFERROR(__xludf.DUMMYFUNCTION("""COMPUTED_VALUE"""),2016.0)</f>
        <v>2016</v>
      </c>
      <c r="B848" s="6" t="str">
        <f>IFERROR(__xludf.DUMMYFUNCTION("""COMPUTED_VALUE"""),"Setembro")</f>
        <v>Setembro</v>
      </c>
      <c r="C848" s="6" t="str">
        <f>IFERROR(__xludf.DUMMYFUNCTION("""COMPUTED_VALUE"""),"HOMICÍDIO DOLOSO (exclui FEMINICÍDIO)")</f>
        <v>HOMICÍDIO DOLOSO (exclui FEMINICÍDIO)</v>
      </c>
      <c r="D848" s="6">
        <f>IFERROR(__xludf.DUMMYFUNCTION("""COMPUTED_VALUE"""),1.0)</f>
        <v>1</v>
      </c>
      <c r="E848" s="6">
        <f>IFERROR(__xludf.DUMMYFUNCTION("""COMPUTED_VALUE"""),0.0)</f>
        <v>0</v>
      </c>
      <c r="F848" s="6">
        <f>IFERROR(__xludf.DUMMYFUNCTION("""COMPUTED_VALUE"""),2.0)</f>
        <v>2</v>
      </c>
      <c r="G848" s="6">
        <f>IFERROR(__xludf.DUMMYFUNCTION("""COMPUTED_VALUE"""),3.0)</f>
        <v>3</v>
      </c>
    </row>
    <row r="849">
      <c r="A849" s="6">
        <f>IFERROR(__xludf.DUMMYFUNCTION("""COMPUTED_VALUE"""),2016.0)</f>
        <v>2016</v>
      </c>
      <c r="B849" s="6" t="str">
        <f>IFERROR(__xludf.DUMMYFUNCTION("""COMPUTED_VALUE"""),"Setembro")</f>
        <v>Setembro</v>
      </c>
      <c r="C849" s="6" t="str">
        <f>IFERROR(__xludf.DUMMYFUNCTION("""COMPUTED_VALUE"""),"FEMINICÍDIO")</f>
        <v>FEMINICÍDIO</v>
      </c>
      <c r="D849" s="6">
        <f>IFERROR(__xludf.DUMMYFUNCTION("""COMPUTED_VALUE"""),1.0)</f>
        <v>1</v>
      </c>
      <c r="E849" s="6">
        <f>IFERROR(__xludf.DUMMYFUNCTION("""COMPUTED_VALUE"""),1.0)</f>
        <v>1</v>
      </c>
      <c r="F849" s="6">
        <f>IFERROR(__xludf.DUMMYFUNCTION("""COMPUTED_VALUE"""),1.0)</f>
        <v>1</v>
      </c>
      <c r="G849" s="6">
        <f>IFERROR(__xludf.DUMMYFUNCTION("""COMPUTED_VALUE"""),3.0)</f>
        <v>3</v>
      </c>
    </row>
    <row r="850">
      <c r="A850" s="6">
        <f>IFERROR(__xludf.DUMMYFUNCTION("""COMPUTED_VALUE"""),2016.0)</f>
        <v>2016</v>
      </c>
      <c r="B850" s="6" t="str">
        <f>IFERROR(__xludf.DUMMYFUNCTION("""COMPUTED_VALUE"""),"Setembro")</f>
        <v>Setembro</v>
      </c>
      <c r="C850" s="6" t="str">
        <f>IFERROR(__xludf.DUMMYFUNCTION("""COMPUTED_VALUE"""),"HOMICÍDIO CULPOSO")</f>
        <v>HOMICÍDIO CULPOSO</v>
      </c>
      <c r="D850" s="6">
        <f>IFERROR(__xludf.DUMMYFUNCTION("""COMPUTED_VALUE"""),0.0)</f>
        <v>0</v>
      </c>
      <c r="E850" s="6">
        <f>IFERROR(__xludf.DUMMYFUNCTION("""COMPUTED_VALUE"""),0.0)</f>
        <v>0</v>
      </c>
      <c r="F850" s="6">
        <f>IFERROR(__xludf.DUMMYFUNCTION("""COMPUTED_VALUE"""),0.0)</f>
        <v>0</v>
      </c>
      <c r="G850" s="6">
        <f>IFERROR(__xludf.DUMMYFUNCTION("""COMPUTED_VALUE"""),0.0)</f>
        <v>0</v>
      </c>
    </row>
    <row r="851">
      <c r="A851" s="6">
        <f>IFERROR(__xludf.DUMMYFUNCTION("""COMPUTED_VALUE"""),2016.0)</f>
        <v>2016</v>
      </c>
      <c r="B851" s="6" t="str">
        <f>IFERROR(__xludf.DUMMYFUNCTION("""COMPUTED_VALUE"""),"Setembro")</f>
        <v>Setembro</v>
      </c>
      <c r="C851" s="6" t="str">
        <f>IFERROR(__xludf.DUMMYFUNCTION("""COMPUTED_VALUE"""),"TENTATIVA DE HOMICÍDIO")</f>
        <v>TENTATIVA DE HOMICÍDIO</v>
      </c>
      <c r="D851" s="6">
        <f>IFERROR(__xludf.DUMMYFUNCTION("""COMPUTED_VALUE"""),1.0)</f>
        <v>1</v>
      </c>
      <c r="E851" s="6">
        <f>IFERROR(__xludf.DUMMYFUNCTION("""COMPUTED_VALUE"""),1.0)</f>
        <v>1</v>
      </c>
      <c r="F851" s="6">
        <f>IFERROR(__xludf.DUMMYFUNCTION("""COMPUTED_VALUE"""),11.0)</f>
        <v>11</v>
      </c>
      <c r="G851" s="6">
        <f>IFERROR(__xludf.DUMMYFUNCTION("""COMPUTED_VALUE"""),13.0)</f>
        <v>13</v>
      </c>
    </row>
    <row r="852">
      <c r="A852" s="6">
        <f>IFERROR(__xludf.DUMMYFUNCTION("""COMPUTED_VALUE"""),2016.0)</f>
        <v>2016</v>
      </c>
      <c r="B852" s="6" t="str">
        <f>IFERROR(__xludf.DUMMYFUNCTION("""COMPUTED_VALUE"""),"Setembro")</f>
        <v>Setembro</v>
      </c>
      <c r="C852" s="6" t="str">
        <f>IFERROR(__xludf.DUMMYFUNCTION("""COMPUTED_VALUE"""),"LESÃO CORPORAL DOLOSA")</f>
        <v>LESÃO CORPORAL DOLOSA</v>
      </c>
      <c r="D852" s="6">
        <f>IFERROR(__xludf.DUMMYFUNCTION("""COMPUTED_VALUE"""),912.0)</f>
        <v>912</v>
      </c>
      <c r="E852" s="6">
        <f>IFERROR(__xludf.DUMMYFUNCTION("""COMPUTED_VALUE"""),784.0)</f>
        <v>784</v>
      </c>
      <c r="F852" s="6">
        <f>IFERROR(__xludf.DUMMYFUNCTION("""COMPUTED_VALUE"""),2814.0)</f>
        <v>2814</v>
      </c>
      <c r="G852" s="6">
        <f>IFERROR(__xludf.DUMMYFUNCTION("""COMPUTED_VALUE"""),4510.0)</f>
        <v>4510</v>
      </c>
    </row>
    <row r="853">
      <c r="A853" s="6">
        <f>IFERROR(__xludf.DUMMYFUNCTION("""COMPUTED_VALUE"""),2016.0)</f>
        <v>2016</v>
      </c>
      <c r="B853" s="6" t="str">
        <f>IFERROR(__xludf.DUMMYFUNCTION("""COMPUTED_VALUE"""),"Setembro")</f>
        <v>Setembro</v>
      </c>
      <c r="C853" s="6" t="str">
        <f>IFERROR(__xludf.DUMMYFUNCTION("""COMPUTED_VALUE"""),"MAUS TRATOS")</f>
        <v>MAUS TRATOS</v>
      </c>
      <c r="D853" s="6">
        <f>IFERROR(__xludf.DUMMYFUNCTION("""COMPUTED_VALUE"""),2.0)</f>
        <v>2</v>
      </c>
      <c r="E853" s="6">
        <f>IFERROR(__xludf.DUMMYFUNCTION("""COMPUTED_VALUE"""),2.0)</f>
        <v>2</v>
      </c>
      <c r="F853" s="6">
        <f>IFERROR(__xludf.DUMMYFUNCTION("""COMPUTED_VALUE"""),14.0)</f>
        <v>14</v>
      </c>
      <c r="G853" s="6">
        <f>IFERROR(__xludf.DUMMYFUNCTION("""COMPUTED_VALUE"""),18.0)</f>
        <v>18</v>
      </c>
    </row>
    <row r="854">
      <c r="A854" s="6">
        <f>IFERROR(__xludf.DUMMYFUNCTION("""COMPUTED_VALUE"""),2016.0)</f>
        <v>2016</v>
      </c>
      <c r="B854" s="6" t="str">
        <f>IFERROR(__xludf.DUMMYFUNCTION("""COMPUTED_VALUE"""),"Setembro")</f>
        <v>Setembro</v>
      </c>
      <c r="C854" s="6" t="str">
        <f>IFERROR(__xludf.DUMMYFUNCTION("""COMPUTED_VALUE"""),"CALÚNIA - DIFAMAÇÃO - INJÚRIA")</f>
        <v>CALÚNIA - DIFAMAÇÃO - INJÚRIA</v>
      </c>
      <c r="D854" s="6">
        <f>IFERROR(__xludf.DUMMYFUNCTION("""COMPUTED_VALUE"""),178.0)</f>
        <v>178</v>
      </c>
      <c r="E854" s="6">
        <f>IFERROR(__xludf.DUMMYFUNCTION("""COMPUTED_VALUE"""),151.0)</f>
        <v>151</v>
      </c>
      <c r="F854" s="6">
        <f>IFERROR(__xludf.DUMMYFUNCTION("""COMPUTED_VALUE"""),654.0)</f>
        <v>654</v>
      </c>
      <c r="G854" s="6">
        <f>IFERROR(__xludf.DUMMYFUNCTION("""COMPUTED_VALUE"""),983.0)</f>
        <v>983</v>
      </c>
    </row>
    <row r="855">
      <c r="A855" s="6">
        <f>IFERROR(__xludf.DUMMYFUNCTION("""COMPUTED_VALUE"""),2016.0)</f>
        <v>2016</v>
      </c>
      <c r="B855" s="6" t="str">
        <f>IFERROR(__xludf.DUMMYFUNCTION("""COMPUTED_VALUE"""),"Setembro")</f>
        <v>Setembro</v>
      </c>
      <c r="C855" s="6" t="str">
        <f>IFERROR(__xludf.DUMMYFUNCTION("""COMPUTED_VALUE"""),"CONSTRANGIMENTO ILEGAL")</f>
        <v>CONSTRANGIMENTO ILEGAL</v>
      </c>
      <c r="D855" s="6">
        <f>IFERROR(__xludf.DUMMYFUNCTION("""COMPUTED_VALUE"""),1.0)</f>
        <v>1</v>
      </c>
      <c r="E855" s="6">
        <f>IFERROR(__xludf.DUMMYFUNCTION("""COMPUTED_VALUE"""),0.0)</f>
        <v>0</v>
      </c>
      <c r="F855" s="6">
        <f>IFERROR(__xludf.DUMMYFUNCTION("""COMPUTED_VALUE"""),5.0)</f>
        <v>5</v>
      </c>
      <c r="G855" s="6">
        <f>IFERROR(__xludf.DUMMYFUNCTION("""COMPUTED_VALUE"""),6.0)</f>
        <v>6</v>
      </c>
    </row>
    <row r="856">
      <c r="A856" s="6">
        <f>IFERROR(__xludf.DUMMYFUNCTION("""COMPUTED_VALUE"""),2016.0)</f>
        <v>2016</v>
      </c>
      <c r="B856" s="6" t="str">
        <f>IFERROR(__xludf.DUMMYFUNCTION("""COMPUTED_VALUE"""),"Setembro")</f>
        <v>Setembro</v>
      </c>
      <c r="C856" s="6" t="str">
        <f>IFERROR(__xludf.DUMMYFUNCTION("""COMPUTED_VALUE"""),"AMEAÇA")</f>
        <v>AMEAÇA</v>
      </c>
      <c r="D856" s="6">
        <f>IFERROR(__xludf.DUMMYFUNCTION("""COMPUTED_VALUE"""),842.0)</f>
        <v>842</v>
      </c>
      <c r="E856" s="6">
        <f>IFERROR(__xludf.DUMMYFUNCTION("""COMPUTED_VALUE"""),771.0)</f>
        <v>771</v>
      </c>
      <c r="F856" s="6">
        <f>IFERROR(__xludf.DUMMYFUNCTION("""COMPUTED_VALUE"""),2884.0)</f>
        <v>2884</v>
      </c>
      <c r="G856" s="6">
        <f>IFERROR(__xludf.DUMMYFUNCTION("""COMPUTED_VALUE"""),4497.0)</f>
        <v>4497</v>
      </c>
    </row>
    <row r="857">
      <c r="A857" s="6">
        <f>IFERROR(__xludf.DUMMYFUNCTION("""COMPUTED_VALUE"""),2016.0)</f>
        <v>2016</v>
      </c>
      <c r="B857" s="6" t="str">
        <f>IFERROR(__xludf.DUMMYFUNCTION("""COMPUTED_VALUE"""),"Setembro")</f>
        <v>Setembro</v>
      </c>
      <c r="C857" s="6" t="str">
        <f>IFERROR(__xludf.DUMMYFUNCTION("""COMPUTED_VALUE"""),"INVASÃO DE DOMICÍLIO")</f>
        <v>INVASÃO DE DOMICÍLIO</v>
      </c>
      <c r="D857" s="6">
        <f>IFERROR(__xludf.DUMMYFUNCTION("""COMPUTED_VALUE"""),1.0)</f>
        <v>1</v>
      </c>
      <c r="E857" s="6">
        <f>IFERROR(__xludf.DUMMYFUNCTION("""COMPUTED_VALUE"""),1.0)</f>
        <v>1</v>
      </c>
      <c r="F857" s="6">
        <f>IFERROR(__xludf.DUMMYFUNCTION("""COMPUTED_VALUE"""),11.0)</f>
        <v>11</v>
      </c>
      <c r="G857" s="6">
        <f>IFERROR(__xludf.DUMMYFUNCTION("""COMPUTED_VALUE"""),13.0)</f>
        <v>13</v>
      </c>
    </row>
    <row r="858">
      <c r="A858" s="6">
        <f>IFERROR(__xludf.DUMMYFUNCTION("""COMPUTED_VALUE"""),2016.0)</f>
        <v>2016</v>
      </c>
      <c r="B858" s="6" t="str">
        <f>IFERROR(__xludf.DUMMYFUNCTION("""COMPUTED_VALUE"""),"Setembro")</f>
        <v>Setembro</v>
      </c>
      <c r="C858" s="6" t="str">
        <f>IFERROR(__xludf.DUMMYFUNCTION("""COMPUTED_VALUE"""),"DANO")</f>
        <v>DANO</v>
      </c>
      <c r="D858" s="6">
        <f>IFERROR(__xludf.DUMMYFUNCTION("""COMPUTED_VALUE"""),9.0)</f>
        <v>9</v>
      </c>
      <c r="E858" s="6">
        <f>IFERROR(__xludf.DUMMYFUNCTION("""COMPUTED_VALUE"""),9.0)</f>
        <v>9</v>
      </c>
      <c r="F858" s="6">
        <f>IFERROR(__xludf.DUMMYFUNCTION("""COMPUTED_VALUE"""),51.0)</f>
        <v>51</v>
      </c>
      <c r="G858" s="6">
        <f>IFERROR(__xludf.DUMMYFUNCTION("""COMPUTED_VALUE"""),69.0)</f>
        <v>69</v>
      </c>
    </row>
    <row r="859">
      <c r="A859" s="6">
        <f>IFERROR(__xludf.DUMMYFUNCTION("""COMPUTED_VALUE"""),2016.0)</f>
        <v>2016</v>
      </c>
      <c r="B859" s="6" t="str">
        <f>IFERROR(__xludf.DUMMYFUNCTION("""COMPUTED_VALUE"""),"Setembro")</f>
        <v>Setembro</v>
      </c>
      <c r="C859" s="6" t="str">
        <f>IFERROR(__xludf.DUMMYFUNCTION("""COMPUTED_VALUE"""),"ESTUPRO CONSUMADO")</f>
        <v>ESTUPRO CONSUMADO</v>
      </c>
      <c r="D859" s="6">
        <f>IFERROR(__xludf.DUMMYFUNCTION("""COMPUTED_VALUE"""),9.0)</f>
        <v>9</v>
      </c>
      <c r="E859" s="6">
        <f>IFERROR(__xludf.DUMMYFUNCTION("""COMPUTED_VALUE"""),6.0)</f>
        <v>6</v>
      </c>
      <c r="F859" s="6">
        <f>IFERROR(__xludf.DUMMYFUNCTION("""COMPUTED_VALUE"""),16.0)</f>
        <v>16</v>
      </c>
      <c r="G859" s="6">
        <f>IFERROR(__xludf.DUMMYFUNCTION("""COMPUTED_VALUE"""),31.0)</f>
        <v>31</v>
      </c>
    </row>
    <row r="860">
      <c r="A860" s="6">
        <f>IFERROR(__xludf.DUMMYFUNCTION("""COMPUTED_VALUE"""),2016.0)</f>
        <v>2016</v>
      </c>
      <c r="B860" s="6" t="str">
        <f>IFERROR(__xludf.DUMMYFUNCTION("""COMPUTED_VALUE"""),"Setembro")</f>
        <v>Setembro</v>
      </c>
      <c r="C860" s="6" t="str">
        <f>IFERROR(__xludf.DUMMYFUNCTION("""COMPUTED_VALUE"""),"ESTUPRO TENTADO")</f>
        <v>ESTUPRO TENTADO</v>
      </c>
      <c r="D860" s="6">
        <f>IFERROR(__xludf.DUMMYFUNCTION("""COMPUTED_VALUE"""),0.0)</f>
        <v>0</v>
      </c>
      <c r="E860" s="6">
        <f>IFERROR(__xludf.DUMMYFUNCTION("""COMPUTED_VALUE"""),0.0)</f>
        <v>0</v>
      </c>
      <c r="F860" s="6">
        <f>IFERROR(__xludf.DUMMYFUNCTION("""COMPUTED_VALUE"""),1.0)</f>
        <v>1</v>
      </c>
      <c r="G860" s="6">
        <f>IFERROR(__xludf.DUMMYFUNCTION("""COMPUTED_VALUE"""),1.0)</f>
        <v>1</v>
      </c>
    </row>
    <row r="861">
      <c r="A861" s="6">
        <f>IFERROR(__xludf.DUMMYFUNCTION("""COMPUTED_VALUE"""),2016.0)</f>
        <v>2016</v>
      </c>
      <c r="B861" s="6" t="str">
        <f>IFERROR(__xludf.DUMMYFUNCTION("""COMPUTED_VALUE"""),"Setembro")</f>
        <v>Setembro</v>
      </c>
      <c r="C861" s="6" t="str">
        <f>IFERROR(__xludf.DUMMYFUNCTION("""COMPUTED_VALUE"""),"ESTUPRO DE VULNERÁVEL CONSUMADO")</f>
        <v>ESTUPRO DE VULNERÁVEL CONSUMADO</v>
      </c>
      <c r="D861" s="6">
        <f>IFERROR(__xludf.DUMMYFUNCTION("""COMPUTED_VALUE"""),2.0)</f>
        <v>2</v>
      </c>
      <c r="E861" s="6">
        <f>IFERROR(__xludf.DUMMYFUNCTION("""COMPUTED_VALUE"""),3.0)</f>
        <v>3</v>
      </c>
      <c r="F861" s="6">
        <f>IFERROR(__xludf.DUMMYFUNCTION("""COMPUTED_VALUE"""),15.0)</f>
        <v>15</v>
      </c>
      <c r="G861" s="6">
        <f>IFERROR(__xludf.DUMMYFUNCTION("""COMPUTED_VALUE"""),20.0)</f>
        <v>20</v>
      </c>
    </row>
    <row r="862">
      <c r="A862" s="6">
        <f>IFERROR(__xludf.DUMMYFUNCTION("""COMPUTED_VALUE"""),2016.0)</f>
        <v>2016</v>
      </c>
      <c r="B862" s="6" t="str">
        <f>IFERROR(__xludf.DUMMYFUNCTION("""COMPUTED_VALUE"""),"Setembro")</f>
        <v>Setembro</v>
      </c>
      <c r="C862" s="6" t="str">
        <f>IFERROR(__xludf.DUMMYFUNCTION("""COMPUTED_VALUE"""),"OUTROS C/C/ DIGNIDADE SEXUAL")</f>
        <v>OUTROS C/C/ DIGNIDADE SEXUAL</v>
      </c>
      <c r="D862" s="6">
        <f>IFERROR(__xludf.DUMMYFUNCTION("""COMPUTED_VALUE"""),0.0)</f>
        <v>0</v>
      </c>
      <c r="E862" s="6">
        <f>IFERROR(__xludf.DUMMYFUNCTION("""COMPUTED_VALUE"""),0.0)</f>
        <v>0</v>
      </c>
      <c r="F862" s="6">
        <f>IFERROR(__xludf.DUMMYFUNCTION("""COMPUTED_VALUE"""),1.0)</f>
        <v>1</v>
      </c>
      <c r="G862" s="6">
        <f>IFERROR(__xludf.DUMMYFUNCTION("""COMPUTED_VALUE"""),1.0)</f>
        <v>1</v>
      </c>
    </row>
    <row r="863">
      <c r="A863" s="6">
        <f>IFERROR(__xludf.DUMMYFUNCTION("""COMPUTED_VALUE"""),2016.0)</f>
        <v>2016</v>
      </c>
      <c r="B863" s="6" t="str">
        <f>IFERROR(__xludf.DUMMYFUNCTION("""COMPUTED_VALUE"""),"Outubro")</f>
        <v>Outubro</v>
      </c>
      <c r="C863" s="6" t="str">
        <f>IFERROR(__xludf.DUMMYFUNCTION("""COMPUTED_VALUE"""),"HOMICÍDIO DOLOSO (exclui FEMINICÍDIO)")</f>
        <v>HOMICÍDIO DOLOSO (exclui FEMINICÍDIO)</v>
      </c>
      <c r="D863" s="6">
        <f>IFERROR(__xludf.DUMMYFUNCTION("""COMPUTED_VALUE"""),2.0)</f>
        <v>2</v>
      </c>
      <c r="E863" s="6">
        <f>IFERROR(__xludf.DUMMYFUNCTION("""COMPUTED_VALUE"""),1.0)</f>
        <v>1</v>
      </c>
      <c r="F863" s="6">
        <f>IFERROR(__xludf.DUMMYFUNCTION("""COMPUTED_VALUE"""),3.0)</f>
        <v>3</v>
      </c>
      <c r="G863" s="6">
        <f>IFERROR(__xludf.DUMMYFUNCTION("""COMPUTED_VALUE"""),6.0)</f>
        <v>6</v>
      </c>
    </row>
    <row r="864">
      <c r="A864" s="6">
        <f>IFERROR(__xludf.DUMMYFUNCTION("""COMPUTED_VALUE"""),2016.0)</f>
        <v>2016</v>
      </c>
      <c r="B864" s="6" t="str">
        <f>IFERROR(__xludf.DUMMYFUNCTION("""COMPUTED_VALUE"""),"Outubro")</f>
        <v>Outubro</v>
      </c>
      <c r="C864" s="6" t="str">
        <f>IFERROR(__xludf.DUMMYFUNCTION("""COMPUTED_VALUE"""),"FEMINICÍDIO")</f>
        <v>FEMINICÍDIO</v>
      </c>
      <c r="D864" s="6">
        <f>IFERROR(__xludf.DUMMYFUNCTION("""COMPUTED_VALUE"""),1.0)</f>
        <v>1</v>
      </c>
      <c r="E864" s="6">
        <f>IFERROR(__xludf.DUMMYFUNCTION("""COMPUTED_VALUE"""),1.0)</f>
        <v>1</v>
      </c>
      <c r="F864" s="6">
        <f>IFERROR(__xludf.DUMMYFUNCTION("""COMPUTED_VALUE"""),2.0)</f>
        <v>2</v>
      </c>
      <c r="G864" s="6">
        <f>IFERROR(__xludf.DUMMYFUNCTION("""COMPUTED_VALUE"""),4.0)</f>
        <v>4</v>
      </c>
    </row>
    <row r="865">
      <c r="A865" s="6">
        <f>IFERROR(__xludf.DUMMYFUNCTION("""COMPUTED_VALUE"""),2016.0)</f>
        <v>2016</v>
      </c>
      <c r="B865" s="6" t="str">
        <f>IFERROR(__xludf.DUMMYFUNCTION("""COMPUTED_VALUE"""),"Outubro")</f>
        <v>Outubro</v>
      </c>
      <c r="C865" s="6" t="str">
        <f>IFERROR(__xludf.DUMMYFUNCTION("""COMPUTED_VALUE"""),"HOMICÍDIO CULPOSO")</f>
        <v>HOMICÍDIO CULPOSO</v>
      </c>
      <c r="D865" s="6">
        <f>IFERROR(__xludf.DUMMYFUNCTION("""COMPUTED_VALUE"""),0.0)</f>
        <v>0</v>
      </c>
      <c r="E865" s="6">
        <f>IFERROR(__xludf.DUMMYFUNCTION("""COMPUTED_VALUE"""),0.0)</f>
        <v>0</v>
      </c>
      <c r="F865" s="6">
        <f>IFERROR(__xludf.DUMMYFUNCTION("""COMPUTED_VALUE"""),0.0)</f>
        <v>0</v>
      </c>
      <c r="G865" s="6">
        <f>IFERROR(__xludf.DUMMYFUNCTION("""COMPUTED_VALUE"""),0.0)</f>
        <v>0</v>
      </c>
    </row>
    <row r="866">
      <c r="A866" s="6">
        <f>IFERROR(__xludf.DUMMYFUNCTION("""COMPUTED_VALUE"""),2016.0)</f>
        <v>2016</v>
      </c>
      <c r="B866" s="6" t="str">
        <f>IFERROR(__xludf.DUMMYFUNCTION("""COMPUTED_VALUE"""),"Outubro")</f>
        <v>Outubro</v>
      </c>
      <c r="C866" s="6" t="str">
        <f>IFERROR(__xludf.DUMMYFUNCTION("""COMPUTED_VALUE"""),"TENTATIVA DE HOMICÍDIO")</f>
        <v>TENTATIVA DE HOMICÍDIO</v>
      </c>
      <c r="D866" s="6">
        <f>IFERROR(__xludf.DUMMYFUNCTION("""COMPUTED_VALUE"""),2.0)</f>
        <v>2</v>
      </c>
      <c r="E866" s="6">
        <f>IFERROR(__xludf.DUMMYFUNCTION("""COMPUTED_VALUE"""),2.0)</f>
        <v>2</v>
      </c>
      <c r="F866" s="6">
        <f>IFERROR(__xludf.DUMMYFUNCTION("""COMPUTED_VALUE"""),13.0)</f>
        <v>13</v>
      </c>
      <c r="G866" s="6">
        <f>IFERROR(__xludf.DUMMYFUNCTION("""COMPUTED_VALUE"""),17.0)</f>
        <v>17</v>
      </c>
    </row>
    <row r="867">
      <c r="A867" s="6">
        <f>IFERROR(__xludf.DUMMYFUNCTION("""COMPUTED_VALUE"""),2016.0)</f>
        <v>2016</v>
      </c>
      <c r="B867" s="6" t="str">
        <f>IFERROR(__xludf.DUMMYFUNCTION("""COMPUTED_VALUE"""),"Outubro")</f>
        <v>Outubro</v>
      </c>
      <c r="C867" s="6" t="str">
        <f>IFERROR(__xludf.DUMMYFUNCTION("""COMPUTED_VALUE"""),"LESÃO CORPORAL DOLOSA")</f>
        <v>LESÃO CORPORAL DOLOSA</v>
      </c>
      <c r="D867" s="6">
        <f>IFERROR(__xludf.DUMMYFUNCTION("""COMPUTED_VALUE"""),1014.0)</f>
        <v>1014</v>
      </c>
      <c r="E867" s="6">
        <f>IFERROR(__xludf.DUMMYFUNCTION("""COMPUTED_VALUE"""),864.0)</f>
        <v>864</v>
      </c>
      <c r="F867" s="6">
        <f>IFERROR(__xludf.DUMMYFUNCTION("""COMPUTED_VALUE"""),3118.0)</f>
        <v>3118</v>
      </c>
      <c r="G867" s="6">
        <f>IFERROR(__xludf.DUMMYFUNCTION("""COMPUTED_VALUE"""),4996.0)</f>
        <v>4996</v>
      </c>
    </row>
    <row r="868">
      <c r="A868" s="6">
        <f>IFERROR(__xludf.DUMMYFUNCTION("""COMPUTED_VALUE"""),2016.0)</f>
        <v>2016</v>
      </c>
      <c r="B868" s="6" t="str">
        <f>IFERROR(__xludf.DUMMYFUNCTION("""COMPUTED_VALUE"""),"Outubro")</f>
        <v>Outubro</v>
      </c>
      <c r="C868" s="6" t="str">
        <f>IFERROR(__xludf.DUMMYFUNCTION("""COMPUTED_VALUE"""),"MAUS TRATOS")</f>
        <v>MAUS TRATOS</v>
      </c>
      <c r="D868" s="6">
        <f>IFERROR(__xludf.DUMMYFUNCTION("""COMPUTED_VALUE"""),3.0)</f>
        <v>3</v>
      </c>
      <c r="E868" s="6">
        <f>IFERROR(__xludf.DUMMYFUNCTION("""COMPUTED_VALUE"""),2.0)</f>
        <v>2</v>
      </c>
      <c r="F868" s="6">
        <f>IFERROR(__xludf.DUMMYFUNCTION("""COMPUTED_VALUE"""),18.0)</f>
        <v>18</v>
      </c>
      <c r="G868" s="6">
        <f>IFERROR(__xludf.DUMMYFUNCTION("""COMPUTED_VALUE"""),23.0)</f>
        <v>23</v>
      </c>
    </row>
    <row r="869">
      <c r="A869" s="6">
        <f>IFERROR(__xludf.DUMMYFUNCTION("""COMPUTED_VALUE"""),2016.0)</f>
        <v>2016</v>
      </c>
      <c r="B869" s="6" t="str">
        <f>IFERROR(__xludf.DUMMYFUNCTION("""COMPUTED_VALUE"""),"Outubro")</f>
        <v>Outubro</v>
      </c>
      <c r="C869" s="6" t="str">
        <f>IFERROR(__xludf.DUMMYFUNCTION("""COMPUTED_VALUE"""),"CALÚNIA - DIFAMAÇÃO - INJÚRIA")</f>
        <v>CALÚNIA - DIFAMAÇÃO - INJÚRIA</v>
      </c>
      <c r="D869" s="6">
        <f>IFERROR(__xludf.DUMMYFUNCTION("""COMPUTED_VALUE"""),198.0)</f>
        <v>198</v>
      </c>
      <c r="E869" s="6">
        <f>IFERROR(__xludf.DUMMYFUNCTION("""COMPUTED_VALUE"""),168.0)</f>
        <v>168</v>
      </c>
      <c r="F869" s="6">
        <f>IFERROR(__xludf.DUMMYFUNCTION("""COMPUTED_VALUE"""),724.0)</f>
        <v>724</v>
      </c>
      <c r="G869" s="6">
        <f>IFERROR(__xludf.DUMMYFUNCTION("""COMPUTED_VALUE"""),1090.0)</f>
        <v>1090</v>
      </c>
    </row>
    <row r="870">
      <c r="A870" s="6">
        <f>IFERROR(__xludf.DUMMYFUNCTION("""COMPUTED_VALUE"""),2016.0)</f>
        <v>2016</v>
      </c>
      <c r="B870" s="6" t="str">
        <f>IFERROR(__xludf.DUMMYFUNCTION("""COMPUTED_VALUE"""),"Outubro")</f>
        <v>Outubro</v>
      </c>
      <c r="C870" s="6" t="str">
        <f>IFERROR(__xludf.DUMMYFUNCTION("""COMPUTED_VALUE"""),"CONSTRANGIMENTO ILEGAL")</f>
        <v>CONSTRANGIMENTO ILEGAL</v>
      </c>
      <c r="D870" s="6">
        <f>IFERROR(__xludf.DUMMYFUNCTION("""COMPUTED_VALUE"""),1.0)</f>
        <v>1</v>
      </c>
      <c r="E870" s="6">
        <f>IFERROR(__xludf.DUMMYFUNCTION("""COMPUTED_VALUE"""),1.0)</f>
        <v>1</v>
      </c>
      <c r="F870" s="6">
        <f>IFERROR(__xludf.DUMMYFUNCTION("""COMPUTED_VALUE"""),7.0)</f>
        <v>7</v>
      </c>
      <c r="G870" s="6">
        <f>IFERROR(__xludf.DUMMYFUNCTION("""COMPUTED_VALUE"""),9.0)</f>
        <v>9</v>
      </c>
    </row>
    <row r="871">
      <c r="A871" s="6">
        <f>IFERROR(__xludf.DUMMYFUNCTION("""COMPUTED_VALUE"""),2016.0)</f>
        <v>2016</v>
      </c>
      <c r="B871" s="6" t="str">
        <f>IFERROR(__xludf.DUMMYFUNCTION("""COMPUTED_VALUE"""),"Outubro")</f>
        <v>Outubro</v>
      </c>
      <c r="C871" s="6" t="str">
        <f>IFERROR(__xludf.DUMMYFUNCTION("""COMPUTED_VALUE"""),"AMEAÇA")</f>
        <v>AMEAÇA</v>
      </c>
      <c r="D871" s="6">
        <f>IFERROR(__xludf.DUMMYFUNCTION("""COMPUTED_VALUE"""),948.0)</f>
        <v>948</v>
      </c>
      <c r="E871" s="6">
        <f>IFERROR(__xludf.DUMMYFUNCTION("""COMPUTED_VALUE"""),852.0)</f>
        <v>852</v>
      </c>
      <c r="F871" s="6">
        <f>IFERROR(__xludf.DUMMYFUNCTION("""COMPUTED_VALUE"""),3214.0)</f>
        <v>3214</v>
      </c>
      <c r="G871" s="6">
        <f>IFERROR(__xludf.DUMMYFUNCTION("""COMPUTED_VALUE"""),5014.0)</f>
        <v>5014</v>
      </c>
    </row>
    <row r="872">
      <c r="A872" s="6">
        <f>IFERROR(__xludf.DUMMYFUNCTION("""COMPUTED_VALUE"""),2016.0)</f>
        <v>2016</v>
      </c>
      <c r="B872" s="6" t="str">
        <f>IFERROR(__xludf.DUMMYFUNCTION("""COMPUTED_VALUE"""),"Outubro")</f>
        <v>Outubro</v>
      </c>
      <c r="C872" s="6" t="str">
        <f>IFERROR(__xludf.DUMMYFUNCTION("""COMPUTED_VALUE"""),"INVASÃO DE DOMICÍLIO")</f>
        <v>INVASÃO DE DOMICÍLIO</v>
      </c>
      <c r="D872" s="6">
        <f>IFERROR(__xludf.DUMMYFUNCTION("""COMPUTED_VALUE"""),1.0)</f>
        <v>1</v>
      </c>
      <c r="E872" s="6">
        <f>IFERROR(__xludf.DUMMYFUNCTION("""COMPUTED_VALUE"""),2.0)</f>
        <v>2</v>
      </c>
      <c r="F872" s="6">
        <f>IFERROR(__xludf.DUMMYFUNCTION("""COMPUTED_VALUE"""),13.0)</f>
        <v>13</v>
      </c>
      <c r="G872" s="6">
        <f>IFERROR(__xludf.DUMMYFUNCTION("""COMPUTED_VALUE"""),16.0)</f>
        <v>16</v>
      </c>
    </row>
    <row r="873">
      <c r="A873" s="6">
        <f>IFERROR(__xludf.DUMMYFUNCTION("""COMPUTED_VALUE"""),2016.0)</f>
        <v>2016</v>
      </c>
      <c r="B873" s="6" t="str">
        <f>IFERROR(__xludf.DUMMYFUNCTION("""COMPUTED_VALUE"""),"Outubro")</f>
        <v>Outubro</v>
      </c>
      <c r="C873" s="6" t="str">
        <f>IFERROR(__xludf.DUMMYFUNCTION("""COMPUTED_VALUE"""),"DANO")</f>
        <v>DANO</v>
      </c>
      <c r="D873" s="6">
        <f>IFERROR(__xludf.DUMMYFUNCTION("""COMPUTED_VALUE"""),11.0)</f>
        <v>11</v>
      </c>
      <c r="E873" s="6">
        <f>IFERROR(__xludf.DUMMYFUNCTION("""COMPUTED_VALUE"""),11.0)</f>
        <v>11</v>
      </c>
      <c r="F873" s="6">
        <f>IFERROR(__xludf.DUMMYFUNCTION("""COMPUTED_VALUE"""),62.0)</f>
        <v>62</v>
      </c>
      <c r="G873" s="6">
        <f>IFERROR(__xludf.DUMMYFUNCTION("""COMPUTED_VALUE"""),84.0)</f>
        <v>84</v>
      </c>
    </row>
    <row r="874">
      <c r="A874" s="6">
        <f>IFERROR(__xludf.DUMMYFUNCTION("""COMPUTED_VALUE"""),2016.0)</f>
        <v>2016</v>
      </c>
      <c r="B874" s="6" t="str">
        <f>IFERROR(__xludf.DUMMYFUNCTION("""COMPUTED_VALUE"""),"Outubro")</f>
        <v>Outubro</v>
      </c>
      <c r="C874" s="6" t="str">
        <f>IFERROR(__xludf.DUMMYFUNCTION("""COMPUTED_VALUE"""),"ESTUPRO CONSUMADO")</f>
        <v>ESTUPRO CONSUMADO</v>
      </c>
      <c r="D874" s="6">
        <f>IFERROR(__xludf.DUMMYFUNCTION("""COMPUTED_VALUE"""),10.0)</f>
        <v>10</v>
      </c>
      <c r="E874" s="6">
        <f>IFERROR(__xludf.DUMMYFUNCTION("""COMPUTED_VALUE"""),7.0)</f>
        <v>7</v>
      </c>
      <c r="F874" s="6">
        <f>IFERROR(__xludf.DUMMYFUNCTION("""COMPUTED_VALUE"""),19.0)</f>
        <v>19</v>
      </c>
      <c r="G874" s="6">
        <f>IFERROR(__xludf.DUMMYFUNCTION("""COMPUTED_VALUE"""),36.0)</f>
        <v>36</v>
      </c>
    </row>
    <row r="875">
      <c r="A875" s="6">
        <f>IFERROR(__xludf.DUMMYFUNCTION("""COMPUTED_VALUE"""),2016.0)</f>
        <v>2016</v>
      </c>
      <c r="B875" s="6" t="str">
        <f>IFERROR(__xludf.DUMMYFUNCTION("""COMPUTED_VALUE"""),"Outubro")</f>
        <v>Outubro</v>
      </c>
      <c r="C875" s="6" t="str">
        <f>IFERROR(__xludf.DUMMYFUNCTION("""COMPUTED_VALUE"""),"ESTUPRO TENTADO")</f>
        <v>ESTUPRO TENTADO</v>
      </c>
      <c r="D875" s="6">
        <f>IFERROR(__xludf.DUMMYFUNCTION("""COMPUTED_VALUE"""),1.0)</f>
        <v>1</v>
      </c>
      <c r="E875" s="6">
        <f>IFERROR(__xludf.DUMMYFUNCTION("""COMPUTED_VALUE"""),0.0)</f>
        <v>0</v>
      </c>
      <c r="F875" s="6">
        <f>IFERROR(__xludf.DUMMYFUNCTION("""COMPUTED_VALUE"""),1.0)</f>
        <v>1</v>
      </c>
      <c r="G875" s="6">
        <f>IFERROR(__xludf.DUMMYFUNCTION("""COMPUTED_VALUE"""),2.0)</f>
        <v>2</v>
      </c>
    </row>
    <row r="876">
      <c r="A876" s="6">
        <f>IFERROR(__xludf.DUMMYFUNCTION("""COMPUTED_VALUE"""),2016.0)</f>
        <v>2016</v>
      </c>
      <c r="B876" s="6" t="str">
        <f>IFERROR(__xludf.DUMMYFUNCTION("""COMPUTED_VALUE"""),"Outubro")</f>
        <v>Outubro</v>
      </c>
      <c r="C876" s="6" t="str">
        <f>IFERROR(__xludf.DUMMYFUNCTION("""COMPUTED_VALUE"""),"ESTUPRO DE VULNERÁVEL CONSUMADO")</f>
        <v>ESTUPRO DE VULNERÁVEL CONSUMADO</v>
      </c>
      <c r="D876" s="6">
        <f>IFERROR(__xludf.DUMMYFUNCTION("""COMPUTED_VALUE"""),3.0)</f>
        <v>3</v>
      </c>
      <c r="E876" s="6">
        <f>IFERROR(__xludf.DUMMYFUNCTION("""COMPUTED_VALUE"""),4.0)</f>
        <v>4</v>
      </c>
      <c r="F876" s="6">
        <f>IFERROR(__xludf.DUMMYFUNCTION("""COMPUTED_VALUE"""),18.0)</f>
        <v>18</v>
      </c>
      <c r="G876" s="6">
        <f>IFERROR(__xludf.DUMMYFUNCTION("""COMPUTED_VALUE"""),25.0)</f>
        <v>25</v>
      </c>
    </row>
    <row r="877">
      <c r="A877" s="6">
        <f>IFERROR(__xludf.DUMMYFUNCTION("""COMPUTED_VALUE"""),2016.0)</f>
        <v>2016</v>
      </c>
      <c r="B877" s="6" t="str">
        <f>IFERROR(__xludf.DUMMYFUNCTION("""COMPUTED_VALUE"""),"Outubro")</f>
        <v>Outubro</v>
      </c>
      <c r="C877" s="6" t="str">
        <f>IFERROR(__xludf.DUMMYFUNCTION("""COMPUTED_VALUE"""),"OUTROS C/C/ DIGNIDADE SEXUAL")</f>
        <v>OUTROS C/C/ DIGNIDADE SEXUAL</v>
      </c>
      <c r="D877" s="6">
        <f>IFERROR(__xludf.DUMMYFUNCTION("""COMPUTED_VALUE"""),0.0)</f>
        <v>0</v>
      </c>
      <c r="E877" s="6">
        <f>IFERROR(__xludf.DUMMYFUNCTION("""COMPUTED_VALUE"""),1.0)</f>
        <v>1</v>
      </c>
      <c r="F877" s="6">
        <f>IFERROR(__xludf.DUMMYFUNCTION("""COMPUTED_VALUE"""),2.0)</f>
        <v>2</v>
      </c>
      <c r="G877" s="6">
        <f>IFERROR(__xludf.DUMMYFUNCTION("""COMPUTED_VALUE"""),3.0)</f>
        <v>3</v>
      </c>
    </row>
    <row r="878">
      <c r="A878" s="6">
        <f>IFERROR(__xludf.DUMMYFUNCTION("""COMPUTED_VALUE"""),2016.0)</f>
        <v>2016</v>
      </c>
      <c r="B878" s="6" t="str">
        <f>IFERROR(__xludf.DUMMYFUNCTION("""COMPUTED_VALUE"""),"Novembro")</f>
        <v>Novembro</v>
      </c>
      <c r="C878" s="6" t="str">
        <f>IFERROR(__xludf.DUMMYFUNCTION("""COMPUTED_VALUE"""),"HOMICÍDIO DOLOSO (exclui FEMINICÍDIO)")</f>
        <v>HOMICÍDIO DOLOSO (exclui FEMINICÍDIO)</v>
      </c>
      <c r="D878" s="6">
        <f>IFERROR(__xludf.DUMMYFUNCTION("""COMPUTED_VALUE"""),1.0)</f>
        <v>1</v>
      </c>
      <c r="E878" s="6">
        <f>IFERROR(__xludf.DUMMYFUNCTION("""COMPUTED_VALUE"""),0.0)</f>
        <v>0</v>
      </c>
      <c r="F878" s="6">
        <f>IFERROR(__xludf.DUMMYFUNCTION("""COMPUTED_VALUE"""),2.0)</f>
        <v>2</v>
      </c>
      <c r="G878" s="6">
        <f>IFERROR(__xludf.DUMMYFUNCTION("""COMPUTED_VALUE"""),3.0)</f>
        <v>3</v>
      </c>
    </row>
    <row r="879">
      <c r="A879" s="6">
        <f>IFERROR(__xludf.DUMMYFUNCTION("""COMPUTED_VALUE"""),2016.0)</f>
        <v>2016</v>
      </c>
      <c r="B879" s="6" t="str">
        <f>IFERROR(__xludf.DUMMYFUNCTION("""COMPUTED_VALUE"""),"Novembro")</f>
        <v>Novembro</v>
      </c>
      <c r="C879" s="6" t="str">
        <f>IFERROR(__xludf.DUMMYFUNCTION("""COMPUTED_VALUE"""),"FEMINICÍDIO")</f>
        <v>FEMINICÍDIO</v>
      </c>
      <c r="D879" s="6">
        <f>IFERROR(__xludf.DUMMYFUNCTION("""COMPUTED_VALUE"""),1.0)</f>
        <v>1</v>
      </c>
      <c r="E879" s="6">
        <f>IFERROR(__xludf.DUMMYFUNCTION("""COMPUTED_VALUE"""),1.0)</f>
        <v>1</v>
      </c>
      <c r="F879" s="6">
        <f>IFERROR(__xludf.DUMMYFUNCTION("""COMPUTED_VALUE"""),1.0)</f>
        <v>1</v>
      </c>
      <c r="G879" s="6">
        <f>IFERROR(__xludf.DUMMYFUNCTION("""COMPUTED_VALUE"""),3.0)</f>
        <v>3</v>
      </c>
    </row>
    <row r="880">
      <c r="A880" s="6">
        <f>IFERROR(__xludf.DUMMYFUNCTION("""COMPUTED_VALUE"""),2016.0)</f>
        <v>2016</v>
      </c>
      <c r="B880" s="6" t="str">
        <f>IFERROR(__xludf.DUMMYFUNCTION("""COMPUTED_VALUE"""),"Novembro")</f>
        <v>Novembro</v>
      </c>
      <c r="C880" s="6" t="str">
        <f>IFERROR(__xludf.DUMMYFUNCTION("""COMPUTED_VALUE"""),"HOMICÍDIO CULPOSO")</f>
        <v>HOMICÍDIO CULPOSO</v>
      </c>
      <c r="D880" s="6">
        <f>IFERROR(__xludf.DUMMYFUNCTION("""COMPUTED_VALUE"""),0.0)</f>
        <v>0</v>
      </c>
      <c r="E880" s="6">
        <f>IFERROR(__xludf.DUMMYFUNCTION("""COMPUTED_VALUE"""),0.0)</f>
        <v>0</v>
      </c>
      <c r="F880" s="6">
        <f>IFERROR(__xludf.DUMMYFUNCTION("""COMPUTED_VALUE"""),0.0)</f>
        <v>0</v>
      </c>
      <c r="G880" s="6">
        <f>IFERROR(__xludf.DUMMYFUNCTION("""COMPUTED_VALUE"""),0.0)</f>
        <v>0</v>
      </c>
    </row>
    <row r="881">
      <c r="A881" s="6">
        <f>IFERROR(__xludf.DUMMYFUNCTION("""COMPUTED_VALUE"""),2016.0)</f>
        <v>2016</v>
      </c>
      <c r="B881" s="6" t="str">
        <f>IFERROR(__xludf.DUMMYFUNCTION("""COMPUTED_VALUE"""),"Novembro")</f>
        <v>Novembro</v>
      </c>
      <c r="C881" s="6" t="str">
        <f>IFERROR(__xludf.DUMMYFUNCTION("""COMPUTED_VALUE"""),"TENTATIVA DE HOMICÍDIO")</f>
        <v>TENTATIVA DE HOMICÍDIO</v>
      </c>
      <c r="D881" s="6">
        <f>IFERROR(__xludf.DUMMYFUNCTION("""COMPUTED_VALUE"""),1.0)</f>
        <v>1</v>
      </c>
      <c r="E881" s="6">
        <f>IFERROR(__xludf.DUMMYFUNCTION("""COMPUTED_VALUE"""),1.0)</f>
        <v>1</v>
      </c>
      <c r="F881" s="6">
        <f>IFERROR(__xludf.DUMMYFUNCTION("""COMPUTED_VALUE"""),11.0)</f>
        <v>11</v>
      </c>
      <c r="G881" s="6">
        <f>IFERROR(__xludf.DUMMYFUNCTION("""COMPUTED_VALUE"""),13.0)</f>
        <v>13</v>
      </c>
    </row>
    <row r="882">
      <c r="A882" s="6">
        <f>IFERROR(__xludf.DUMMYFUNCTION("""COMPUTED_VALUE"""),2016.0)</f>
        <v>2016</v>
      </c>
      <c r="B882" s="6" t="str">
        <f>IFERROR(__xludf.DUMMYFUNCTION("""COMPUTED_VALUE"""),"Novembro")</f>
        <v>Novembro</v>
      </c>
      <c r="C882" s="6" t="str">
        <f>IFERROR(__xludf.DUMMYFUNCTION("""COMPUTED_VALUE"""),"LESÃO CORPORAL DOLOSA")</f>
        <v>LESÃO CORPORAL DOLOSA</v>
      </c>
      <c r="D882" s="6">
        <f>IFERROR(__xludf.DUMMYFUNCTION("""COMPUTED_VALUE"""),912.0)</f>
        <v>912</v>
      </c>
      <c r="E882" s="6">
        <f>IFERROR(__xludf.DUMMYFUNCTION("""COMPUTED_VALUE"""),784.0)</f>
        <v>784</v>
      </c>
      <c r="F882" s="6">
        <f>IFERROR(__xludf.DUMMYFUNCTION("""COMPUTED_VALUE"""),2814.0)</f>
        <v>2814</v>
      </c>
      <c r="G882" s="6">
        <f>IFERROR(__xludf.DUMMYFUNCTION("""COMPUTED_VALUE"""),4510.0)</f>
        <v>4510</v>
      </c>
    </row>
    <row r="883">
      <c r="A883" s="6">
        <f>IFERROR(__xludf.DUMMYFUNCTION("""COMPUTED_VALUE"""),2016.0)</f>
        <v>2016</v>
      </c>
      <c r="B883" s="6" t="str">
        <f>IFERROR(__xludf.DUMMYFUNCTION("""COMPUTED_VALUE"""),"Novembro")</f>
        <v>Novembro</v>
      </c>
      <c r="C883" s="6" t="str">
        <f>IFERROR(__xludf.DUMMYFUNCTION("""COMPUTED_VALUE"""),"MAUS TRATOS")</f>
        <v>MAUS TRATOS</v>
      </c>
      <c r="D883" s="6">
        <f>IFERROR(__xludf.DUMMYFUNCTION("""COMPUTED_VALUE"""),2.0)</f>
        <v>2</v>
      </c>
      <c r="E883" s="6">
        <f>IFERROR(__xludf.DUMMYFUNCTION("""COMPUTED_VALUE"""),2.0)</f>
        <v>2</v>
      </c>
      <c r="F883" s="6">
        <f>IFERROR(__xludf.DUMMYFUNCTION("""COMPUTED_VALUE"""),14.0)</f>
        <v>14</v>
      </c>
      <c r="G883" s="6">
        <f>IFERROR(__xludf.DUMMYFUNCTION("""COMPUTED_VALUE"""),18.0)</f>
        <v>18</v>
      </c>
    </row>
    <row r="884">
      <c r="A884" s="6">
        <f>IFERROR(__xludf.DUMMYFUNCTION("""COMPUTED_VALUE"""),2016.0)</f>
        <v>2016</v>
      </c>
      <c r="B884" s="6" t="str">
        <f>IFERROR(__xludf.DUMMYFUNCTION("""COMPUTED_VALUE"""),"Novembro")</f>
        <v>Novembro</v>
      </c>
      <c r="C884" s="6" t="str">
        <f>IFERROR(__xludf.DUMMYFUNCTION("""COMPUTED_VALUE"""),"CALÚNIA - DIFAMAÇÃO - INJÚRIA")</f>
        <v>CALÚNIA - DIFAMAÇÃO - INJÚRIA</v>
      </c>
      <c r="D884" s="6">
        <f>IFERROR(__xludf.DUMMYFUNCTION("""COMPUTED_VALUE"""),178.0)</f>
        <v>178</v>
      </c>
      <c r="E884" s="6">
        <f>IFERROR(__xludf.DUMMYFUNCTION("""COMPUTED_VALUE"""),151.0)</f>
        <v>151</v>
      </c>
      <c r="F884" s="6">
        <f>IFERROR(__xludf.DUMMYFUNCTION("""COMPUTED_VALUE"""),654.0)</f>
        <v>654</v>
      </c>
      <c r="G884" s="6">
        <f>IFERROR(__xludf.DUMMYFUNCTION("""COMPUTED_VALUE"""),983.0)</f>
        <v>983</v>
      </c>
    </row>
    <row r="885">
      <c r="A885" s="6">
        <f>IFERROR(__xludf.DUMMYFUNCTION("""COMPUTED_VALUE"""),2016.0)</f>
        <v>2016</v>
      </c>
      <c r="B885" s="6" t="str">
        <f>IFERROR(__xludf.DUMMYFUNCTION("""COMPUTED_VALUE"""),"Novembro")</f>
        <v>Novembro</v>
      </c>
      <c r="C885" s="6" t="str">
        <f>IFERROR(__xludf.DUMMYFUNCTION("""COMPUTED_VALUE"""),"CONSTRANGIMENTO ILEGAL")</f>
        <v>CONSTRANGIMENTO ILEGAL</v>
      </c>
      <c r="D885" s="6">
        <f>IFERROR(__xludf.DUMMYFUNCTION("""COMPUTED_VALUE"""),1.0)</f>
        <v>1</v>
      </c>
      <c r="E885" s="6">
        <f>IFERROR(__xludf.DUMMYFUNCTION("""COMPUTED_VALUE"""),0.0)</f>
        <v>0</v>
      </c>
      <c r="F885" s="6">
        <f>IFERROR(__xludf.DUMMYFUNCTION("""COMPUTED_VALUE"""),5.0)</f>
        <v>5</v>
      </c>
      <c r="G885" s="6">
        <f>IFERROR(__xludf.DUMMYFUNCTION("""COMPUTED_VALUE"""),6.0)</f>
        <v>6</v>
      </c>
    </row>
    <row r="886">
      <c r="A886" s="6">
        <f>IFERROR(__xludf.DUMMYFUNCTION("""COMPUTED_VALUE"""),2016.0)</f>
        <v>2016</v>
      </c>
      <c r="B886" s="6" t="str">
        <f>IFERROR(__xludf.DUMMYFUNCTION("""COMPUTED_VALUE"""),"Novembro")</f>
        <v>Novembro</v>
      </c>
      <c r="C886" s="6" t="str">
        <f>IFERROR(__xludf.DUMMYFUNCTION("""COMPUTED_VALUE"""),"AMEAÇA")</f>
        <v>AMEAÇA</v>
      </c>
      <c r="D886" s="6">
        <f>IFERROR(__xludf.DUMMYFUNCTION("""COMPUTED_VALUE"""),842.0)</f>
        <v>842</v>
      </c>
      <c r="E886" s="6">
        <f>IFERROR(__xludf.DUMMYFUNCTION("""COMPUTED_VALUE"""),771.0)</f>
        <v>771</v>
      </c>
      <c r="F886" s="6">
        <f>IFERROR(__xludf.DUMMYFUNCTION("""COMPUTED_VALUE"""),2884.0)</f>
        <v>2884</v>
      </c>
      <c r="G886" s="6">
        <f>IFERROR(__xludf.DUMMYFUNCTION("""COMPUTED_VALUE"""),4497.0)</f>
        <v>4497</v>
      </c>
    </row>
    <row r="887">
      <c r="A887" s="6">
        <f>IFERROR(__xludf.DUMMYFUNCTION("""COMPUTED_VALUE"""),2016.0)</f>
        <v>2016</v>
      </c>
      <c r="B887" s="6" t="str">
        <f>IFERROR(__xludf.DUMMYFUNCTION("""COMPUTED_VALUE"""),"Novembro")</f>
        <v>Novembro</v>
      </c>
      <c r="C887" s="6" t="str">
        <f>IFERROR(__xludf.DUMMYFUNCTION("""COMPUTED_VALUE"""),"INVASÃO DE DOMICÍLIO")</f>
        <v>INVASÃO DE DOMICÍLIO</v>
      </c>
      <c r="D887" s="6">
        <f>IFERROR(__xludf.DUMMYFUNCTION("""COMPUTED_VALUE"""),1.0)</f>
        <v>1</v>
      </c>
      <c r="E887" s="6">
        <f>IFERROR(__xludf.DUMMYFUNCTION("""COMPUTED_VALUE"""),1.0)</f>
        <v>1</v>
      </c>
      <c r="F887" s="6">
        <f>IFERROR(__xludf.DUMMYFUNCTION("""COMPUTED_VALUE"""),11.0)</f>
        <v>11</v>
      </c>
      <c r="G887" s="6">
        <f>IFERROR(__xludf.DUMMYFUNCTION("""COMPUTED_VALUE"""),13.0)</f>
        <v>13</v>
      </c>
    </row>
    <row r="888">
      <c r="A888" s="6">
        <f>IFERROR(__xludf.DUMMYFUNCTION("""COMPUTED_VALUE"""),2016.0)</f>
        <v>2016</v>
      </c>
      <c r="B888" s="6" t="str">
        <f>IFERROR(__xludf.DUMMYFUNCTION("""COMPUTED_VALUE"""),"Novembro")</f>
        <v>Novembro</v>
      </c>
      <c r="C888" s="6" t="str">
        <f>IFERROR(__xludf.DUMMYFUNCTION("""COMPUTED_VALUE"""),"DANO")</f>
        <v>DANO</v>
      </c>
      <c r="D888" s="6">
        <f>IFERROR(__xludf.DUMMYFUNCTION("""COMPUTED_VALUE"""),9.0)</f>
        <v>9</v>
      </c>
      <c r="E888" s="6">
        <f>IFERROR(__xludf.DUMMYFUNCTION("""COMPUTED_VALUE"""),9.0)</f>
        <v>9</v>
      </c>
      <c r="F888" s="6">
        <f>IFERROR(__xludf.DUMMYFUNCTION("""COMPUTED_VALUE"""),51.0)</f>
        <v>51</v>
      </c>
      <c r="G888" s="6">
        <f>IFERROR(__xludf.DUMMYFUNCTION("""COMPUTED_VALUE"""),69.0)</f>
        <v>69</v>
      </c>
    </row>
    <row r="889">
      <c r="A889" s="6">
        <f>IFERROR(__xludf.DUMMYFUNCTION("""COMPUTED_VALUE"""),2016.0)</f>
        <v>2016</v>
      </c>
      <c r="B889" s="6" t="str">
        <f>IFERROR(__xludf.DUMMYFUNCTION("""COMPUTED_VALUE"""),"Novembro")</f>
        <v>Novembro</v>
      </c>
      <c r="C889" s="6" t="str">
        <f>IFERROR(__xludf.DUMMYFUNCTION("""COMPUTED_VALUE"""),"ESTUPRO CONSUMADO")</f>
        <v>ESTUPRO CONSUMADO</v>
      </c>
      <c r="D889" s="6">
        <f>IFERROR(__xludf.DUMMYFUNCTION("""COMPUTED_VALUE"""),9.0)</f>
        <v>9</v>
      </c>
      <c r="E889" s="6">
        <f>IFERROR(__xludf.DUMMYFUNCTION("""COMPUTED_VALUE"""),6.0)</f>
        <v>6</v>
      </c>
      <c r="F889" s="6">
        <f>IFERROR(__xludf.DUMMYFUNCTION("""COMPUTED_VALUE"""),16.0)</f>
        <v>16</v>
      </c>
      <c r="G889" s="6">
        <f>IFERROR(__xludf.DUMMYFUNCTION("""COMPUTED_VALUE"""),31.0)</f>
        <v>31</v>
      </c>
    </row>
    <row r="890">
      <c r="A890" s="6">
        <f>IFERROR(__xludf.DUMMYFUNCTION("""COMPUTED_VALUE"""),2016.0)</f>
        <v>2016</v>
      </c>
      <c r="B890" s="6" t="str">
        <f>IFERROR(__xludf.DUMMYFUNCTION("""COMPUTED_VALUE"""),"Novembro")</f>
        <v>Novembro</v>
      </c>
      <c r="C890" s="6" t="str">
        <f>IFERROR(__xludf.DUMMYFUNCTION("""COMPUTED_VALUE"""),"ESTUPRO TENTADO")</f>
        <v>ESTUPRO TENTADO</v>
      </c>
      <c r="D890" s="6">
        <f>IFERROR(__xludf.DUMMYFUNCTION("""COMPUTED_VALUE"""),0.0)</f>
        <v>0</v>
      </c>
      <c r="E890" s="6">
        <f>IFERROR(__xludf.DUMMYFUNCTION("""COMPUTED_VALUE"""),0.0)</f>
        <v>0</v>
      </c>
      <c r="F890" s="6">
        <f>IFERROR(__xludf.DUMMYFUNCTION("""COMPUTED_VALUE"""),1.0)</f>
        <v>1</v>
      </c>
      <c r="G890" s="6">
        <f>IFERROR(__xludf.DUMMYFUNCTION("""COMPUTED_VALUE"""),1.0)</f>
        <v>1</v>
      </c>
    </row>
    <row r="891">
      <c r="A891" s="6">
        <f>IFERROR(__xludf.DUMMYFUNCTION("""COMPUTED_VALUE"""),2016.0)</f>
        <v>2016</v>
      </c>
      <c r="B891" s="6" t="str">
        <f>IFERROR(__xludf.DUMMYFUNCTION("""COMPUTED_VALUE"""),"Novembro")</f>
        <v>Novembro</v>
      </c>
      <c r="C891" s="6" t="str">
        <f>IFERROR(__xludf.DUMMYFUNCTION("""COMPUTED_VALUE"""),"ESTUPRO DE VULNERÁVEL CONSUMADO")</f>
        <v>ESTUPRO DE VULNERÁVEL CONSUMADO</v>
      </c>
      <c r="D891" s="6">
        <f>IFERROR(__xludf.DUMMYFUNCTION("""COMPUTED_VALUE"""),2.0)</f>
        <v>2</v>
      </c>
      <c r="E891" s="6">
        <f>IFERROR(__xludf.DUMMYFUNCTION("""COMPUTED_VALUE"""),3.0)</f>
        <v>3</v>
      </c>
      <c r="F891" s="6">
        <f>IFERROR(__xludf.DUMMYFUNCTION("""COMPUTED_VALUE"""),15.0)</f>
        <v>15</v>
      </c>
      <c r="G891" s="6">
        <f>IFERROR(__xludf.DUMMYFUNCTION("""COMPUTED_VALUE"""),20.0)</f>
        <v>20</v>
      </c>
    </row>
    <row r="892">
      <c r="A892" s="6">
        <f>IFERROR(__xludf.DUMMYFUNCTION("""COMPUTED_VALUE"""),2016.0)</f>
        <v>2016</v>
      </c>
      <c r="B892" s="6" t="str">
        <f>IFERROR(__xludf.DUMMYFUNCTION("""COMPUTED_VALUE"""),"Novembro")</f>
        <v>Novembro</v>
      </c>
      <c r="C892" s="6" t="str">
        <f>IFERROR(__xludf.DUMMYFUNCTION("""COMPUTED_VALUE"""),"OUTROS C/C/ DIGNIDADE SEXUAL")</f>
        <v>OUTROS C/C/ DIGNIDADE SEXUAL</v>
      </c>
      <c r="D892" s="6">
        <f>IFERROR(__xludf.DUMMYFUNCTION("""COMPUTED_VALUE"""),0.0)</f>
        <v>0</v>
      </c>
      <c r="E892" s="6">
        <f>IFERROR(__xludf.DUMMYFUNCTION("""COMPUTED_VALUE"""),0.0)</f>
        <v>0</v>
      </c>
      <c r="F892" s="6">
        <f>IFERROR(__xludf.DUMMYFUNCTION("""COMPUTED_VALUE"""),1.0)</f>
        <v>1</v>
      </c>
      <c r="G892" s="6">
        <f>IFERROR(__xludf.DUMMYFUNCTION("""COMPUTED_VALUE"""),1.0)</f>
        <v>1</v>
      </c>
    </row>
    <row r="893">
      <c r="A893" s="6">
        <f>IFERROR(__xludf.DUMMYFUNCTION("""COMPUTED_VALUE"""),2016.0)</f>
        <v>2016</v>
      </c>
      <c r="B893" s="6" t="str">
        <f>IFERROR(__xludf.DUMMYFUNCTION("""COMPUTED_VALUE"""),"Dezembro")</f>
        <v>Dezembro</v>
      </c>
      <c r="C893" s="6" t="str">
        <f>IFERROR(__xludf.DUMMYFUNCTION("""COMPUTED_VALUE"""),"HOMICÍDIO DOLOSO (exclui FEMINICÍDIO)")</f>
        <v>HOMICÍDIO DOLOSO (exclui FEMINICÍDIO)</v>
      </c>
      <c r="D893" s="6">
        <f>IFERROR(__xludf.DUMMYFUNCTION("""COMPUTED_VALUE"""),2.0)</f>
        <v>2</v>
      </c>
      <c r="E893" s="6">
        <f>IFERROR(__xludf.DUMMYFUNCTION("""COMPUTED_VALUE"""),1.0)</f>
        <v>1</v>
      </c>
      <c r="F893" s="6">
        <f>IFERROR(__xludf.DUMMYFUNCTION("""COMPUTED_VALUE"""),3.0)</f>
        <v>3</v>
      </c>
      <c r="G893" s="6">
        <f>IFERROR(__xludf.DUMMYFUNCTION("""COMPUTED_VALUE"""),6.0)</f>
        <v>6</v>
      </c>
    </row>
    <row r="894">
      <c r="A894" s="6">
        <f>IFERROR(__xludf.DUMMYFUNCTION("""COMPUTED_VALUE"""),2016.0)</f>
        <v>2016</v>
      </c>
      <c r="B894" s="6" t="str">
        <f>IFERROR(__xludf.DUMMYFUNCTION("""COMPUTED_VALUE"""),"Dezembro")</f>
        <v>Dezembro</v>
      </c>
      <c r="C894" s="6" t="str">
        <f>IFERROR(__xludf.DUMMYFUNCTION("""COMPUTED_VALUE"""),"FEMINICÍDIO")</f>
        <v>FEMINICÍDIO</v>
      </c>
      <c r="D894" s="6">
        <f>IFERROR(__xludf.DUMMYFUNCTION("""COMPUTED_VALUE"""),1.0)</f>
        <v>1</v>
      </c>
      <c r="E894" s="6">
        <f>IFERROR(__xludf.DUMMYFUNCTION("""COMPUTED_VALUE"""),1.0)</f>
        <v>1</v>
      </c>
      <c r="F894" s="6">
        <f>IFERROR(__xludf.DUMMYFUNCTION("""COMPUTED_VALUE"""),2.0)</f>
        <v>2</v>
      </c>
      <c r="G894" s="6">
        <f>IFERROR(__xludf.DUMMYFUNCTION("""COMPUTED_VALUE"""),4.0)</f>
        <v>4</v>
      </c>
    </row>
    <row r="895">
      <c r="A895" s="6">
        <f>IFERROR(__xludf.DUMMYFUNCTION("""COMPUTED_VALUE"""),2016.0)</f>
        <v>2016</v>
      </c>
      <c r="B895" s="6" t="str">
        <f>IFERROR(__xludf.DUMMYFUNCTION("""COMPUTED_VALUE"""),"Dezembro")</f>
        <v>Dezembro</v>
      </c>
      <c r="C895" s="6" t="str">
        <f>IFERROR(__xludf.DUMMYFUNCTION("""COMPUTED_VALUE"""),"HOMICÍDIO CULPOSO")</f>
        <v>HOMICÍDIO CULPOSO</v>
      </c>
      <c r="D895" s="6">
        <f>IFERROR(__xludf.DUMMYFUNCTION("""COMPUTED_VALUE"""),0.0)</f>
        <v>0</v>
      </c>
      <c r="E895" s="6">
        <f>IFERROR(__xludf.DUMMYFUNCTION("""COMPUTED_VALUE"""),0.0)</f>
        <v>0</v>
      </c>
      <c r="F895" s="6">
        <f>IFERROR(__xludf.DUMMYFUNCTION("""COMPUTED_VALUE"""),0.0)</f>
        <v>0</v>
      </c>
      <c r="G895" s="6">
        <f>IFERROR(__xludf.DUMMYFUNCTION("""COMPUTED_VALUE"""),0.0)</f>
        <v>0</v>
      </c>
    </row>
    <row r="896">
      <c r="A896" s="6">
        <f>IFERROR(__xludf.DUMMYFUNCTION("""COMPUTED_VALUE"""),2016.0)</f>
        <v>2016</v>
      </c>
      <c r="B896" s="6" t="str">
        <f>IFERROR(__xludf.DUMMYFUNCTION("""COMPUTED_VALUE"""),"Dezembro")</f>
        <v>Dezembro</v>
      </c>
      <c r="C896" s="6" t="str">
        <f>IFERROR(__xludf.DUMMYFUNCTION("""COMPUTED_VALUE"""),"TENTATIVA DE HOMICÍDIO")</f>
        <v>TENTATIVA DE HOMICÍDIO</v>
      </c>
      <c r="D896" s="6">
        <f>IFERROR(__xludf.DUMMYFUNCTION("""COMPUTED_VALUE"""),2.0)</f>
        <v>2</v>
      </c>
      <c r="E896" s="6">
        <f>IFERROR(__xludf.DUMMYFUNCTION("""COMPUTED_VALUE"""),2.0)</f>
        <v>2</v>
      </c>
      <c r="F896" s="6">
        <f>IFERROR(__xludf.DUMMYFUNCTION("""COMPUTED_VALUE"""),13.0)</f>
        <v>13</v>
      </c>
      <c r="G896" s="6">
        <f>IFERROR(__xludf.DUMMYFUNCTION("""COMPUTED_VALUE"""),17.0)</f>
        <v>17</v>
      </c>
    </row>
    <row r="897">
      <c r="A897" s="6">
        <f>IFERROR(__xludf.DUMMYFUNCTION("""COMPUTED_VALUE"""),2016.0)</f>
        <v>2016</v>
      </c>
      <c r="B897" s="6" t="str">
        <f>IFERROR(__xludf.DUMMYFUNCTION("""COMPUTED_VALUE"""),"Dezembro")</f>
        <v>Dezembro</v>
      </c>
      <c r="C897" s="6" t="str">
        <f>IFERROR(__xludf.DUMMYFUNCTION("""COMPUTED_VALUE"""),"LESÃO CORPORAL DOLOSA")</f>
        <v>LESÃO CORPORAL DOLOSA</v>
      </c>
      <c r="D897" s="6">
        <f>IFERROR(__xludf.DUMMYFUNCTION("""COMPUTED_VALUE"""),1014.0)</f>
        <v>1014</v>
      </c>
      <c r="E897" s="6">
        <f>IFERROR(__xludf.DUMMYFUNCTION("""COMPUTED_VALUE"""),864.0)</f>
        <v>864</v>
      </c>
      <c r="F897" s="6">
        <f>IFERROR(__xludf.DUMMYFUNCTION("""COMPUTED_VALUE"""),3118.0)</f>
        <v>3118</v>
      </c>
      <c r="G897" s="6">
        <f>IFERROR(__xludf.DUMMYFUNCTION("""COMPUTED_VALUE"""),4996.0)</f>
        <v>4996</v>
      </c>
    </row>
    <row r="898">
      <c r="A898" s="6">
        <f>IFERROR(__xludf.DUMMYFUNCTION("""COMPUTED_VALUE"""),2016.0)</f>
        <v>2016</v>
      </c>
      <c r="B898" s="6" t="str">
        <f>IFERROR(__xludf.DUMMYFUNCTION("""COMPUTED_VALUE"""),"Dezembro")</f>
        <v>Dezembro</v>
      </c>
      <c r="C898" s="6" t="str">
        <f>IFERROR(__xludf.DUMMYFUNCTION("""COMPUTED_VALUE"""),"MAUS TRATOS")</f>
        <v>MAUS TRATOS</v>
      </c>
      <c r="D898" s="6">
        <f>IFERROR(__xludf.DUMMYFUNCTION("""COMPUTED_VALUE"""),3.0)</f>
        <v>3</v>
      </c>
      <c r="E898" s="6">
        <f>IFERROR(__xludf.DUMMYFUNCTION("""COMPUTED_VALUE"""),2.0)</f>
        <v>2</v>
      </c>
      <c r="F898" s="6">
        <f>IFERROR(__xludf.DUMMYFUNCTION("""COMPUTED_VALUE"""),18.0)</f>
        <v>18</v>
      </c>
      <c r="G898" s="6">
        <f>IFERROR(__xludf.DUMMYFUNCTION("""COMPUTED_VALUE"""),23.0)</f>
        <v>23</v>
      </c>
    </row>
    <row r="899">
      <c r="A899" s="6">
        <f>IFERROR(__xludf.DUMMYFUNCTION("""COMPUTED_VALUE"""),2016.0)</f>
        <v>2016</v>
      </c>
      <c r="B899" s="6" t="str">
        <f>IFERROR(__xludf.DUMMYFUNCTION("""COMPUTED_VALUE"""),"Dezembro")</f>
        <v>Dezembro</v>
      </c>
      <c r="C899" s="6" t="str">
        <f>IFERROR(__xludf.DUMMYFUNCTION("""COMPUTED_VALUE"""),"CALÚNIA - DIFAMAÇÃO - INJÚRIA")</f>
        <v>CALÚNIA - DIFAMAÇÃO - INJÚRIA</v>
      </c>
      <c r="D899" s="6">
        <f>IFERROR(__xludf.DUMMYFUNCTION("""COMPUTED_VALUE"""),198.0)</f>
        <v>198</v>
      </c>
      <c r="E899" s="6">
        <f>IFERROR(__xludf.DUMMYFUNCTION("""COMPUTED_VALUE"""),168.0)</f>
        <v>168</v>
      </c>
      <c r="F899" s="6">
        <f>IFERROR(__xludf.DUMMYFUNCTION("""COMPUTED_VALUE"""),724.0)</f>
        <v>724</v>
      </c>
      <c r="G899" s="6">
        <f>IFERROR(__xludf.DUMMYFUNCTION("""COMPUTED_VALUE"""),1090.0)</f>
        <v>1090</v>
      </c>
    </row>
    <row r="900">
      <c r="A900" s="6">
        <f>IFERROR(__xludf.DUMMYFUNCTION("""COMPUTED_VALUE"""),2016.0)</f>
        <v>2016</v>
      </c>
      <c r="B900" s="6" t="str">
        <f>IFERROR(__xludf.DUMMYFUNCTION("""COMPUTED_VALUE"""),"Dezembro")</f>
        <v>Dezembro</v>
      </c>
      <c r="C900" s="6" t="str">
        <f>IFERROR(__xludf.DUMMYFUNCTION("""COMPUTED_VALUE"""),"CONSTRANGIMENTO ILEGAL")</f>
        <v>CONSTRANGIMENTO ILEGAL</v>
      </c>
      <c r="D900" s="6">
        <f>IFERROR(__xludf.DUMMYFUNCTION("""COMPUTED_VALUE"""),1.0)</f>
        <v>1</v>
      </c>
      <c r="E900" s="6">
        <f>IFERROR(__xludf.DUMMYFUNCTION("""COMPUTED_VALUE"""),1.0)</f>
        <v>1</v>
      </c>
      <c r="F900" s="6">
        <f>IFERROR(__xludf.DUMMYFUNCTION("""COMPUTED_VALUE"""),7.0)</f>
        <v>7</v>
      </c>
      <c r="G900" s="6">
        <f>IFERROR(__xludf.DUMMYFUNCTION("""COMPUTED_VALUE"""),9.0)</f>
        <v>9</v>
      </c>
    </row>
    <row r="901">
      <c r="A901" s="6">
        <f>IFERROR(__xludf.DUMMYFUNCTION("""COMPUTED_VALUE"""),2016.0)</f>
        <v>2016</v>
      </c>
      <c r="B901" s="6" t="str">
        <f>IFERROR(__xludf.DUMMYFUNCTION("""COMPUTED_VALUE"""),"Dezembro")</f>
        <v>Dezembro</v>
      </c>
      <c r="C901" s="6" t="str">
        <f>IFERROR(__xludf.DUMMYFUNCTION("""COMPUTED_VALUE"""),"AMEAÇA")</f>
        <v>AMEAÇA</v>
      </c>
      <c r="D901" s="6">
        <f>IFERROR(__xludf.DUMMYFUNCTION("""COMPUTED_VALUE"""),948.0)</f>
        <v>948</v>
      </c>
      <c r="E901" s="6">
        <f>IFERROR(__xludf.DUMMYFUNCTION("""COMPUTED_VALUE"""),852.0)</f>
        <v>852</v>
      </c>
      <c r="F901" s="6">
        <f>IFERROR(__xludf.DUMMYFUNCTION("""COMPUTED_VALUE"""),3214.0)</f>
        <v>3214</v>
      </c>
      <c r="G901" s="6">
        <f>IFERROR(__xludf.DUMMYFUNCTION("""COMPUTED_VALUE"""),5014.0)</f>
        <v>5014</v>
      </c>
    </row>
    <row r="902">
      <c r="A902" s="6">
        <f>IFERROR(__xludf.DUMMYFUNCTION("""COMPUTED_VALUE"""),2016.0)</f>
        <v>2016</v>
      </c>
      <c r="B902" s="6" t="str">
        <f>IFERROR(__xludf.DUMMYFUNCTION("""COMPUTED_VALUE"""),"Dezembro")</f>
        <v>Dezembro</v>
      </c>
      <c r="C902" s="6" t="str">
        <f>IFERROR(__xludf.DUMMYFUNCTION("""COMPUTED_VALUE"""),"INVASÃO DE DOMICÍLIO")</f>
        <v>INVASÃO DE DOMICÍLIO</v>
      </c>
      <c r="D902" s="6">
        <f>IFERROR(__xludf.DUMMYFUNCTION("""COMPUTED_VALUE"""),1.0)</f>
        <v>1</v>
      </c>
      <c r="E902" s="6">
        <f>IFERROR(__xludf.DUMMYFUNCTION("""COMPUTED_VALUE"""),2.0)</f>
        <v>2</v>
      </c>
      <c r="F902" s="6">
        <f>IFERROR(__xludf.DUMMYFUNCTION("""COMPUTED_VALUE"""),13.0)</f>
        <v>13</v>
      </c>
      <c r="G902" s="6">
        <f>IFERROR(__xludf.DUMMYFUNCTION("""COMPUTED_VALUE"""),16.0)</f>
        <v>16</v>
      </c>
    </row>
    <row r="903">
      <c r="A903" s="6">
        <f>IFERROR(__xludf.DUMMYFUNCTION("""COMPUTED_VALUE"""),2016.0)</f>
        <v>2016</v>
      </c>
      <c r="B903" s="6" t="str">
        <f>IFERROR(__xludf.DUMMYFUNCTION("""COMPUTED_VALUE"""),"Dezembro")</f>
        <v>Dezembro</v>
      </c>
      <c r="C903" s="6" t="str">
        <f>IFERROR(__xludf.DUMMYFUNCTION("""COMPUTED_VALUE"""),"DANO")</f>
        <v>DANO</v>
      </c>
      <c r="D903" s="6">
        <f>IFERROR(__xludf.DUMMYFUNCTION("""COMPUTED_VALUE"""),11.0)</f>
        <v>11</v>
      </c>
      <c r="E903" s="6">
        <f>IFERROR(__xludf.DUMMYFUNCTION("""COMPUTED_VALUE"""),11.0)</f>
        <v>11</v>
      </c>
      <c r="F903" s="6">
        <f>IFERROR(__xludf.DUMMYFUNCTION("""COMPUTED_VALUE"""),62.0)</f>
        <v>62</v>
      </c>
      <c r="G903" s="6">
        <f>IFERROR(__xludf.DUMMYFUNCTION("""COMPUTED_VALUE"""),84.0)</f>
        <v>84</v>
      </c>
    </row>
    <row r="904">
      <c r="A904" s="6">
        <f>IFERROR(__xludf.DUMMYFUNCTION("""COMPUTED_VALUE"""),2016.0)</f>
        <v>2016</v>
      </c>
      <c r="B904" s="6" t="str">
        <f>IFERROR(__xludf.DUMMYFUNCTION("""COMPUTED_VALUE"""),"Dezembro")</f>
        <v>Dezembro</v>
      </c>
      <c r="C904" s="6" t="str">
        <f>IFERROR(__xludf.DUMMYFUNCTION("""COMPUTED_VALUE"""),"ESTUPRO CONSUMADO")</f>
        <v>ESTUPRO CONSUMADO</v>
      </c>
      <c r="D904" s="6">
        <f>IFERROR(__xludf.DUMMYFUNCTION("""COMPUTED_VALUE"""),10.0)</f>
        <v>10</v>
      </c>
      <c r="E904" s="6">
        <f>IFERROR(__xludf.DUMMYFUNCTION("""COMPUTED_VALUE"""),7.0)</f>
        <v>7</v>
      </c>
      <c r="F904" s="6">
        <f>IFERROR(__xludf.DUMMYFUNCTION("""COMPUTED_VALUE"""),19.0)</f>
        <v>19</v>
      </c>
      <c r="G904" s="6">
        <f>IFERROR(__xludf.DUMMYFUNCTION("""COMPUTED_VALUE"""),36.0)</f>
        <v>36</v>
      </c>
    </row>
    <row r="905">
      <c r="A905" s="6">
        <f>IFERROR(__xludf.DUMMYFUNCTION("""COMPUTED_VALUE"""),2016.0)</f>
        <v>2016</v>
      </c>
      <c r="B905" s="6" t="str">
        <f>IFERROR(__xludf.DUMMYFUNCTION("""COMPUTED_VALUE"""),"Dezembro")</f>
        <v>Dezembro</v>
      </c>
      <c r="C905" s="6" t="str">
        <f>IFERROR(__xludf.DUMMYFUNCTION("""COMPUTED_VALUE"""),"ESTUPRO TENTADO")</f>
        <v>ESTUPRO TENTADO</v>
      </c>
      <c r="D905" s="6">
        <f>IFERROR(__xludf.DUMMYFUNCTION("""COMPUTED_VALUE"""),1.0)</f>
        <v>1</v>
      </c>
      <c r="E905" s="6">
        <f>IFERROR(__xludf.DUMMYFUNCTION("""COMPUTED_VALUE"""),0.0)</f>
        <v>0</v>
      </c>
      <c r="F905" s="6">
        <f>IFERROR(__xludf.DUMMYFUNCTION("""COMPUTED_VALUE"""),1.0)</f>
        <v>1</v>
      </c>
      <c r="G905" s="6">
        <f>IFERROR(__xludf.DUMMYFUNCTION("""COMPUTED_VALUE"""),2.0)</f>
        <v>2</v>
      </c>
    </row>
    <row r="906">
      <c r="A906" s="6">
        <f>IFERROR(__xludf.DUMMYFUNCTION("""COMPUTED_VALUE"""),2016.0)</f>
        <v>2016</v>
      </c>
      <c r="B906" s="6" t="str">
        <f>IFERROR(__xludf.DUMMYFUNCTION("""COMPUTED_VALUE"""),"Dezembro")</f>
        <v>Dezembro</v>
      </c>
      <c r="C906" s="6" t="str">
        <f>IFERROR(__xludf.DUMMYFUNCTION("""COMPUTED_VALUE"""),"ESTUPRO DE VULNERÁVEL CONSUMADO")</f>
        <v>ESTUPRO DE VULNERÁVEL CONSUMADO</v>
      </c>
      <c r="D906" s="6">
        <f>IFERROR(__xludf.DUMMYFUNCTION("""COMPUTED_VALUE"""),3.0)</f>
        <v>3</v>
      </c>
      <c r="E906" s="6">
        <f>IFERROR(__xludf.DUMMYFUNCTION("""COMPUTED_VALUE"""),4.0)</f>
        <v>4</v>
      </c>
      <c r="F906" s="6">
        <f>IFERROR(__xludf.DUMMYFUNCTION("""COMPUTED_VALUE"""),18.0)</f>
        <v>18</v>
      </c>
      <c r="G906" s="6">
        <f>IFERROR(__xludf.DUMMYFUNCTION("""COMPUTED_VALUE"""),25.0)</f>
        <v>25</v>
      </c>
    </row>
    <row r="907">
      <c r="A907" s="6">
        <f>IFERROR(__xludf.DUMMYFUNCTION("""COMPUTED_VALUE"""),2016.0)</f>
        <v>2016</v>
      </c>
      <c r="B907" s="6" t="str">
        <f>IFERROR(__xludf.DUMMYFUNCTION("""COMPUTED_VALUE"""),"Dezembro")</f>
        <v>Dezembro</v>
      </c>
      <c r="C907" s="6" t="str">
        <f>IFERROR(__xludf.DUMMYFUNCTION("""COMPUTED_VALUE"""),"OUTROS C/C/ DIGNIDADE SEXUAL")</f>
        <v>OUTROS C/C/ DIGNIDADE SEXUAL</v>
      </c>
      <c r="D907" s="6">
        <f>IFERROR(__xludf.DUMMYFUNCTION("""COMPUTED_VALUE"""),0.0)</f>
        <v>0</v>
      </c>
      <c r="E907" s="6">
        <f>IFERROR(__xludf.DUMMYFUNCTION("""COMPUTED_VALUE"""),1.0)</f>
        <v>1</v>
      </c>
      <c r="F907" s="6">
        <f>IFERROR(__xludf.DUMMYFUNCTION("""COMPUTED_VALUE"""),2.0)</f>
        <v>2</v>
      </c>
      <c r="G907" s="6">
        <f>IFERROR(__xludf.DUMMYFUNCTION("""COMPUTED_VALUE"""),3.0)</f>
        <v>3</v>
      </c>
    </row>
    <row r="908">
      <c r="A908" s="6">
        <f>IFERROR(__xludf.DUMMYFUNCTION("""COMPUTED_VALUE"""),2017.0)</f>
        <v>2017</v>
      </c>
      <c r="B908" s="6" t="str">
        <f>IFERROR(__xludf.DUMMYFUNCTION("""COMPUTED_VALUE"""),"Janeiro")</f>
        <v>Janeiro</v>
      </c>
      <c r="C908" s="6" t="str">
        <f>IFERROR(__xludf.DUMMYFUNCTION("""COMPUTED_VALUE"""),"HOMICÍDIO DOLOSO (exclui FEMINICÍDIO)")</f>
        <v>HOMICÍDIO DOLOSO (exclui FEMINICÍDIO)</v>
      </c>
      <c r="D908" s="6">
        <f>IFERROR(__xludf.DUMMYFUNCTION("""COMPUTED_VALUE"""),1.0)</f>
        <v>1</v>
      </c>
      <c r="E908" s="6">
        <f>IFERROR(__xludf.DUMMYFUNCTION("""COMPUTED_VALUE"""),2.0)</f>
        <v>2</v>
      </c>
      <c r="F908" s="6">
        <f>IFERROR(__xludf.DUMMYFUNCTION("""COMPUTED_VALUE"""),2.0)</f>
        <v>2</v>
      </c>
      <c r="G908" s="6">
        <f>IFERROR(__xludf.DUMMYFUNCTION("""COMPUTED_VALUE"""),5.0)</f>
        <v>5</v>
      </c>
    </row>
    <row r="909">
      <c r="A909" s="6">
        <f>IFERROR(__xludf.DUMMYFUNCTION("""COMPUTED_VALUE"""),2017.0)</f>
        <v>2017</v>
      </c>
      <c r="B909" s="6" t="str">
        <f>IFERROR(__xludf.DUMMYFUNCTION("""COMPUTED_VALUE"""),"Janeiro")</f>
        <v>Janeiro</v>
      </c>
      <c r="C909" s="6" t="str">
        <f>IFERROR(__xludf.DUMMYFUNCTION("""COMPUTED_VALUE"""),"FEMINICÍDIO")</f>
        <v>FEMINICÍDIO</v>
      </c>
      <c r="D909" s="6">
        <f>IFERROR(__xludf.DUMMYFUNCTION("""COMPUTED_VALUE"""),1.0)</f>
        <v>1</v>
      </c>
      <c r="E909" s="6">
        <f>IFERROR(__xludf.DUMMYFUNCTION("""COMPUTED_VALUE"""),2.0)</f>
        <v>2</v>
      </c>
      <c r="F909" s="6">
        <f>IFERROR(__xludf.DUMMYFUNCTION("""COMPUTED_VALUE"""),1.0)</f>
        <v>1</v>
      </c>
      <c r="G909" s="6">
        <f>IFERROR(__xludf.DUMMYFUNCTION("""COMPUTED_VALUE"""),4.0)</f>
        <v>4</v>
      </c>
    </row>
    <row r="910">
      <c r="A910" s="6">
        <f>IFERROR(__xludf.DUMMYFUNCTION("""COMPUTED_VALUE"""),2017.0)</f>
        <v>2017</v>
      </c>
      <c r="B910" s="6" t="str">
        <f>IFERROR(__xludf.DUMMYFUNCTION("""COMPUTED_VALUE"""),"Janeiro")</f>
        <v>Janeiro</v>
      </c>
      <c r="C910" s="6" t="str">
        <f>IFERROR(__xludf.DUMMYFUNCTION("""COMPUTED_VALUE"""),"HOMICÍDIO CULPOSO")</f>
        <v>HOMICÍDIO CULPOSO</v>
      </c>
      <c r="D910" s="6">
        <f>IFERROR(__xludf.DUMMYFUNCTION("""COMPUTED_VALUE"""),0.0)</f>
        <v>0</v>
      </c>
      <c r="E910" s="6">
        <f>IFERROR(__xludf.DUMMYFUNCTION("""COMPUTED_VALUE"""),0.0)</f>
        <v>0</v>
      </c>
      <c r="F910" s="6">
        <f>IFERROR(__xludf.DUMMYFUNCTION("""COMPUTED_VALUE"""),0.0)</f>
        <v>0</v>
      </c>
      <c r="G910" s="6">
        <f>IFERROR(__xludf.DUMMYFUNCTION("""COMPUTED_VALUE"""),0.0)</f>
        <v>0</v>
      </c>
    </row>
    <row r="911">
      <c r="A911" s="6">
        <f>IFERROR(__xludf.DUMMYFUNCTION("""COMPUTED_VALUE"""),2017.0)</f>
        <v>2017</v>
      </c>
      <c r="B911" s="6" t="str">
        <f>IFERROR(__xludf.DUMMYFUNCTION("""COMPUTED_VALUE"""),"Janeiro")</f>
        <v>Janeiro</v>
      </c>
      <c r="C911" s="6" t="str">
        <f>IFERROR(__xludf.DUMMYFUNCTION("""COMPUTED_VALUE"""),"TENTATIVA DE HOMICÍDIO")</f>
        <v>TENTATIVA DE HOMICÍDIO</v>
      </c>
      <c r="D911" s="6">
        <f>IFERROR(__xludf.DUMMYFUNCTION("""COMPUTED_VALUE"""),2.0)</f>
        <v>2</v>
      </c>
      <c r="E911" s="6">
        <f>IFERROR(__xludf.DUMMYFUNCTION("""COMPUTED_VALUE"""),2.0)</f>
        <v>2</v>
      </c>
      <c r="F911" s="6">
        <f>IFERROR(__xludf.DUMMYFUNCTION("""COMPUTED_VALUE"""),13.0)</f>
        <v>13</v>
      </c>
      <c r="G911" s="6">
        <f>IFERROR(__xludf.DUMMYFUNCTION("""COMPUTED_VALUE"""),17.0)</f>
        <v>17</v>
      </c>
    </row>
    <row r="912">
      <c r="A912" s="6">
        <f>IFERROR(__xludf.DUMMYFUNCTION("""COMPUTED_VALUE"""),2017.0)</f>
        <v>2017</v>
      </c>
      <c r="B912" s="6" t="str">
        <f>IFERROR(__xludf.DUMMYFUNCTION("""COMPUTED_VALUE"""),"Janeiro")</f>
        <v>Janeiro</v>
      </c>
      <c r="C912" s="6" t="str">
        <f>IFERROR(__xludf.DUMMYFUNCTION("""COMPUTED_VALUE"""),"LESÃO CORPORAL DOLOSA")</f>
        <v>LESÃO CORPORAL DOLOSA</v>
      </c>
      <c r="D912" s="6">
        <f>IFERROR(__xludf.DUMMYFUNCTION("""COMPUTED_VALUE"""),1014.0)</f>
        <v>1014</v>
      </c>
      <c r="E912" s="6">
        <f>IFERROR(__xludf.DUMMYFUNCTION("""COMPUTED_VALUE"""),864.0)</f>
        <v>864</v>
      </c>
      <c r="F912" s="6">
        <f>IFERROR(__xludf.DUMMYFUNCTION("""COMPUTED_VALUE"""),3118.0)</f>
        <v>3118</v>
      </c>
      <c r="G912" s="6">
        <f>IFERROR(__xludf.DUMMYFUNCTION("""COMPUTED_VALUE"""),4996.0)</f>
        <v>4996</v>
      </c>
    </row>
    <row r="913">
      <c r="A913" s="6">
        <f>IFERROR(__xludf.DUMMYFUNCTION("""COMPUTED_VALUE"""),2017.0)</f>
        <v>2017</v>
      </c>
      <c r="B913" s="6" t="str">
        <f>IFERROR(__xludf.DUMMYFUNCTION("""COMPUTED_VALUE"""),"Janeiro")</f>
        <v>Janeiro</v>
      </c>
      <c r="C913" s="6" t="str">
        <f>IFERROR(__xludf.DUMMYFUNCTION("""COMPUTED_VALUE"""),"MAUS TRATOS")</f>
        <v>MAUS TRATOS</v>
      </c>
      <c r="D913" s="6">
        <f>IFERROR(__xludf.DUMMYFUNCTION("""COMPUTED_VALUE"""),3.0)</f>
        <v>3</v>
      </c>
      <c r="E913" s="6">
        <f>IFERROR(__xludf.DUMMYFUNCTION("""COMPUTED_VALUE"""),2.0)</f>
        <v>2</v>
      </c>
      <c r="F913" s="6">
        <f>IFERROR(__xludf.DUMMYFUNCTION("""COMPUTED_VALUE"""),18.0)</f>
        <v>18</v>
      </c>
      <c r="G913" s="6">
        <f>IFERROR(__xludf.DUMMYFUNCTION("""COMPUTED_VALUE"""),23.0)</f>
        <v>23</v>
      </c>
    </row>
    <row r="914">
      <c r="A914" s="6">
        <f>IFERROR(__xludf.DUMMYFUNCTION("""COMPUTED_VALUE"""),2017.0)</f>
        <v>2017</v>
      </c>
      <c r="B914" s="6" t="str">
        <f>IFERROR(__xludf.DUMMYFUNCTION("""COMPUTED_VALUE"""),"Janeiro")</f>
        <v>Janeiro</v>
      </c>
      <c r="C914" s="6" t="str">
        <f>IFERROR(__xludf.DUMMYFUNCTION("""COMPUTED_VALUE"""),"CALÚNIA - DIFAMAÇÃO - INJÚRIA")</f>
        <v>CALÚNIA - DIFAMAÇÃO - INJÚRIA</v>
      </c>
      <c r="D914" s="6">
        <f>IFERROR(__xludf.DUMMYFUNCTION("""COMPUTED_VALUE"""),198.0)</f>
        <v>198</v>
      </c>
      <c r="E914" s="6">
        <f>IFERROR(__xludf.DUMMYFUNCTION("""COMPUTED_VALUE"""),168.0)</f>
        <v>168</v>
      </c>
      <c r="F914" s="6">
        <f>IFERROR(__xludf.DUMMYFUNCTION("""COMPUTED_VALUE"""),724.0)</f>
        <v>724</v>
      </c>
      <c r="G914" s="6">
        <f>IFERROR(__xludf.DUMMYFUNCTION("""COMPUTED_VALUE"""),1090.0)</f>
        <v>1090</v>
      </c>
    </row>
    <row r="915">
      <c r="A915" s="6">
        <f>IFERROR(__xludf.DUMMYFUNCTION("""COMPUTED_VALUE"""),2017.0)</f>
        <v>2017</v>
      </c>
      <c r="B915" s="6" t="str">
        <f>IFERROR(__xludf.DUMMYFUNCTION("""COMPUTED_VALUE"""),"Janeiro")</f>
        <v>Janeiro</v>
      </c>
      <c r="C915" s="6" t="str">
        <f>IFERROR(__xludf.DUMMYFUNCTION("""COMPUTED_VALUE"""),"CONSTRANGIMENTO ILEGAL")</f>
        <v>CONSTRANGIMENTO ILEGAL</v>
      </c>
      <c r="D915" s="6">
        <f>IFERROR(__xludf.DUMMYFUNCTION("""COMPUTED_VALUE"""),1.0)</f>
        <v>1</v>
      </c>
      <c r="E915" s="6">
        <f>IFERROR(__xludf.DUMMYFUNCTION("""COMPUTED_VALUE"""),1.0)</f>
        <v>1</v>
      </c>
      <c r="F915" s="6">
        <f>IFERROR(__xludf.DUMMYFUNCTION("""COMPUTED_VALUE"""),7.0)</f>
        <v>7</v>
      </c>
      <c r="G915" s="6">
        <f>IFERROR(__xludf.DUMMYFUNCTION("""COMPUTED_VALUE"""),9.0)</f>
        <v>9</v>
      </c>
    </row>
    <row r="916">
      <c r="A916" s="6">
        <f>IFERROR(__xludf.DUMMYFUNCTION("""COMPUTED_VALUE"""),2017.0)</f>
        <v>2017</v>
      </c>
      <c r="B916" s="6" t="str">
        <f>IFERROR(__xludf.DUMMYFUNCTION("""COMPUTED_VALUE"""),"Janeiro")</f>
        <v>Janeiro</v>
      </c>
      <c r="C916" s="6" t="str">
        <f>IFERROR(__xludf.DUMMYFUNCTION("""COMPUTED_VALUE"""),"AMEAÇA")</f>
        <v>AMEAÇA</v>
      </c>
      <c r="D916" s="6">
        <f>IFERROR(__xludf.DUMMYFUNCTION("""COMPUTED_VALUE"""),948.0)</f>
        <v>948</v>
      </c>
      <c r="E916" s="6">
        <f>IFERROR(__xludf.DUMMYFUNCTION("""COMPUTED_VALUE"""),852.0)</f>
        <v>852</v>
      </c>
      <c r="F916" s="6">
        <f>IFERROR(__xludf.DUMMYFUNCTION("""COMPUTED_VALUE"""),3214.0)</f>
        <v>3214</v>
      </c>
      <c r="G916" s="6">
        <f>IFERROR(__xludf.DUMMYFUNCTION("""COMPUTED_VALUE"""),5014.0)</f>
        <v>5014</v>
      </c>
    </row>
    <row r="917">
      <c r="A917" s="6">
        <f>IFERROR(__xludf.DUMMYFUNCTION("""COMPUTED_VALUE"""),2017.0)</f>
        <v>2017</v>
      </c>
      <c r="B917" s="6" t="str">
        <f>IFERROR(__xludf.DUMMYFUNCTION("""COMPUTED_VALUE"""),"Janeiro")</f>
        <v>Janeiro</v>
      </c>
      <c r="C917" s="6" t="str">
        <f>IFERROR(__xludf.DUMMYFUNCTION("""COMPUTED_VALUE"""),"INVASÃO DE DOMICÍLIO")</f>
        <v>INVASÃO DE DOMICÍLIO</v>
      </c>
      <c r="D917" s="6">
        <f>IFERROR(__xludf.DUMMYFUNCTION("""COMPUTED_VALUE"""),1.0)</f>
        <v>1</v>
      </c>
      <c r="E917" s="6">
        <f>IFERROR(__xludf.DUMMYFUNCTION("""COMPUTED_VALUE"""),2.0)</f>
        <v>2</v>
      </c>
      <c r="F917" s="6">
        <f>IFERROR(__xludf.DUMMYFUNCTION("""COMPUTED_VALUE"""),13.0)</f>
        <v>13</v>
      </c>
      <c r="G917" s="6">
        <f>IFERROR(__xludf.DUMMYFUNCTION("""COMPUTED_VALUE"""),16.0)</f>
        <v>16</v>
      </c>
    </row>
    <row r="918">
      <c r="A918" s="6">
        <f>IFERROR(__xludf.DUMMYFUNCTION("""COMPUTED_VALUE"""),2017.0)</f>
        <v>2017</v>
      </c>
      <c r="B918" s="6" t="str">
        <f>IFERROR(__xludf.DUMMYFUNCTION("""COMPUTED_VALUE"""),"Janeiro")</f>
        <v>Janeiro</v>
      </c>
      <c r="C918" s="6" t="str">
        <f>IFERROR(__xludf.DUMMYFUNCTION("""COMPUTED_VALUE"""),"DANO")</f>
        <v>DANO</v>
      </c>
      <c r="D918" s="6">
        <f>IFERROR(__xludf.DUMMYFUNCTION("""COMPUTED_VALUE"""),11.0)</f>
        <v>11</v>
      </c>
      <c r="E918" s="6">
        <f>IFERROR(__xludf.DUMMYFUNCTION("""COMPUTED_VALUE"""),11.0)</f>
        <v>11</v>
      </c>
      <c r="F918" s="6">
        <f>IFERROR(__xludf.DUMMYFUNCTION("""COMPUTED_VALUE"""),62.0)</f>
        <v>62</v>
      </c>
      <c r="G918" s="6">
        <f>IFERROR(__xludf.DUMMYFUNCTION("""COMPUTED_VALUE"""),84.0)</f>
        <v>84</v>
      </c>
    </row>
    <row r="919">
      <c r="A919" s="6">
        <f>IFERROR(__xludf.DUMMYFUNCTION("""COMPUTED_VALUE"""),2017.0)</f>
        <v>2017</v>
      </c>
      <c r="B919" s="6" t="str">
        <f>IFERROR(__xludf.DUMMYFUNCTION("""COMPUTED_VALUE"""),"Janeiro")</f>
        <v>Janeiro</v>
      </c>
      <c r="C919" s="6" t="str">
        <f>IFERROR(__xludf.DUMMYFUNCTION("""COMPUTED_VALUE"""),"ESTUPRO CONSUMADO")</f>
        <v>ESTUPRO CONSUMADO</v>
      </c>
      <c r="D919" s="6">
        <f>IFERROR(__xludf.DUMMYFUNCTION("""COMPUTED_VALUE"""),10.0)</f>
        <v>10</v>
      </c>
      <c r="E919" s="6">
        <f>IFERROR(__xludf.DUMMYFUNCTION("""COMPUTED_VALUE"""),7.0)</f>
        <v>7</v>
      </c>
      <c r="F919" s="6">
        <f>IFERROR(__xludf.DUMMYFUNCTION("""COMPUTED_VALUE"""),19.0)</f>
        <v>19</v>
      </c>
      <c r="G919" s="6">
        <f>IFERROR(__xludf.DUMMYFUNCTION("""COMPUTED_VALUE"""),36.0)</f>
        <v>36</v>
      </c>
    </row>
    <row r="920">
      <c r="A920" s="6">
        <f>IFERROR(__xludf.DUMMYFUNCTION("""COMPUTED_VALUE"""),2017.0)</f>
        <v>2017</v>
      </c>
      <c r="B920" s="6" t="str">
        <f>IFERROR(__xludf.DUMMYFUNCTION("""COMPUTED_VALUE"""),"Janeiro")</f>
        <v>Janeiro</v>
      </c>
      <c r="C920" s="6" t="str">
        <f>IFERROR(__xludf.DUMMYFUNCTION("""COMPUTED_VALUE"""),"ESTUPRO TENTADO")</f>
        <v>ESTUPRO TENTADO</v>
      </c>
      <c r="D920" s="6">
        <f>IFERROR(__xludf.DUMMYFUNCTION("""COMPUTED_VALUE"""),1.0)</f>
        <v>1</v>
      </c>
      <c r="E920" s="6">
        <f>IFERROR(__xludf.DUMMYFUNCTION("""COMPUTED_VALUE"""),0.0)</f>
        <v>0</v>
      </c>
      <c r="F920" s="6">
        <f>IFERROR(__xludf.DUMMYFUNCTION("""COMPUTED_VALUE"""),1.0)</f>
        <v>1</v>
      </c>
      <c r="G920" s="6">
        <f>IFERROR(__xludf.DUMMYFUNCTION("""COMPUTED_VALUE"""),2.0)</f>
        <v>2</v>
      </c>
    </row>
    <row r="921">
      <c r="A921" s="6">
        <f>IFERROR(__xludf.DUMMYFUNCTION("""COMPUTED_VALUE"""),2017.0)</f>
        <v>2017</v>
      </c>
      <c r="B921" s="6" t="str">
        <f>IFERROR(__xludf.DUMMYFUNCTION("""COMPUTED_VALUE"""),"Janeiro")</f>
        <v>Janeiro</v>
      </c>
      <c r="C921" s="6" t="str">
        <f>IFERROR(__xludf.DUMMYFUNCTION("""COMPUTED_VALUE"""),"ESTUPRO DE VULNERÁVEL CONSUMADO")</f>
        <v>ESTUPRO DE VULNERÁVEL CONSUMADO</v>
      </c>
      <c r="D921" s="6">
        <f>IFERROR(__xludf.DUMMYFUNCTION("""COMPUTED_VALUE"""),3.0)</f>
        <v>3</v>
      </c>
      <c r="E921" s="6">
        <f>IFERROR(__xludf.DUMMYFUNCTION("""COMPUTED_VALUE"""),4.0)</f>
        <v>4</v>
      </c>
      <c r="F921" s="6">
        <f>IFERROR(__xludf.DUMMYFUNCTION("""COMPUTED_VALUE"""),18.0)</f>
        <v>18</v>
      </c>
      <c r="G921" s="6">
        <f>IFERROR(__xludf.DUMMYFUNCTION("""COMPUTED_VALUE"""),25.0)</f>
        <v>25</v>
      </c>
    </row>
    <row r="922">
      <c r="A922" s="6">
        <f>IFERROR(__xludf.DUMMYFUNCTION("""COMPUTED_VALUE"""),2017.0)</f>
        <v>2017</v>
      </c>
      <c r="B922" s="6" t="str">
        <f>IFERROR(__xludf.DUMMYFUNCTION("""COMPUTED_VALUE"""),"Janeiro")</f>
        <v>Janeiro</v>
      </c>
      <c r="C922" s="6" t="str">
        <f>IFERROR(__xludf.DUMMYFUNCTION("""COMPUTED_VALUE"""),"OUTROS C/C/ DIGNIDADE SEXUAL")</f>
        <v>OUTROS C/C/ DIGNIDADE SEXUAL</v>
      </c>
      <c r="D922" s="6">
        <f>IFERROR(__xludf.DUMMYFUNCTION("""COMPUTED_VALUE"""),0.0)</f>
        <v>0</v>
      </c>
      <c r="E922" s="6">
        <f>IFERROR(__xludf.DUMMYFUNCTION("""COMPUTED_VALUE"""),1.0)</f>
        <v>1</v>
      </c>
      <c r="F922" s="6">
        <f>IFERROR(__xludf.DUMMYFUNCTION("""COMPUTED_VALUE"""),2.0)</f>
        <v>2</v>
      </c>
      <c r="G922" s="6">
        <f>IFERROR(__xludf.DUMMYFUNCTION("""COMPUTED_VALUE"""),3.0)</f>
        <v>3</v>
      </c>
    </row>
    <row r="923">
      <c r="A923" s="6">
        <f>IFERROR(__xludf.DUMMYFUNCTION("""COMPUTED_VALUE"""),2017.0)</f>
        <v>2017</v>
      </c>
      <c r="B923" s="6" t="str">
        <f>IFERROR(__xludf.DUMMYFUNCTION("""COMPUTED_VALUE"""),"Fevereiro")</f>
        <v>Fevereiro</v>
      </c>
      <c r="C923" s="6" t="str">
        <f>IFERROR(__xludf.DUMMYFUNCTION("""COMPUTED_VALUE"""),"HOMICÍDIO DOLOSO (exclui FEMINICÍDIO)")</f>
        <v>HOMICÍDIO DOLOSO (exclui FEMINICÍDIO)</v>
      </c>
      <c r="D923" s="6">
        <f>IFERROR(__xludf.DUMMYFUNCTION("""COMPUTED_VALUE"""),2.0)</f>
        <v>2</v>
      </c>
      <c r="E923" s="6">
        <f>IFERROR(__xludf.DUMMYFUNCTION("""COMPUTED_VALUE"""),1.0)</f>
        <v>1</v>
      </c>
      <c r="F923" s="6">
        <f>IFERROR(__xludf.DUMMYFUNCTION("""COMPUTED_VALUE"""),3.0)</f>
        <v>3</v>
      </c>
      <c r="G923" s="6">
        <f>IFERROR(__xludf.DUMMYFUNCTION("""COMPUTED_VALUE"""),6.0)</f>
        <v>6</v>
      </c>
    </row>
    <row r="924">
      <c r="A924" s="6">
        <f>IFERROR(__xludf.DUMMYFUNCTION("""COMPUTED_VALUE"""),2017.0)</f>
        <v>2017</v>
      </c>
      <c r="B924" s="6" t="str">
        <f>IFERROR(__xludf.DUMMYFUNCTION("""COMPUTED_VALUE"""),"Fevereiro")</f>
        <v>Fevereiro</v>
      </c>
      <c r="C924" s="6" t="str">
        <f>IFERROR(__xludf.DUMMYFUNCTION("""COMPUTED_VALUE"""),"FEMINICÍDIO")</f>
        <v>FEMINICÍDIO</v>
      </c>
      <c r="D924" s="6">
        <f>IFERROR(__xludf.DUMMYFUNCTION("""COMPUTED_VALUE"""),2.0)</f>
        <v>2</v>
      </c>
      <c r="E924" s="6">
        <f>IFERROR(__xludf.DUMMYFUNCTION("""COMPUTED_VALUE"""),2.0)</f>
        <v>2</v>
      </c>
      <c r="F924" s="6">
        <f>IFERROR(__xludf.DUMMYFUNCTION("""COMPUTED_VALUE"""),3.0)</f>
        <v>3</v>
      </c>
      <c r="G924" s="6">
        <f>IFERROR(__xludf.DUMMYFUNCTION("""COMPUTED_VALUE"""),7.0)</f>
        <v>7</v>
      </c>
    </row>
    <row r="925">
      <c r="A925" s="6">
        <f>IFERROR(__xludf.DUMMYFUNCTION("""COMPUTED_VALUE"""),2017.0)</f>
        <v>2017</v>
      </c>
      <c r="B925" s="6" t="str">
        <f>IFERROR(__xludf.DUMMYFUNCTION("""COMPUTED_VALUE"""),"Fevereiro")</f>
        <v>Fevereiro</v>
      </c>
      <c r="C925" s="6" t="str">
        <f>IFERROR(__xludf.DUMMYFUNCTION("""COMPUTED_VALUE"""),"HOMICÍDIO CULPOSO")</f>
        <v>HOMICÍDIO CULPOSO</v>
      </c>
      <c r="D925" s="6">
        <f>IFERROR(__xludf.DUMMYFUNCTION("""COMPUTED_VALUE"""),0.0)</f>
        <v>0</v>
      </c>
      <c r="E925" s="6">
        <f>IFERROR(__xludf.DUMMYFUNCTION("""COMPUTED_VALUE"""),0.0)</f>
        <v>0</v>
      </c>
      <c r="F925" s="6">
        <f>IFERROR(__xludf.DUMMYFUNCTION("""COMPUTED_VALUE"""),0.0)</f>
        <v>0</v>
      </c>
      <c r="G925" s="6">
        <f>IFERROR(__xludf.DUMMYFUNCTION("""COMPUTED_VALUE"""),0.0)</f>
        <v>0</v>
      </c>
    </row>
    <row r="926">
      <c r="A926" s="6">
        <f>IFERROR(__xludf.DUMMYFUNCTION("""COMPUTED_VALUE"""),2017.0)</f>
        <v>2017</v>
      </c>
      <c r="B926" s="6" t="str">
        <f>IFERROR(__xludf.DUMMYFUNCTION("""COMPUTED_VALUE"""),"Fevereiro")</f>
        <v>Fevereiro</v>
      </c>
      <c r="C926" s="6" t="str">
        <f>IFERROR(__xludf.DUMMYFUNCTION("""COMPUTED_VALUE"""),"TENTATIVA DE HOMICÍDIO")</f>
        <v>TENTATIVA DE HOMICÍDIO</v>
      </c>
      <c r="D926" s="6">
        <f>IFERROR(__xludf.DUMMYFUNCTION("""COMPUTED_VALUE"""),3.0)</f>
        <v>3</v>
      </c>
      <c r="E926" s="6">
        <f>IFERROR(__xludf.DUMMYFUNCTION("""COMPUTED_VALUE"""),2.0)</f>
        <v>2</v>
      </c>
      <c r="F926" s="6">
        <f>IFERROR(__xludf.DUMMYFUNCTION("""COMPUTED_VALUE"""),14.0)</f>
        <v>14</v>
      </c>
      <c r="G926" s="6">
        <f>IFERROR(__xludf.DUMMYFUNCTION("""COMPUTED_VALUE"""),19.0)</f>
        <v>19</v>
      </c>
    </row>
    <row r="927">
      <c r="A927" s="6">
        <f>IFERROR(__xludf.DUMMYFUNCTION("""COMPUTED_VALUE"""),2017.0)</f>
        <v>2017</v>
      </c>
      <c r="B927" s="6" t="str">
        <f>IFERROR(__xludf.DUMMYFUNCTION("""COMPUTED_VALUE"""),"Fevereiro")</f>
        <v>Fevereiro</v>
      </c>
      <c r="C927" s="6" t="str">
        <f>IFERROR(__xludf.DUMMYFUNCTION("""COMPUTED_VALUE"""),"LESÃO CORPORAL DOLOSA")</f>
        <v>LESÃO CORPORAL DOLOSA</v>
      </c>
      <c r="D927" s="6">
        <f>IFERROR(__xludf.DUMMYFUNCTION("""COMPUTED_VALUE"""),1124.0)</f>
        <v>1124</v>
      </c>
      <c r="E927" s="6">
        <f>IFERROR(__xludf.DUMMYFUNCTION("""COMPUTED_VALUE"""),918.0)</f>
        <v>918</v>
      </c>
      <c r="F927" s="6">
        <f>IFERROR(__xludf.DUMMYFUNCTION("""COMPUTED_VALUE"""),3416.0)</f>
        <v>3416</v>
      </c>
      <c r="G927" s="6">
        <f>IFERROR(__xludf.DUMMYFUNCTION("""COMPUTED_VALUE"""),5458.0)</f>
        <v>5458</v>
      </c>
    </row>
    <row r="928">
      <c r="A928" s="6">
        <f>IFERROR(__xludf.DUMMYFUNCTION("""COMPUTED_VALUE"""),2017.0)</f>
        <v>2017</v>
      </c>
      <c r="B928" s="6" t="str">
        <f>IFERROR(__xludf.DUMMYFUNCTION("""COMPUTED_VALUE"""),"Fevereiro")</f>
        <v>Fevereiro</v>
      </c>
      <c r="C928" s="6" t="str">
        <f>IFERROR(__xludf.DUMMYFUNCTION("""COMPUTED_VALUE"""),"MAUS TRATOS")</f>
        <v>MAUS TRATOS</v>
      </c>
      <c r="D928" s="6">
        <f>IFERROR(__xludf.DUMMYFUNCTION("""COMPUTED_VALUE"""),4.0)</f>
        <v>4</v>
      </c>
      <c r="E928" s="6">
        <f>IFERROR(__xludf.DUMMYFUNCTION("""COMPUTED_VALUE"""),2.0)</f>
        <v>2</v>
      </c>
      <c r="F928" s="6">
        <f>IFERROR(__xludf.DUMMYFUNCTION("""COMPUTED_VALUE"""),21.0)</f>
        <v>21</v>
      </c>
      <c r="G928" s="6">
        <f>IFERROR(__xludf.DUMMYFUNCTION("""COMPUTED_VALUE"""),27.0)</f>
        <v>27</v>
      </c>
    </row>
    <row r="929">
      <c r="A929" s="6">
        <f>IFERROR(__xludf.DUMMYFUNCTION("""COMPUTED_VALUE"""),2017.0)</f>
        <v>2017</v>
      </c>
      <c r="B929" s="6" t="str">
        <f>IFERROR(__xludf.DUMMYFUNCTION("""COMPUTED_VALUE"""),"Fevereiro")</f>
        <v>Fevereiro</v>
      </c>
      <c r="C929" s="6" t="str">
        <f>IFERROR(__xludf.DUMMYFUNCTION("""COMPUTED_VALUE"""),"CALÚNIA - DIFAMAÇÃO - INJÚRIA")</f>
        <v>CALÚNIA - DIFAMAÇÃO - INJÚRIA</v>
      </c>
      <c r="D929" s="6">
        <f>IFERROR(__xludf.DUMMYFUNCTION("""COMPUTED_VALUE"""),212.0)</f>
        <v>212</v>
      </c>
      <c r="E929" s="6">
        <f>IFERROR(__xludf.DUMMYFUNCTION("""COMPUTED_VALUE"""),181.0)</f>
        <v>181</v>
      </c>
      <c r="F929" s="6">
        <f>IFERROR(__xludf.DUMMYFUNCTION("""COMPUTED_VALUE"""),792.0)</f>
        <v>792</v>
      </c>
      <c r="G929" s="6">
        <f>IFERROR(__xludf.DUMMYFUNCTION("""COMPUTED_VALUE"""),1185.0)</f>
        <v>1185</v>
      </c>
    </row>
    <row r="930">
      <c r="A930" s="6">
        <f>IFERROR(__xludf.DUMMYFUNCTION("""COMPUTED_VALUE"""),2017.0)</f>
        <v>2017</v>
      </c>
      <c r="B930" s="6" t="str">
        <f>IFERROR(__xludf.DUMMYFUNCTION("""COMPUTED_VALUE"""),"Fevereiro")</f>
        <v>Fevereiro</v>
      </c>
      <c r="C930" s="6" t="str">
        <f>IFERROR(__xludf.DUMMYFUNCTION("""COMPUTED_VALUE"""),"CONSTRANGIMENTO ILEGAL")</f>
        <v>CONSTRANGIMENTO ILEGAL</v>
      </c>
      <c r="D930" s="6">
        <f>IFERROR(__xludf.DUMMYFUNCTION("""COMPUTED_VALUE"""),2.0)</f>
        <v>2</v>
      </c>
      <c r="E930" s="6">
        <f>IFERROR(__xludf.DUMMYFUNCTION("""COMPUTED_VALUE"""),1.0)</f>
        <v>1</v>
      </c>
      <c r="F930" s="6">
        <f>IFERROR(__xludf.DUMMYFUNCTION("""COMPUTED_VALUE"""),8.0)</f>
        <v>8</v>
      </c>
      <c r="G930" s="6">
        <f>IFERROR(__xludf.DUMMYFUNCTION("""COMPUTED_VALUE"""),11.0)</f>
        <v>11</v>
      </c>
    </row>
    <row r="931">
      <c r="A931" s="6">
        <f>IFERROR(__xludf.DUMMYFUNCTION("""COMPUTED_VALUE"""),2017.0)</f>
        <v>2017</v>
      </c>
      <c r="B931" s="6" t="str">
        <f>IFERROR(__xludf.DUMMYFUNCTION("""COMPUTED_VALUE"""),"Fevereiro")</f>
        <v>Fevereiro</v>
      </c>
      <c r="C931" s="6" t="str">
        <f>IFERROR(__xludf.DUMMYFUNCTION("""COMPUTED_VALUE"""),"AMEAÇA")</f>
        <v>AMEAÇA</v>
      </c>
      <c r="D931" s="6">
        <f>IFERROR(__xludf.DUMMYFUNCTION("""COMPUTED_VALUE"""),1084.0)</f>
        <v>1084</v>
      </c>
      <c r="E931" s="6">
        <f>IFERROR(__xludf.DUMMYFUNCTION("""COMPUTED_VALUE"""),942.0)</f>
        <v>942</v>
      </c>
      <c r="F931" s="6">
        <f>IFERROR(__xludf.DUMMYFUNCTION("""COMPUTED_VALUE"""),3584.0)</f>
        <v>3584</v>
      </c>
      <c r="G931" s="6">
        <f>IFERROR(__xludf.DUMMYFUNCTION("""COMPUTED_VALUE"""),5610.0)</f>
        <v>5610</v>
      </c>
    </row>
    <row r="932">
      <c r="A932" s="6">
        <f>IFERROR(__xludf.DUMMYFUNCTION("""COMPUTED_VALUE"""),2017.0)</f>
        <v>2017</v>
      </c>
      <c r="B932" s="6" t="str">
        <f>IFERROR(__xludf.DUMMYFUNCTION("""COMPUTED_VALUE"""),"Fevereiro")</f>
        <v>Fevereiro</v>
      </c>
      <c r="C932" s="6" t="str">
        <f>IFERROR(__xludf.DUMMYFUNCTION("""COMPUTED_VALUE"""),"INVASÃO DE DOMICÍLIO")</f>
        <v>INVASÃO DE DOMICÍLIO</v>
      </c>
      <c r="D932" s="6">
        <f>IFERROR(__xludf.DUMMYFUNCTION("""COMPUTED_VALUE"""),2.0)</f>
        <v>2</v>
      </c>
      <c r="E932" s="6">
        <f>IFERROR(__xludf.DUMMYFUNCTION("""COMPUTED_VALUE"""),3.0)</f>
        <v>3</v>
      </c>
      <c r="F932" s="6">
        <f>IFERROR(__xludf.DUMMYFUNCTION("""COMPUTED_VALUE"""),15.0)</f>
        <v>15</v>
      </c>
      <c r="G932" s="6">
        <f>IFERROR(__xludf.DUMMYFUNCTION("""COMPUTED_VALUE"""),20.0)</f>
        <v>20</v>
      </c>
    </row>
    <row r="933">
      <c r="A933" s="6">
        <f>IFERROR(__xludf.DUMMYFUNCTION("""COMPUTED_VALUE"""),2017.0)</f>
        <v>2017</v>
      </c>
      <c r="B933" s="6" t="str">
        <f>IFERROR(__xludf.DUMMYFUNCTION("""COMPUTED_VALUE"""),"Fevereiro")</f>
        <v>Fevereiro</v>
      </c>
      <c r="C933" s="6" t="str">
        <f>IFERROR(__xludf.DUMMYFUNCTION("""COMPUTED_VALUE"""),"DANO")</f>
        <v>DANO</v>
      </c>
      <c r="D933" s="6">
        <f>IFERROR(__xludf.DUMMYFUNCTION("""COMPUTED_VALUE"""),14.0)</f>
        <v>14</v>
      </c>
      <c r="E933" s="6">
        <f>IFERROR(__xludf.DUMMYFUNCTION("""COMPUTED_VALUE"""),12.0)</f>
        <v>12</v>
      </c>
      <c r="F933" s="6">
        <f>IFERROR(__xludf.DUMMYFUNCTION("""COMPUTED_VALUE"""),68.0)</f>
        <v>68</v>
      </c>
      <c r="G933" s="6">
        <f>IFERROR(__xludf.DUMMYFUNCTION("""COMPUTED_VALUE"""),94.0)</f>
        <v>94</v>
      </c>
    </row>
    <row r="934">
      <c r="A934" s="6">
        <f>IFERROR(__xludf.DUMMYFUNCTION("""COMPUTED_VALUE"""),2017.0)</f>
        <v>2017</v>
      </c>
      <c r="B934" s="6" t="str">
        <f>IFERROR(__xludf.DUMMYFUNCTION("""COMPUTED_VALUE"""),"Fevereiro")</f>
        <v>Fevereiro</v>
      </c>
      <c r="C934" s="6" t="str">
        <f>IFERROR(__xludf.DUMMYFUNCTION("""COMPUTED_VALUE"""),"ESTUPRO CONSUMADO")</f>
        <v>ESTUPRO CONSUMADO</v>
      </c>
      <c r="D934" s="6">
        <f>IFERROR(__xludf.DUMMYFUNCTION("""COMPUTED_VALUE"""),11.0)</f>
        <v>11</v>
      </c>
      <c r="E934" s="6">
        <f>IFERROR(__xludf.DUMMYFUNCTION("""COMPUTED_VALUE"""),8.0)</f>
        <v>8</v>
      </c>
      <c r="F934" s="6">
        <f>IFERROR(__xludf.DUMMYFUNCTION("""COMPUTED_VALUE"""),21.0)</f>
        <v>21</v>
      </c>
      <c r="G934" s="6">
        <f>IFERROR(__xludf.DUMMYFUNCTION("""COMPUTED_VALUE"""),40.0)</f>
        <v>40</v>
      </c>
    </row>
    <row r="935">
      <c r="A935" s="6">
        <f>IFERROR(__xludf.DUMMYFUNCTION("""COMPUTED_VALUE"""),2017.0)</f>
        <v>2017</v>
      </c>
      <c r="B935" s="6" t="str">
        <f>IFERROR(__xludf.DUMMYFUNCTION("""COMPUTED_VALUE"""),"Fevereiro")</f>
        <v>Fevereiro</v>
      </c>
      <c r="C935" s="6" t="str">
        <f>IFERROR(__xludf.DUMMYFUNCTION("""COMPUTED_VALUE"""),"ESTUPRO TENTADO")</f>
        <v>ESTUPRO TENTADO</v>
      </c>
      <c r="D935" s="6">
        <f>IFERROR(__xludf.DUMMYFUNCTION("""COMPUTED_VALUE"""),1.0)</f>
        <v>1</v>
      </c>
      <c r="E935" s="6">
        <f>IFERROR(__xludf.DUMMYFUNCTION("""COMPUTED_VALUE"""),0.0)</f>
        <v>0</v>
      </c>
      <c r="F935" s="6">
        <f>IFERROR(__xludf.DUMMYFUNCTION("""COMPUTED_VALUE"""),2.0)</f>
        <v>2</v>
      </c>
      <c r="G935" s="6">
        <f>IFERROR(__xludf.DUMMYFUNCTION("""COMPUTED_VALUE"""),3.0)</f>
        <v>3</v>
      </c>
    </row>
    <row r="936">
      <c r="A936" s="6">
        <f>IFERROR(__xludf.DUMMYFUNCTION("""COMPUTED_VALUE"""),2017.0)</f>
        <v>2017</v>
      </c>
      <c r="B936" s="6" t="str">
        <f>IFERROR(__xludf.DUMMYFUNCTION("""COMPUTED_VALUE"""),"Fevereiro")</f>
        <v>Fevereiro</v>
      </c>
      <c r="C936" s="6" t="str">
        <f>IFERROR(__xludf.DUMMYFUNCTION("""COMPUTED_VALUE"""),"ESTUPRO DE VULNERÁVEL CONSUMADO")</f>
        <v>ESTUPRO DE VULNERÁVEL CONSUMADO</v>
      </c>
      <c r="D936" s="6">
        <f>IFERROR(__xludf.DUMMYFUNCTION("""COMPUTED_VALUE"""),4.0)</f>
        <v>4</v>
      </c>
      <c r="E936" s="6">
        <f>IFERROR(__xludf.DUMMYFUNCTION("""COMPUTED_VALUE"""),5.0)</f>
        <v>5</v>
      </c>
      <c r="F936" s="6">
        <f>IFERROR(__xludf.DUMMYFUNCTION("""COMPUTED_VALUE"""),20.0)</f>
        <v>20</v>
      </c>
      <c r="G936" s="6">
        <f>IFERROR(__xludf.DUMMYFUNCTION("""COMPUTED_VALUE"""),29.0)</f>
        <v>29</v>
      </c>
    </row>
    <row r="937">
      <c r="A937" s="6">
        <f>IFERROR(__xludf.DUMMYFUNCTION("""COMPUTED_VALUE"""),2017.0)</f>
        <v>2017</v>
      </c>
      <c r="B937" s="6" t="str">
        <f>IFERROR(__xludf.DUMMYFUNCTION("""COMPUTED_VALUE"""),"Fevereiro")</f>
        <v>Fevereiro</v>
      </c>
      <c r="C937" s="6" t="str">
        <f>IFERROR(__xludf.DUMMYFUNCTION("""COMPUTED_VALUE"""),"OUTROS C/C/ DIGNIDADE SEXUAL")</f>
        <v>OUTROS C/C/ DIGNIDADE SEXUAL</v>
      </c>
      <c r="D937" s="6">
        <f>IFERROR(__xludf.DUMMYFUNCTION("""COMPUTED_VALUE"""),0.0)</f>
        <v>0</v>
      </c>
      <c r="E937" s="6">
        <f>IFERROR(__xludf.DUMMYFUNCTION("""COMPUTED_VALUE"""),1.0)</f>
        <v>1</v>
      </c>
      <c r="F937" s="6">
        <f>IFERROR(__xludf.DUMMYFUNCTION("""COMPUTED_VALUE"""),2.0)</f>
        <v>2</v>
      </c>
      <c r="G937" s="6">
        <f>IFERROR(__xludf.DUMMYFUNCTION("""COMPUTED_VALUE"""),3.0)</f>
        <v>3</v>
      </c>
    </row>
    <row r="938">
      <c r="A938" s="6">
        <f>IFERROR(__xludf.DUMMYFUNCTION("""COMPUTED_VALUE"""),2017.0)</f>
        <v>2017</v>
      </c>
      <c r="B938" s="6" t="str">
        <f>IFERROR(__xludf.DUMMYFUNCTION("""COMPUTED_VALUE"""),"Março")</f>
        <v>Março</v>
      </c>
      <c r="C938" s="6" t="str">
        <f>IFERROR(__xludf.DUMMYFUNCTION("""COMPUTED_VALUE"""),"HOMICÍDIO DOLOSO (exclui FEMINICÍDIO)")</f>
        <v>HOMICÍDIO DOLOSO (exclui FEMINICÍDIO)</v>
      </c>
      <c r="D938" s="6">
        <f>IFERROR(__xludf.DUMMYFUNCTION("""COMPUTED_VALUE"""),1.0)</f>
        <v>1</v>
      </c>
      <c r="E938" s="6">
        <f>IFERROR(__xludf.DUMMYFUNCTION("""COMPUTED_VALUE"""),0.0)</f>
        <v>0</v>
      </c>
      <c r="F938" s="6">
        <f>IFERROR(__xludf.DUMMYFUNCTION("""COMPUTED_VALUE"""),2.0)</f>
        <v>2</v>
      </c>
      <c r="G938" s="6">
        <f>IFERROR(__xludf.DUMMYFUNCTION("""COMPUTED_VALUE"""),3.0)</f>
        <v>3</v>
      </c>
    </row>
    <row r="939">
      <c r="A939" s="6">
        <f>IFERROR(__xludf.DUMMYFUNCTION("""COMPUTED_VALUE"""),2017.0)</f>
        <v>2017</v>
      </c>
      <c r="B939" s="6" t="str">
        <f>IFERROR(__xludf.DUMMYFUNCTION("""COMPUTED_VALUE"""),"Março")</f>
        <v>Março</v>
      </c>
      <c r="C939" s="6" t="str">
        <f>IFERROR(__xludf.DUMMYFUNCTION("""COMPUTED_VALUE"""),"FEMINICÍDIO")</f>
        <v>FEMINICÍDIO</v>
      </c>
      <c r="D939" s="6">
        <f>IFERROR(__xludf.DUMMYFUNCTION("""COMPUTED_VALUE"""),2.0)</f>
        <v>2</v>
      </c>
      <c r="E939" s="6">
        <f>IFERROR(__xludf.DUMMYFUNCTION("""COMPUTED_VALUE"""),1.0)</f>
        <v>1</v>
      </c>
      <c r="F939" s="6">
        <f>IFERROR(__xludf.DUMMYFUNCTION("""COMPUTED_VALUE"""),2.0)</f>
        <v>2</v>
      </c>
      <c r="G939" s="6">
        <f>IFERROR(__xludf.DUMMYFUNCTION("""COMPUTED_VALUE"""),5.0)</f>
        <v>5</v>
      </c>
    </row>
    <row r="940">
      <c r="A940" s="6">
        <f>IFERROR(__xludf.DUMMYFUNCTION("""COMPUTED_VALUE"""),2017.0)</f>
        <v>2017</v>
      </c>
      <c r="B940" s="6" t="str">
        <f>IFERROR(__xludf.DUMMYFUNCTION("""COMPUTED_VALUE"""),"Março")</f>
        <v>Março</v>
      </c>
      <c r="C940" s="6" t="str">
        <f>IFERROR(__xludf.DUMMYFUNCTION("""COMPUTED_VALUE"""),"HOMICÍDIO CULPOSO")</f>
        <v>HOMICÍDIO CULPOSO</v>
      </c>
      <c r="D940" s="6">
        <f>IFERROR(__xludf.DUMMYFUNCTION("""COMPUTED_VALUE"""),0.0)</f>
        <v>0</v>
      </c>
      <c r="E940" s="6">
        <f>IFERROR(__xludf.DUMMYFUNCTION("""COMPUTED_VALUE"""),0.0)</f>
        <v>0</v>
      </c>
      <c r="F940" s="6">
        <f>IFERROR(__xludf.DUMMYFUNCTION("""COMPUTED_VALUE"""),0.0)</f>
        <v>0</v>
      </c>
      <c r="G940" s="6">
        <f>IFERROR(__xludf.DUMMYFUNCTION("""COMPUTED_VALUE"""),0.0)</f>
        <v>0</v>
      </c>
    </row>
    <row r="941">
      <c r="A941" s="6">
        <f>IFERROR(__xludf.DUMMYFUNCTION("""COMPUTED_VALUE"""),2017.0)</f>
        <v>2017</v>
      </c>
      <c r="B941" s="6" t="str">
        <f>IFERROR(__xludf.DUMMYFUNCTION("""COMPUTED_VALUE"""),"Março")</f>
        <v>Março</v>
      </c>
      <c r="C941" s="6" t="str">
        <f>IFERROR(__xludf.DUMMYFUNCTION("""COMPUTED_VALUE"""),"TENTATIVA DE HOMICÍDIO")</f>
        <v>TENTATIVA DE HOMICÍDIO</v>
      </c>
      <c r="D941" s="6">
        <f>IFERROR(__xludf.DUMMYFUNCTION("""COMPUTED_VALUE"""),2.0)</f>
        <v>2</v>
      </c>
      <c r="E941" s="6">
        <f>IFERROR(__xludf.DUMMYFUNCTION("""COMPUTED_VALUE"""),2.0)</f>
        <v>2</v>
      </c>
      <c r="F941" s="6">
        <f>IFERROR(__xludf.DUMMYFUNCTION("""COMPUTED_VALUE"""),12.0)</f>
        <v>12</v>
      </c>
      <c r="G941" s="6">
        <f>IFERROR(__xludf.DUMMYFUNCTION("""COMPUTED_VALUE"""),16.0)</f>
        <v>16</v>
      </c>
    </row>
    <row r="942">
      <c r="A942" s="6">
        <f>IFERROR(__xludf.DUMMYFUNCTION("""COMPUTED_VALUE"""),2017.0)</f>
        <v>2017</v>
      </c>
      <c r="B942" s="6" t="str">
        <f>IFERROR(__xludf.DUMMYFUNCTION("""COMPUTED_VALUE"""),"Março")</f>
        <v>Março</v>
      </c>
      <c r="C942" s="6" t="str">
        <f>IFERROR(__xludf.DUMMYFUNCTION("""COMPUTED_VALUE"""),"LESÃO CORPORAL DOLOSA")</f>
        <v>LESÃO CORPORAL DOLOSA</v>
      </c>
      <c r="D942" s="6">
        <f>IFERROR(__xludf.DUMMYFUNCTION("""COMPUTED_VALUE"""),948.0)</f>
        <v>948</v>
      </c>
      <c r="E942" s="6">
        <f>IFERROR(__xludf.DUMMYFUNCTION("""COMPUTED_VALUE"""),812.0)</f>
        <v>812</v>
      </c>
      <c r="F942" s="6">
        <f>IFERROR(__xludf.DUMMYFUNCTION("""COMPUTED_VALUE"""),2914.0)</f>
        <v>2914</v>
      </c>
      <c r="G942" s="6">
        <f>IFERROR(__xludf.DUMMYFUNCTION("""COMPUTED_VALUE"""),4674.0)</f>
        <v>4674</v>
      </c>
    </row>
    <row r="943">
      <c r="A943" s="6">
        <f>IFERROR(__xludf.DUMMYFUNCTION("""COMPUTED_VALUE"""),2017.0)</f>
        <v>2017</v>
      </c>
      <c r="B943" s="6" t="str">
        <f>IFERROR(__xludf.DUMMYFUNCTION("""COMPUTED_VALUE"""),"Março")</f>
        <v>Março</v>
      </c>
      <c r="C943" s="6" t="str">
        <f>IFERROR(__xludf.DUMMYFUNCTION("""COMPUTED_VALUE"""),"MAUS TRATOS")</f>
        <v>MAUS TRATOS</v>
      </c>
      <c r="D943" s="6">
        <f>IFERROR(__xludf.DUMMYFUNCTION("""COMPUTED_VALUE"""),3.0)</f>
        <v>3</v>
      </c>
      <c r="E943" s="6">
        <f>IFERROR(__xludf.DUMMYFUNCTION("""COMPUTED_VALUE"""),2.0)</f>
        <v>2</v>
      </c>
      <c r="F943" s="6">
        <f>IFERROR(__xludf.DUMMYFUNCTION("""COMPUTED_VALUE"""),16.0)</f>
        <v>16</v>
      </c>
      <c r="G943" s="6">
        <f>IFERROR(__xludf.DUMMYFUNCTION("""COMPUTED_VALUE"""),21.0)</f>
        <v>21</v>
      </c>
    </row>
    <row r="944">
      <c r="A944" s="6">
        <f>IFERROR(__xludf.DUMMYFUNCTION("""COMPUTED_VALUE"""),2017.0)</f>
        <v>2017</v>
      </c>
      <c r="B944" s="6" t="str">
        <f>IFERROR(__xludf.DUMMYFUNCTION("""COMPUTED_VALUE"""),"Março")</f>
        <v>Março</v>
      </c>
      <c r="C944" s="6" t="str">
        <f>IFERROR(__xludf.DUMMYFUNCTION("""COMPUTED_VALUE"""),"CALÚNIA - DIFAMAÇÃO - INJÚRIA")</f>
        <v>CALÚNIA - DIFAMAÇÃO - INJÚRIA</v>
      </c>
      <c r="D944" s="6">
        <f>IFERROR(__xludf.DUMMYFUNCTION("""COMPUTED_VALUE"""),187.0)</f>
        <v>187</v>
      </c>
      <c r="E944" s="6">
        <f>IFERROR(__xludf.DUMMYFUNCTION("""COMPUTED_VALUE"""),159.0)</f>
        <v>159</v>
      </c>
      <c r="F944" s="6">
        <f>IFERROR(__xludf.DUMMYFUNCTION("""COMPUTED_VALUE"""),694.0)</f>
        <v>694</v>
      </c>
      <c r="G944" s="6">
        <f>IFERROR(__xludf.DUMMYFUNCTION("""COMPUTED_VALUE"""),1040.0)</f>
        <v>1040</v>
      </c>
    </row>
    <row r="945">
      <c r="A945" s="6">
        <f>IFERROR(__xludf.DUMMYFUNCTION("""COMPUTED_VALUE"""),2017.0)</f>
        <v>2017</v>
      </c>
      <c r="B945" s="6" t="str">
        <f>IFERROR(__xludf.DUMMYFUNCTION("""COMPUTED_VALUE"""),"Março")</f>
        <v>Março</v>
      </c>
      <c r="C945" s="6" t="str">
        <f>IFERROR(__xludf.DUMMYFUNCTION("""COMPUTED_VALUE"""),"CONSTRANGIMENTO ILEGAL")</f>
        <v>CONSTRANGIMENTO ILEGAL</v>
      </c>
      <c r="D945" s="6">
        <f>IFERROR(__xludf.DUMMYFUNCTION("""COMPUTED_VALUE"""),1.0)</f>
        <v>1</v>
      </c>
      <c r="E945" s="6">
        <f>IFERROR(__xludf.DUMMYFUNCTION("""COMPUTED_VALUE"""),0.0)</f>
        <v>0</v>
      </c>
      <c r="F945" s="6">
        <f>IFERROR(__xludf.DUMMYFUNCTION("""COMPUTED_VALUE"""),6.0)</f>
        <v>6</v>
      </c>
      <c r="G945" s="6">
        <f>IFERROR(__xludf.DUMMYFUNCTION("""COMPUTED_VALUE"""),7.0)</f>
        <v>7</v>
      </c>
    </row>
    <row r="946">
      <c r="A946" s="6">
        <f>IFERROR(__xludf.DUMMYFUNCTION("""COMPUTED_VALUE"""),2017.0)</f>
        <v>2017</v>
      </c>
      <c r="B946" s="6" t="str">
        <f>IFERROR(__xludf.DUMMYFUNCTION("""COMPUTED_VALUE"""),"Março")</f>
        <v>Março</v>
      </c>
      <c r="C946" s="6" t="str">
        <f>IFERROR(__xludf.DUMMYFUNCTION("""COMPUTED_VALUE"""),"AMEAÇA")</f>
        <v>AMEAÇA</v>
      </c>
      <c r="D946" s="6">
        <f>IFERROR(__xludf.DUMMYFUNCTION("""COMPUTED_VALUE"""),872.0)</f>
        <v>872</v>
      </c>
      <c r="E946" s="6">
        <f>IFERROR(__xludf.DUMMYFUNCTION("""COMPUTED_VALUE"""),804.0)</f>
        <v>804</v>
      </c>
      <c r="F946" s="6">
        <f>IFERROR(__xludf.DUMMYFUNCTION("""COMPUTED_VALUE"""),2984.0)</f>
        <v>2984</v>
      </c>
      <c r="G946" s="6">
        <f>IFERROR(__xludf.DUMMYFUNCTION("""COMPUTED_VALUE"""),4660.0)</f>
        <v>4660</v>
      </c>
    </row>
    <row r="947">
      <c r="A947" s="6">
        <f>IFERROR(__xludf.DUMMYFUNCTION("""COMPUTED_VALUE"""),2017.0)</f>
        <v>2017</v>
      </c>
      <c r="B947" s="6" t="str">
        <f>IFERROR(__xludf.DUMMYFUNCTION("""COMPUTED_VALUE"""),"Março")</f>
        <v>Março</v>
      </c>
      <c r="C947" s="6" t="str">
        <f>IFERROR(__xludf.DUMMYFUNCTION("""COMPUTED_VALUE"""),"INVASÃO DE DOMICÍLIO")</f>
        <v>INVASÃO DE DOMICÍLIO</v>
      </c>
      <c r="D947" s="6">
        <f>IFERROR(__xludf.DUMMYFUNCTION("""COMPUTED_VALUE"""),1.0)</f>
        <v>1</v>
      </c>
      <c r="E947" s="6">
        <f>IFERROR(__xludf.DUMMYFUNCTION("""COMPUTED_VALUE"""),2.0)</f>
        <v>2</v>
      </c>
      <c r="F947" s="6">
        <f>IFERROR(__xludf.DUMMYFUNCTION("""COMPUTED_VALUE"""),13.0)</f>
        <v>13</v>
      </c>
      <c r="G947" s="6">
        <f>IFERROR(__xludf.DUMMYFUNCTION("""COMPUTED_VALUE"""),16.0)</f>
        <v>16</v>
      </c>
    </row>
    <row r="948">
      <c r="A948" s="6">
        <f>IFERROR(__xludf.DUMMYFUNCTION("""COMPUTED_VALUE"""),2017.0)</f>
        <v>2017</v>
      </c>
      <c r="B948" s="6" t="str">
        <f>IFERROR(__xludf.DUMMYFUNCTION("""COMPUTED_VALUE"""),"Março")</f>
        <v>Março</v>
      </c>
      <c r="C948" s="6" t="str">
        <f>IFERROR(__xludf.DUMMYFUNCTION("""COMPUTED_VALUE"""),"DANO")</f>
        <v>DANO</v>
      </c>
      <c r="D948" s="6">
        <f>IFERROR(__xludf.DUMMYFUNCTION("""COMPUTED_VALUE"""),11.0)</f>
        <v>11</v>
      </c>
      <c r="E948" s="6">
        <f>IFERROR(__xludf.DUMMYFUNCTION("""COMPUTED_VALUE"""),10.0)</f>
        <v>10</v>
      </c>
      <c r="F948" s="6">
        <f>IFERROR(__xludf.DUMMYFUNCTION("""COMPUTED_VALUE"""),54.0)</f>
        <v>54</v>
      </c>
      <c r="G948" s="6">
        <f>IFERROR(__xludf.DUMMYFUNCTION("""COMPUTED_VALUE"""),75.0)</f>
        <v>75</v>
      </c>
    </row>
    <row r="949">
      <c r="A949" s="6">
        <f>IFERROR(__xludf.DUMMYFUNCTION("""COMPUTED_VALUE"""),2017.0)</f>
        <v>2017</v>
      </c>
      <c r="B949" s="6" t="str">
        <f>IFERROR(__xludf.DUMMYFUNCTION("""COMPUTED_VALUE"""),"Março")</f>
        <v>Março</v>
      </c>
      <c r="C949" s="6" t="str">
        <f>IFERROR(__xludf.DUMMYFUNCTION("""COMPUTED_VALUE"""),"ESTUPRO CONSUMADO")</f>
        <v>ESTUPRO CONSUMADO</v>
      </c>
      <c r="D949" s="6">
        <f>IFERROR(__xludf.DUMMYFUNCTION("""COMPUTED_VALUE"""),10.0)</f>
        <v>10</v>
      </c>
      <c r="E949" s="6">
        <f>IFERROR(__xludf.DUMMYFUNCTION("""COMPUTED_VALUE"""),7.0)</f>
        <v>7</v>
      </c>
      <c r="F949" s="6">
        <f>IFERROR(__xludf.DUMMYFUNCTION("""COMPUTED_VALUE"""),17.0)</f>
        <v>17</v>
      </c>
      <c r="G949" s="6">
        <f>IFERROR(__xludf.DUMMYFUNCTION("""COMPUTED_VALUE"""),34.0)</f>
        <v>34</v>
      </c>
    </row>
    <row r="950">
      <c r="A950" s="6">
        <f>IFERROR(__xludf.DUMMYFUNCTION("""COMPUTED_VALUE"""),2017.0)</f>
        <v>2017</v>
      </c>
      <c r="B950" s="6" t="str">
        <f>IFERROR(__xludf.DUMMYFUNCTION("""COMPUTED_VALUE"""),"Março")</f>
        <v>Março</v>
      </c>
      <c r="C950" s="6" t="str">
        <f>IFERROR(__xludf.DUMMYFUNCTION("""COMPUTED_VALUE"""),"ESTUPRO TENTADO")</f>
        <v>ESTUPRO TENTADO</v>
      </c>
      <c r="D950" s="6">
        <f>IFERROR(__xludf.DUMMYFUNCTION("""COMPUTED_VALUE"""),0.0)</f>
        <v>0</v>
      </c>
      <c r="E950" s="6">
        <f>IFERROR(__xludf.DUMMYFUNCTION("""COMPUTED_VALUE"""),0.0)</f>
        <v>0</v>
      </c>
      <c r="F950" s="6">
        <f>IFERROR(__xludf.DUMMYFUNCTION("""COMPUTED_VALUE"""),1.0)</f>
        <v>1</v>
      </c>
      <c r="G950" s="6">
        <f>IFERROR(__xludf.DUMMYFUNCTION("""COMPUTED_VALUE"""),1.0)</f>
        <v>1</v>
      </c>
    </row>
    <row r="951">
      <c r="A951" s="6">
        <f>IFERROR(__xludf.DUMMYFUNCTION("""COMPUTED_VALUE"""),2017.0)</f>
        <v>2017</v>
      </c>
      <c r="B951" s="6" t="str">
        <f>IFERROR(__xludf.DUMMYFUNCTION("""COMPUTED_VALUE"""),"Março")</f>
        <v>Março</v>
      </c>
      <c r="C951" s="6" t="str">
        <f>IFERROR(__xludf.DUMMYFUNCTION("""COMPUTED_VALUE"""),"ESTUPRO DE VULNERÁVEL CONSUMADO")</f>
        <v>ESTUPRO DE VULNERÁVEL CONSUMADO</v>
      </c>
      <c r="D951" s="6">
        <f>IFERROR(__xludf.DUMMYFUNCTION("""COMPUTED_VALUE"""),3.0)</f>
        <v>3</v>
      </c>
      <c r="E951" s="6">
        <f>IFERROR(__xludf.DUMMYFUNCTION("""COMPUTED_VALUE"""),4.0)</f>
        <v>4</v>
      </c>
      <c r="F951" s="6">
        <f>IFERROR(__xludf.DUMMYFUNCTION("""COMPUTED_VALUE"""),17.0)</f>
        <v>17</v>
      </c>
      <c r="G951" s="6">
        <f>IFERROR(__xludf.DUMMYFUNCTION("""COMPUTED_VALUE"""),24.0)</f>
        <v>24</v>
      </c>
    </row>
    <row r="952">
      <c r="A952" s="6">
        <f>IFERROR(__xludf.DUMMYFUNCTION("""COMPUTED_VALUE"""),2017.0)</f>
        <v>2017</v>
      </c>
      <c r="B952" s="6" t="str">
        <f>IFERROR(__xludf.DUMMYFUNCTION("""COMPUTED_VALUE"""),"Março")</f>
        <v>Março</v>
      </c>
      <c r="C952" s="6" t="str">
        <f>IFERROR(__xludf.DUMMYFUNCTION("""COMPUTED_VALUE"""),"OUTROS C/C/ DIGNIDADE SEXUAL")</f>
        <v>OUTROS C/C/ DIGNIDADE SEXUAL</v>
      </c>
      <c r="D952" s="6">
        <f>IFERROR(__xludf.DUMMYFUNCTION("""COMPUTED_VALUE"""),0.0)</f>
        <v>0</v>
      </c>
      <c r="E952" s="6">
        <f>IFERROR(__xludf.DUMMYFUNCTION("""COMPUTED_VALUE"""),0.0)</f>
        <v>0</v>
      </c>
      <c r="F952" s="6">
        <f>IFERROR(__xludf.DUMMYFUNCTION("""COMPUTED_VALUE"""),2.0)</f>
        <v>2</v>
      </c>
      <c r="G952" s="6">
        <f>IFERROR(__xludf.DUMMYFUNCTION("""COMPUTED_VALUE"""),2.0)</f>
        <v>2</v>
      </c>
    </row>
    <row r="953">
      <c r="A953" s="6">
        <f>IFERROR(__xludf.DUMMYFUNCTION("""COMPUTED_VALUE"""),2017.0)</f>
        <v>2017</v>
      </c>
      <c r="B953" s="6" t="str">
        <f>IFERROR(__xludf.DUMMYFUNCTION("""COMPUTED_VALUE"""),"Abril")</f>
        <v>Abril</v>
      </c>
      <c r="C953" s="6" t="str">
        <f>IFERROR(__xludf.DUMMYFUNCTION("""COMPUTED_VALUE"""),"HOMICÍDIO DOLOSO (exclui FEMINICÍDIO)")</f>
        <v>HOMICÍDIO DOLOSO (exclui FEMINICÍDIO)</v>
      </c>
      <c r="D953" s="6">
        <f>IFERROR(__xludf.DUMMYFUNCTION("""COMPUTED_VALUE"""),1.0)</f>
        <v>1</v>
      </c>
      <c r="E953" s="6">
        <f>IFERROR(__xludf.DUMMYFUNCTION("""COMPUTED_VALUE"""),0.0)</f>
        <v>0</v>
      </c>
      <c r="F953" s="6">
        <f>IFERROR(__xludf.DUMMYFUNCTION("""COMPUTED_VALUE"""),1.0)</f>
        <v>1</v>
      </c>
      <c r="G953" s="6">
        <f>IFERROR(__xludf.DUMMYFUNCTION("""COMPUTED_VALUE"""),2.0)</f>
        <v>2</v>
      </c>
    </row>
    <row r="954">
      <c r="A954" s="6">
        <f>IFERROR(__xludf.DUMMYFUNCTION("""COMPUTED_VALUE"""),2017.0)</f>
        <v>2017</v>
      </c>
      <c r="B954" s="6" t="str">
        <f>IFERROR(__xludf.DUMMYFUNCTION("""COMPUTED_VALUE"""),"Abril")</f>
        <v>Abril</v>
      </c>
      <c r="C954" s="6" t="str">
        <f>IFERROR(__xludf.DUMMYFUNCTION("""COMPUTED_VALUE"""),"FEMINICÍDIO")</f>
        <v>FEMINICÍDIO</v>
      </c>
      <c r="D954" s="6">
        <f>IFERROR(__xludf.DUMMYFUNCTION("""COMPUTED_VALUE"""),1.0)</f>
        <v>1</v>
      </c>
      <c r="E954" s="6">
        <f>IFERROR(__xludf.DUMMYFUNCTION("""COMPUTED_VALUE"""),2.0)</f>
        <v>2</v>
      </c>
      <c r="F954" s="6">
        <f>IFERROR(__xludf.DUMMYFUNCTION("""COMPUTED_VALUE"""),2.0)</f>
        <v>2</v>
      </c>
      <c r="G954" s="6">
        <f>IFERROR(__xludf.DUMMYFUNCTION("""COMPUTED_VALUE"""),5.0)</f>
        <v>5</v>
      </c>
    </row>
    <row r="955">
      <c r="A955" s="6">
        <f>IFERROR(__xludf.DUMMYFUNCTION("""COMPUTED_VALUE"""),2017.0)</f>
        <v>2017</v>
      </c>
      <c r="B955" s="6" t="str">
        <f>IFERROR(__xludf.DUMMYFUNCTION("""COMPUTED_VALUE"""),"Abril")</f>
        <v>Abril</v>
      </c>
      <c r="C955" s="6" t="str">
        <f>IFERROR(__xludf.DUMMYFUNCTION("""COMPUTED_VALUE"""),"HOMICÍDIO CULPOSO")</f>
        <v>HOMICÍDIO CULPOSO</v>
      </c>
      <c r="D955" s="6">
        <f>IFERROR(__xludf.DUMMYFUNCTION("""COMPUTED_VALUE"""),0.0)</f>
        <v>0</v>
      </c>
      <c r="E955" s="6">
        <f>IFERROR(__xludf.DUMMYFUNCTION("""COMPUTED_VALUE"""),0.0)</f>
        <v>0</v>
      </c>
      <c r="F955" s="6">
        <f>IFERROR(__xludf.DUMMYFUNCTION("""COMPUTED_VALUE"""),0.0)</f>
        <v>0</v>
      </c>
      <c r="G955" s="6">
        <f>IFERROR(__xludf.DUMMYFUNCTION("""COMPUTED_VALUE"""),0.0)</f>
        <v>0</v>
      </c>
    </row>
    <row r="956">
      <c r="A956" s="6">
        <f>IFERROR(__xludf.DUMMYFUNCTION("""COMPUTED_VALUE"""),2017.0)</f>
        <v>2017</v>
      </c>
      <c r="B956" s="6" t="str">
        <f>IFERROR(__xludf.DUMMYFUNCTION("""COMPUTED_VALUE"""),"Abril")</f>
        <v>Abril</v>
      </c>
      <c r="C956" s="6" t="str">
        <f>IFERROR(__xludf.DUMMYFUNCTION("""COMPUTED_VALUE"""),"TENTATIVA DE HOMICÍDIO")</f>
        <v>TENTATIVA DE HOMICÍDIO</v>
      </c>
      <c r="D956" s="6">
        <f>IFERROR(__xludf.DUMMYFUNCTION("""COMPUTED_VALUE"""),1.0)</f>
        <v>1</v>
      </c>
      <c r="E956" s="6">
        <f>IFERROR(__xludf.DUMMYFUNCTION("""COMPUTED_VALUE"""),1.0)</f>
        <v>1</v>
      </c>
      <c r="F956" s="6">
        <f>IFERROR(__xludf.DUMMYFUNCTION("""COMPUTED_VALUE"""),11.0)</f>
        <v>11</v>
      </c>
      <c r="G956" s="6">
        <f>IFERROR(__xludf.DUMMYFUNCTION("""COMPUTED_VALUE"""),13.0)</f>
        <v>13</v>
      </c>
    </row>
    <row r="957">
      <c r="A957" s="6">
        <f>IFERROR(__xludf.DUMMYFUNCTION("""COMPUTED_VALUE"""),2017.0)</f>
        <v>2017</v>
      </c>
      <c r="B957" s="6" t="str">
        <f>IFERROR(__xludf.DUMMYFUNCTION("""COMPUTED_VALUE"""),"Abril")</f>
        <v>Abril</v>
      </c>
      <c r="C957" s="6" t="str">
        <f>IFERROR(__xludf.DUMMYFUNCTION("""COMPUTED_VALUE"""),"LESÃO CORPORAL DOLOSA")</f>
        <v>LESÃO CORPORAL DOLOSA</v>
      </c>
      <c r="D957" s="6">
        <f>IFERROR(__xludf.DUMMYFUNCTION("""COMPUTED_VALUE"""),912.0)</f>
        <v>912</v>
      </c>
      <c r="E957" s="6">
        <f>IFERROR(__xludf.DUMMYFUNCTION("""COMPUTED_VALUE"""),784.0)</f>
        <v>784</v>
      </c>
      <c r="F957" s="6">
        <f>IFERROR(__xludf.DUMMYFUNCTION("""COMPUTED_VALUE"""),2814.0)</f>
        <v>2814</v>
      </c>
      <c r="G957" s="6">
        <f>IFERROR(__xludf.DUMMYFUNCTION("""COMPUTED_VALUE"""),4510.0)</f>
        <v>4510</v>
      </c>
    </row>
    <row r="958">
      <c r="A958" s="6">
        <f>IFERROR(__xludf.DUMMYFUNCTION("""COMPUTED_VALUE"""),2017.0)</f>
        <v>2017</v>
      </c>
      <c r="B958" s="6" t="str">
        <f>IFERROR(__xludf.DUMMYFUNCTION("""COMPUTED_VALUE"""),"Abril")</f>
        <v>Abril</v>
      </c>
      <c r="C958" s="6" t="str">
        <f>IFERROR(__xludf.DUMMYFUNCTION("""COMPUTED_VALUE"""),"MAUS TRATOS")</f>
        <v>MAUS TRATOS</v>
      </c>
      <c r="D958" s="6">
        <f>IFERROR(__xludf.DUMMYFUNCTION("""COMPUTED_VALUE"""),2.0)</f>
        <v>2</v>
      </c>
      <c r="E958" s="6">
        <f>IFERROR(__xludf.DUMMYFUNCTION("""COMPUTED_VALUE"""),2.0)</f>
        <v>2</v>
      </c>
      <c r="F958" s="6">
        <f>IFERROR(__xludf.DUMMYFUNCTION("""COMPUTED_VALUE"""),14.0)</f>
        <v>14</v>
      </c>
      <c r="G958" s="6">
        <f>IFERROR(__xludf.DUMMYFUNCTION("""COMPUTED_VALUE"""),18.0)</f>
        <v>18</v>
      </c>
    </row>
    <row r="959">
      <c r="A959" s="6">
        <f>IFERROR(__xludf.DUMMYFUNCTION("""COMPUTED_VALUE"""),2017.0)</f>
        <v>2017</v>
      </c>
      <c r="B959" s="6" t="str">
        <f>IFERROR(__xludf.DUMMYFUNCTION("""COMPUTED_VALUE"""),"Abril")</f>
        <v>Abril</v>
      </c>
      <c r="C959" s="6" t="str">
        <f>IFERROR(__xludf.DUMMYFUNCTION("""COMPUTED_VALUE"""),"CALÚNIA - DIFAMAÇÃO - INJÚRIA")</f>
        <v>CALÚNIA - DIFAMAÇÃO - INJÚRIA</v>
      </c>
      <c r="D959" s="6">
        <f>IFERROR(__xludf.DUMMYFUNCTION("""COMPUTED_VALUE"""),178.0)</f>
        <v>178</v>
      </c>
      <c r="E959" s="6">
        <f>IFERROR(__xludf.DUMMYFUNCTION("""COMPUTED_VALUE"""),151.0)</f>
        <v>151</v>
      </c>
      <c r="F959" s="6">
        <f>IFERROR(__xludf.DUMMYFUNCTION("""COMPUTED_VALUE"""),654.0)</f>
        <v>654</v>
      </c>
      <c r="G959" s="6">
        <f>IFERROR(__xludf.DUMMYFUNCTION("""COMPUTED_VALUE"""),983.0)</f>
        <v>983</v>
      </c>
    </row>
    <row r="960">
      <c r="A960" s="6">
        <f>IFERROR(__xludf.DUMMYFUNCTION("""COMPUTED_VALUE"""),2017.0)</f>
        <v>2017</v>
      </c>
      <c r="B960" s="6" t="str">
        <f>IFERROR(__xludf.DUMMYFUNCTION("""COMPUTED_VALUE"""),"Abril")</f>
        <v>Abril</v>
      </c>
      <c r="C960" s="6" t="str">
        <f>IFERROR(__xludf.DUMMYFUNCTION("""COMPUTED_VALUE"""),"CONSTRANGIMENTO ILEGAL")</f>
        <v>CONSTRANGIMENTO ILEGAL</v>
      </c>
      <c r="D960" s="6">
        <f>IFERROR(__xludf.DUMMYFUNCTION("""COMPUTED_VALUE"""),1.0)</f>
        <v>1</v>
      </c>
      <c r="E960" s="6">
        <f>IFERROR(__xludf.DUMMYFUNCTION("""COMPUTED_VALUE"""),0.0)</f>
        <v>0</v>
      </c>
      <c r="F960" s="6">
        <f>IFERROR(__xludf.DUMMYFUNCTION("""COMPUTED_VALUE"""),5.0)</f>
        <v>5</v>
      </c>
      <c r="G960" s="6">
        <f>IFERROR(__xludf.DUMMYFUNCTION("""COMPUTED_VALUE"""),6.0)</f>
        <v>6</v>
      </c>
    </row>
    <row r="961">
      <c r="A961" s="6">
        <f>IFERROR(__xludf.DUMMYFUNCTION("""COMPUTED_VALUE"""),2017.0)</f>
        <v>2017</v>
      </c>
      <c r="B961" s="6" t="str">
        <f>IFERROR(__xludf.DUMMYFUNCTION("""COMPUTED_VALUE"""),"Abril")</f>
        <v>Abril</v>
      </c>
      <c r="C961" s="6" t="str">
        <f>IFERROR(__xludf.DUMMYFUNCTION("""COMPUTED_VALUE"""),"AMEAÇA")</f>
        <v>AMEAÇA</v>
      </c>
      <c r="D961" s="6">
        <f>IFERROR(__xludf.DUMMYFUNCTION("""COMPUTED_VALUE"""),842.0)</f>
        <v>842</v>
      </c>
      <c r="E961" s="6">
        <f>IFERROR(__xludf.DUMMYFUNCTION("""COMPUTED_VALUE"""),771.0)</f>
        <v>771</v>
      </c>
      <c r="F961" s="6">
        <f>IFERROR(__xludf.DUMMYFUNCTION("""COMPUTED_VALUE"""),2884.0)</f>
        <v>2884</v>
      </c>
      <c r="G961" s="6">
        <f>IFERROR(__xludf.DUMMYFUNCTION("""COMPUTED_VALUE"""),4497.0)</f>
        <v>4497</v>
      </c>
    </row>
    <row r="962">
      <c r="A962" s="6">
        <f>IFERROR(__xludf.DUMMYFUNCTION("""COMPUTED_VALUE"""),2017.0)</f>
        <v>2017</v>
      </c>
      <c r="B962" s="6" t="str">
        <f>IFERROR(__xludf.DUMMYFUNCTION("""COMPUTED_VALUE"""),"Abril")</f>
        <v>Abril</v>
      </c>
      <c r="C962" s="6" t="str">
        <f>IFERROR(__xludf.DUMMYFUNCTION("""COMPUTED_VALUE"""),"INVASÃO DE DOMICÍLIO")</f>
        <v>INVASÃO DE DOMICÍLIO</v>
      </c>
      <c r="D962" s="6">
        <f>IFERROR(__xludf.DUMMYFUNCTION("""COMPUTED_VALUE"""),1.0)</f>
        <v>1</v>
      </c>
      <c r="E962" s="6">
        <f>IFERROR(__xludf.DUMMYFUNCTION("""COMPUTED_VALUE"""),1.0)</f>
        <v>1</v>
      </c>
      <c r="F962" s="6">
        <f>IFERROR(__xludf.DUMMYFUNCTION("""COMPUTED_VALUE"""),11.0)</f>
        <v>11</v>
      </c>
      <c r="G962" s="6">
        <f>IFERROR(__xludf.DUMMYFUNCTION("""COMPUTED_VALUE"""),13.0)</f>
        <v>13</v>
      </c>
    </row>
    <row r="963">
      <c r="A963" s="6">
        <f>IFERROR(__xludf.DUMMYFUNCTION("""COMPUTED_VALUE"""),2017.0)</f>
        <v>2017</v>
      </c>
      <c r="B963" s="6" t="str">
        <f>IFERROR(__xludf.DUMMYFUNCTION("""COMPUTED_VALUE"""),"Abril")</f>
        <v>Abril</v>
      </c>
      <c r="C963" s="6" t="str">
        <f>IFERROR(__xludf.DUMMYFUNCTION("""COMPUTED_VALUE"""),"DANO")</f>
        <v>DANO</v>
      </c>
      <c r="D963" s="6">
        <f>IFERROR(__xludf.DUMMYFUNCTION("""COMPUTED_VALUE"""),9.0)</f>
        <v>9</v>
      </c>
      <c r="E963" s="6">
        <f>IFERROR(__xludf.DUMMYFUNCTION("""COMPUTED_VALUE"""),9.0)</f>
        <v>9</v>
      </c>
      <c r="F963" s="6">
        <f>IFERROR(__xludf.DUMMYFUNCTION("""COMPUTED_VALUE"""),51.0)</f>
        <v>51</v>
      </c>
      <c r="G963" s="6">
        <f>IFERROR(__xludf.DUMMYFUNCTION("""COMPUTED_VALUE"""),69.0)</f>
        <v>69</v>
      </c>
    </row>
    <row r="964">
      <c r="A964" s="6">
        <f>IFERROR(__xludf.DUMMYFUNCTION("""COMPUTED_VALUE"""),2017.0)</f>
        <v>2017</v>
      </c>
      <c r="B964" s="6" t="str">
        <f>IFERROR(__xludf.DUMMYFUNCTION("""COMPUTED_VALUE"""),"Abril")</f>
        <v>Abril</v>
      </c>
      <c r="C964" s="6" t="str">
        <f>IFERROR(__xludf.DUMMYFUNCTION("""COMPUTED_VALUE"""),"ESTUPRO CONSUMADO")</f>
        <v>ESTUPRO CONSUMADO</v>
      </c>
      <c r="D964" s="6">
        <f>IFERROR(__xludf.DUMMYFUNCTION("""COMPUTED_VALUE"""),9.0)</f>
        <v>9</v>
      </c>
      <c r="E964" s="6">
        <f>IFERROR(__xludf.DUMMYFUNCTION("""COMPUTED_VALUE"""),6.0)</f>
        <v>6</v>
      </c>
      <c r="F964" s="6">
        <f>IFERROR(__xludf.DUMMYFUNCTION("""COMPUTED_VALUE"""),16.0)</f>
        <v>16</v>
      </c>
      <c r="G964" s="6">
        <f>IFERROR(__xludf.DUMMYFUNCTION("""COMPUTED_VALUE"""),31.0)</f>
        <v>31</v>
      </c>
    </row>
    <row r="965">
      <c r="A965" s="6">
        <f>IFERROR(__xludf.DUMMYFUNCTION("""COMPUTED_VALUE"""),2017.0)</f>
        <v>2017</v>
      </c>
      <c r="B965" s="6" t="str">
        <f>IFERROR(__xludf.DUMMYFUNCTION("""COMPUTED_VALUE"""),"Abril")</f>
        <v>Abril</v>
      </c>
      <c r="C965" s="6" t="str">
        <f>IFERROR(__xludf.DUMMYFUNCTION("""COMPUTED_VALUE"""),"ESTUPRO TENTADO")</f>
        <v>ESTUPRO TENTADO</v>
      </c>
      <c r="D965" s="6">
        <f>IFERROR(__xludf.DUMMYFUNCTION("""COMPUTED_VALUE"""),0.0)</f>
        <v>0</v>
      </c>
      <c r="E965" s="6">
        <f>IFERROR(__xludf.DUMMYFUNCTION("""COMPUTED_VALUE"""),0.0)</f>
        <v>0</v>
      </c>
      <c r="F965" s="6">
        <f>IFERROR(__xludf.DUMMYFUNCTION("""COMPUTED_VALUE"""),1.0)</f>
        <v>1</v>
      </c>
      <c r="G965" s="6">
        <f>IFERROR(__xludf.DUMMYFUNCTION("""COMPUTED_VALUE"""),1.0)</f>
        <v>1</v>
      </c>
    </row>
    <row r="966">
      <c r="A966" s="6">
        <f>IFERROR(__xludf.DUMMYFUNCTION("""COMPUTED_VALUE"""),2017.0)</f>
        <v>2017</v>
      </c>
      <c r="B966" s="6" t="str">
        <f>IFERROR(__xludf.DUMMYFUNCTION("""COMPUTED_VALUE"""),"Abril")</f>
        <v>Abril</v>
      </c>
      <c r="C966" s="6" t="str">
        <f>IFERROR(__xludf.DUMMYFUNCTION("""COMPUTED_VALUE"""),"ESTUPRO DE VULNERÁVEL CONSUMADO")</f>
        <v>ESTUPRO DE VULNERÁVEL CONSUMADO</v>
      </c>
      <c r="D966" s="6">
        <f>IFERROR(__xludf.DUMMYFUNCTION("""COMPUTED_VALUE"""),2.0)</f>
        <v>2</v>
      </c>
      <c r="E966" s="6">
        <f>IFERROR(__xludf.DUMMYFUNCTION("""COMPUTED_VALUE"""),3.0)</f>
        <v>3</v>
      </c>
      <c r="F966" s="6">
        <f>IFERROR(__xludf.DUMMYFUNCTION("""COMPUTED_VALUE"""),15.0)</f>
        <v>15</v>
      </c>
      <c r="G966" s="6">
        <f>IFERROR(__xludf.DUMMYFUNCTION("""COMPUTED_VALUE"""),20.0)</f>
        <v>20</v>
      </c>
    </row>
    <row r="967">
      <c r="A967" s="6">
        <f>IFERROR(__xludf.DUMMYFUNCTION("""COMPUTED_VALUE"""),2017.0)</f>
        <v>2017</v>
      </c>
      <c r="B967" s="6" t="str">
        <f>IFERROR(__xludf.DUMMYFUNCTION("""COMPUTED_VALUE"""),"Abril")</f>
        <v>Abril</v>
      </c>
      <c r="C967" s="6" t="str">
        <f>IFERROR(__xludf.DUMMYFUNCTION("""COMPUTED_VALUE"""),"OUTROS C/C/ DIGNIDADE SEXUAL")</f>
        <v>OUTROS C/C/ DIGNIDADE SEXUAL</v>
      </c>
      <c r="D967" s="6">
        <f>IFERROR(__xludf.DUMMYFUNCTION("""COMPUTED_VALUE"""),0.0)</f>
        <v>0</v>
      </c>
      <c r="E967" s="6">
        <f>IFERROR(__xludf.DUMMYFUNCTION("""COMPUTED_VALUE"""),0.0)</f>
        <v>0</v>
      </c>
      <c r="F967" s="6">
        <f>IFERROR(__xludf.DUMMYFUNCTION("""COMPUTED_VALUE"""),1.0)</f>
        <v>1</v>
      </c>
      <c r="G967" s="6">
        <f>IFERROR(__xludf.DUMMYFUNCTION("""COMPUTED_VALUE"""),1.0)</f>
        <v>1</v>
      </c>
    </row>
    <row r="968">
      <c r="A968" s="6">
        <f>IFERROR(__xludf.DUMMYFUNCTION("""COMPUTED_VALUE"""),2017.0)</f>
        <v>2017</v>
      </c>
      <c r="B968" s="6" t="str">
        <f>IFERROR(__xludf.DUMMYFUNCTION("""COMPUTED_VALUE"""),"Maio")</f>
        <v>Maio</v>
      </c>
      <c r="C968" s="6" t="str">
        <f>IFERROR(__xludf.DUMMYFUNCTION("""COMPUTED_VALUE"""),"HOMICÍDIO DOLOSO (exclui FEMINICÍDIO)")</f>
        <v>HOMICÍDIO DOLOSO (exclui FEMINICÍDIO)</v>
      </c>
      <c r="D968" s="6">
        <f>IFERROR(__xludf.DUMMYFUNCTION("""COMPUTED_VALUE"""),2.0)</f>
        <v>2</v>
      </c>
      <c r="E968" s="6">
        <f>IFERROR(__xludf.DUMMYFUNCTION("""COMPUTED_VALUE"""),1.0)</f>
        <v>1</v>
      </c>
      <c r="F968" s="6">
        <f>IFERROR(__xludf.DUMMYFUNCTION("""COMPUTED_VALUE"""),3.0)</f>
        <v>3</v>
      </c>
      <c r="G968" s="6">
        <f>IFERROR(__xludf.DUMMYFUNCTION("""COMPUTED_VALUE"""),6.0)</f>
        <v>6</v>
      </c>
    </row>
    <row r="969">
      <c r="A969" s="6">
        <f>IFERROR(__xludf.DUMMYFUNCTION("""COMPUTED_VALUE"""),2017.0)</f>
        <v>2017</v>
      </c>
      <c r="B969" s="6" t="str">
        <f>IFERROR(__xludf.DUMMYFUNCTION("""COMPUTED_VALUE"""),"Maio")</f>
        <v>Maio</v>
      </c>
      <c r="C969" s="6" t="str">
        <f>IFERROR(__xludf.DUMMYFUNCTION("""COMPUTED_VALUE"""),"FEMINICÍDIO")</f>
        <v>FEMINICÍDIO</v>
      </c>
      <c r="D969" s="6">
        <f>IFERROR(__xludf.DUMMYFUNCTION("""COMPUTED_VALUE"""),2.0)</f>
        <v>2</v>
      </c>
      <c r="E969" s="6">
        <f>IFERROR(__xludf.DUMMYFUNCTION("""COMPUTED_VALUE"""),1.0)</f>
        <v>1</v>
      </c>
      <c r="F969" s="6">
        <f>IFERROR(__xludf.DUMMYFUNCTION("""COMPUTED_VALUE"""),4.0)</f>
        <v>4</v>
      </c>
      <c r="G969" s="6">
        <f>IFERROR(__xludf.DUMMYFUNCTION("""COMPUTED_VALUE"""),7.0)</f>
        <v>7</v>
      </c>
    </row>
    <row r="970">
      <c r="A970" s="6">
        <f>IFERROR(__xludf.DUMMYFUNCTION("""COMPUTED_VALUE"""),2017.0)</f>
        <v>2017</v>
      </c>
      <c r="B970" s="6" t="str">
        <f>IFERROR(__xludf.DUMMYFUNCTION("""COMPUTED_VALUE"""),"Maio")</f>
        <v>Maio</v>
      </c>
      <c r="C970" s="6" t="str">
        <f>IFERROR(__xludf.DUMMYFUNCTION("""COMPUTED_VALUE"""),"HOMICÍDIO CULPOSO")</f>
        <v>HOMICÍDIO CULPOSO</v>
      </c>
      <c r="D970" s="6">
        <f>IFERROR(__xludf.DUMMYFUNCTION("""COMPUTED_VALUE"""),0.0)</f>
        <v>0</v>
      </c>
      <c r="E970" s="6">
        <f>IFERROR(__xludf.DUMMYFUNCTION("""COMPUTED_VALUE"""),0.0)</f>
        <v>0</v>
      </c>
      <c r="F970" s="6">
        <f>IFERROR(__xludf.DUMMYFUNCTION("""COMPUTED_VALUE"""),0.0)</f>
        <v>0</v>
      </c>
      <c r="G970" s="6">
        <f>IFERROR(__xludf.DUMMYFUNCTION("""COMPUTED_VALUE"""),0.0)</f>
        <v>0</v>
      </c>
    </row>
    <row r="971">
      <c r="A971" s="6">
        <f>IFERROR(__xludf.DUMMYFUNCTION("""COMPUTED_VALUE"""),2017.0)</f>
        <v>2017</v>
      </c>
      <c r="B971" s="6" t="str">
        <f>IFERROR(__xludf.DUMMYFUNCTION("""COMPUTED_VALUE"""),"Maio")</f>
        <v>Maio</v>
      </c>
      <c r="C971" s="6" t="str">
        <f>IFERROR(__xludf.DUMMYFUNCTION("""COMPUTED_VALUE"""),"TENTATIVA DE HOMICÍDIO")</f>
        <v>TENTATIVA DE HOMICÍDIO</v>
      </c>
      <c r="D971" s="6">
        <f>IFERROR(__xludf.DUMMYFUNCTION("""COMPUTED_VALUE"""),2.0)</f>
        <v>2</v>
      </c>
      <c r="E971" s="6">
        <f>IFERROR(__xludf.DUMMYFUNCTION("""COMPUTED_VALUE"""),2.0)</f>
        <v>2</v>
      </c>
      <c r="F971" s="6">
        <f>IFERROR(__xludf.DUMMYFUNCTION("""COMPUTED_VALUE"""),13.0)</f>
        <v>13</v>
      </c>
      <c r="G971" s="6">
        <f>IFERROR(__xludf.DUMMYFUNCTION("""COMPUTED_VALUE"""),17.0)</f>
        <v>17</v>
      </c>
    </row>
    <row r="972">
      <c r="A972" s="6">
        <f>IFERROR(__xludf.DUMMYFUNCTION("""COMPUTED_VALUE"""),2017.0)</f>
        <v>2017</v>
      </c>
      <c r="B972" s="6" t="str">
        <f>IFERROR(__xludf.DUMMYFUNCTION("""COMPUTED_VALUE"""),"Maio")</f>
        <v>Maio</v>
      </c>
      <c r="C972" s="6" t="str">
        <f>IFERROR(__xludf.DUMMYFUNCTION("""COMPUTED_VALUE"""),"LESÃO CORPORAL DOLOSA")</f>
        <v>LESÃO CORPORAL DOLOSA</v>
      </c>
      <c r="D972" s="6">
        <f>IFERROR(__xludf.DUMMYFUNCTION("""COMPUTED_VALUE"""),1014.0)</f>
        <v>1014</v>
      </c>
      <c r="E972" s="6">
        <f>IFERROR(__xludf.DUMMYFUNCTION("""COMPUTED_VALUE"""),864.0)</f>
        <v>864</v>
      </c>
      <c r="F972" s="6">
        <f>IFERROR(__xludf.DUMMYFUNCTION("""COMPUTED_VALUE"""),3118.0)</f>
        <v>3118</v>
      </c>
      <c r="G972" s="6">
        <f>IFERROR(__xludf.DUMMYFUNCTION("""COMPUTED_VALUE"""),4996.0)</f>
        <v>4996</v>
      </c>
    </row>
    <row r="973">
      <c r="A973" s="6">
        <f>IFERROR(__xludf.DUMMYFUNCTION("""COMPUTED_VALUE"""),2017.0)</f>
        <v>2017</v>
      </c>
      <c r="B973" s="6" t="str">
        <f>IFERROR(__xludf.DUMMYFUNCTION("""COMPUTED_VALUE"""),"Maio")</f>
        <v>Maio</v>
      </c>
      <c r="C973" s="6" t="str">
        <f>IFERROR(__xludf.DUMMYFUNCTION("""COMPUTED_VALUE"""),"MAUS TRATOS")</f>
        <v>MAUS TRATOS</v>
      </c>
      <c r="D973" s="6">
        <f>IFERROR(__xludf.DUMMYFUNCTION("""COMPUTED_VALUE"""),3.0)</f>
        <v>3</v>
      </c>
      <c r="E973" s="6">
        <f>IFERROR(__xludf.DUMMYFUNCTION("""COMPUTED_VALUE"""),2.0)</f>
        <v>2</v>
      </c>
      <c r="F973" s="6">
        <f>IFERROR(__xludf.DUMMYFUNCTION("""COMPUTED_VALUE"""),18.0)</f>
        <v>18</v>
      </c>
      <c r="G973" s="6">
        <f>IFERROR(__xludf.DUMMYFUNCTION("""COMPUTED_VALUE"""),23.0)</f>
        <v>23</v>
      </c>
    </row>
    <row r="974">
      <c r="A974" s="6">
        <f>IFERROR(__xludf.DUMMYFUNCTION("""COMPUTED_VALUE"""),2017.0)</f>
        <v>2017</v>
      </c>
      <c r="B974" s="6" t="str">
        <f>IFERROR(__xludf.DUMMYFUNCTION("""COMPUTED_VALUE"""),"Maio")</f>
        <v>Maio</v>
      </c>
      <c r="C974" s="6" t="str">
        <f>IFERROR(__xludf.DUMMYFUNCTION("""COMPUTED_VALUE"""),"CALÚNIA - DIFAMAÇÃO - INJÚRIA")</f>
        <v>CALÚNIA - DIFAMAÇÃO - INJÚRIA</v>
      </c>
      <c r="D974" s="6">
        <f>IFERROR(__xludf.DUMMYFUNCTION("""COMPUTED_VALUE"""),198.0)</f>
        <v>198</v>
      </c>
      <c r="E974" s="6">
        <f>IFERROR(__xludf.DUMMYFUNCTION("""COMPUTED_VALUE"""),168.0)</f>
        <v>168</v>
      </c>
      <c r="F974" s="6">
        <f>IFERROR(__xludf.DUMMYFUNCTION("""COMPUTED_VALUE"""),724.0)</f>
        <v>724</v>
      </c>
      <c r="G974" s="6">
        <f>IFERROR(__xludf.DUMMYFUNCTION("""COMPUTED_VALUE"""),1090.0)</f>
        <v>1090</v>
      </c>
    </row>
    <row r="975">
      <c r="A975" s="6">
        <f>IFERROR(__xludf.DUMMYFUNCTION("""COMPUTED_VALUE"""),2017.0)</f>
        <v>2017</v>
      </c>
      <c r="B975" s="6" t="str">
        <f>IFERROR(__xludf.DUMMYFUNCTION("""COMPUTED_VALUE"""),"Maio")</f>
        <v>Maio</v>
      </c>
      <c r="C975" s="6" t="str">
        <f>IFERROR(__xludf.DUMMYFUNCTION("""COMPUTED_VALUE"""),"CONSTRANGIMENTO ILEGAL")</f>
        <v>CONSTRANGIMENTO ILEGAL</v>
      </c>
      <c r="D975" s="6">
        <f>IFERROR(__xludf.DUMMYFUNCTION("""COMPUTED_VALUE"""),1.0)</f>
        <v>1</v>
      </c>
      <c r="E975" s="6">
        <f>IFERROR(__xludf.DUMMYFUNCTION("""COMPUTED_VALUE"""),1.0)</f>
        <v>1</v>
      </c>
      <c r="F975" s="6">
        <f>IFERROR(__xludf.DUMMYFUNCTION("""COMPUTED_VALUE"""),7.0)</f>
        <v>7</v>
      </c>
      <c r="G975" s="6">
        <f>IFERROR(__xludf.DUMMYFUNCTION("""COMPUTED_VALUE"""),9.0)</f>
        <v>9</v>
      </c>
    </row>
    <row r="976">
      <c r="A976" s="6">
        <f>IFERROR(__xludf.DUMMYFUNCTION("""COMPUTED_VALUE"""),2017.0)</f>
        <v>2017</v>
      </c>
      <c r="B976" s="6" t="str">
        <f>IFERROR(__xludf.DUMMYFUNCTION("""COMPUTED_VALUE"""),"Maio")</f>
        <v>Maio</v>
      </c>
      <c r="C976" s="6" t="str">
        <f>IFERROR(__xludf.DUMMYFUNCTION("""COMPUTED_VALUE"""),"AMEAÇA")</f>
        <v>AMEAÇA</v>
      </c>
      <c r="D976" s="6">
        <f>IFERROR(__xludf.DUMMYFUNCTION("""COMPUTED_VALUE"""),948.0)</f>
        <v>948</v>
      </c>
      <c r="E976" s="6">
        <f>IFERROR(__xludf.DUMMYFUNCTION("""COMPUTED_VALUE"""),852.0)</f>
        <v>852</v>
      </c>
      <c r="F976" s="6">
        <f>IFERROR(__xludf.DUMMYFUNCTION("""COMPUTED_VALUE"""),3214.0)</f>
        <v>3214</v>
      </c>
      <c r="G976" s="6">
        <f>IFERROR(__xludf.DUMMYFUNCTION("""COMPUTED_VALUE"""),5014.0)</f>
        <v>5014</v>
      </c>
    </row>
    <row r="977">
      <c r="A977" s="6">
        <f>IFERROR(__xludf.DUMMYFUNCTION("""COMPUTED_VALUE"""),2017.0)</f>
        <v>2017</v>
      </c>
      <c r="B977" s="6" t="str">
        <f>IFERROR(__xludf.DUMMYFUNCTION("""COMPUTED_VALUE"""),"Maio")</f>
        <v>Maio</v>
      </c>
      <c r="C977" s="6" t="str">
        <f>IFERROR(__xludf.DUMMYFUNCTION("""COMPUTED_VALUE"""),"INVASÃO DE DOMICÍLIO")</f>
        <v>INVASÃO DE DOMICÍLIO</v>
      </c>
      <c r="D977" s="6">
        <f>IFERROR(__xludf.DUMMYFUNCTION("""COMPUTED_VALUE"""),1.0)</f>
        <v>1</v>
      </c>
      <c r="E977" s="6">
        <f>IFERROR(__xludf.DUMMYFUNCTION("""COMPUTED_VALUE"""),2.0)</f>
        <v>2</v>
      </c>
      <c r="F977" s="6">
        <f>IFERROR(__xludf.DUMMYFUNCTION("""COMPUTED_VALUE"""),13.0)</f>
        <v>13</v>
      </c>
      <c r="G977" s="6">
        <f>IFERROR(__xludf.DUMMYFUNCTION("""COMPUTED_VALUE"""),16.0)</f>
        <v>16</v>
      </c>
    </row>
    <row r="978">
      <c r="A978" s="6">
        <f>IFERROR(__xludf.DUMMYFUNCTION("""COMPUTED_VALUE"""),2017.0)</f>
        <v>2017</v>
      </c>
      <c r="B978" s="6" t="str">
        <f>IFERROR(__xludf.DUMMYFUNCTION("""COMPUTED_VALUE"""),"Maio")</f>
        <v>Maio</v>
      </c>
      <c r="C978" s="6" t="str">
        <f>IFERROR(__xludf.DUMMYFUNCTION("""COMPUTED_VALUE"""),"DANO")</f>
        <v>DANO</v>
      </c>
      <c r="D978" s="6">
        <f>IFERROR(__xludf.DUMMYFUNCTION("""COMPUTED_VALUE"""),11.0)</f>
        <v>11</v>
      </c>
      <c r="E978" s="6">
        <f>IFERROR(__xludf.DUMMYFUNCTION("""COMPUTED_VALUE"""),11.0)</f>
        <v>11</v>
      </c>
      <c r="F978" s="6">
        <f>IFERROR(__xludf.DUMMYFUNCTION("""COMPUTED_VALUE"""),62.0)</f>
        <v>62</v>
      </c>
      <c r="G978" s="6">
        <f>IFERROR(__xludf.DUMMYFUNCTION("""COMPUTED_VALUE"""),84.0)</f>
        <v>84</v>
      </c>
    </row>
    <row r="979">
      <c r="A979" s="6">
        <f>IFERROR(__xludf.DUMMYFUNCTION("""COMPUTED_VALUE"""),2017.0)</f>
        <v>2017</v>
      </c>
      <c r="B979" s="6" t="str">
        <f>IFERROR(__xludf.DUMMYFUNCTION("""COMPUTED_VALUE"""),"Maio")</f>
        <v>Maio</v>
      </c>
      <c r="C979" s="6" t="str">
        <f>IFERROR(__xludf.DUMMYFUNCTION("""COMPUTED_VALUE"""),"ESTUPRO CONSUMADO")</f>
        <v>ESTUPRO CONSUMADO</v>
      </c>
      <c r="D979" s="6">
        <f>IFERROR(__xludf.DUMMYFUNCTION("""COMPUTED_VALUE"""),10.0)</f>
        <v>10</v>
      </c>
      <c r="E979" s="6">
        <f>IFERROR(__xludf.DUMMYFUNCTION("""COMPUTED_VALUE"""),7.0)</f>
        <v>7</v>
      </c>
      <c r="F979" s="6">
        <f>IFERROR(__xludf.DUMMYFUNCTION("""COMPUTED_VALUE"""),19.0)</f>
        <v>19</v>
      </c>
      <c r="G979" s="6">
        <f>IFERROR(__xludf.DUMMYFUNCTION("""COMPUTED_VALUE"""),36.0)</f>
        <v>36</v>
      </c>
    </row>
    <row r="980">
      <c r="A980" s="6">
        <f>IFERROR(__xludf.DUMMYFUNCTION("""COMPUTED_VALUE"""),2017.0)</f>
        <v>2017</v>
      </c>
      <c r="B980" s="6" t="str">
        <f>IFERROR(__xludf.DUMMYFUNCTION("""COMPUTED_VALUE"""),"Maio")</f>
        <v>Maio</v>
      </c>
      <c r="C980" s="6" t="str">
        <f>IFERROR(__xludf.DUMMYFUNCTION("""COMPUTED_VALUE"""),"ESTUPRO TENTADO")</f>
        <v>ESTUPRO TENTADO</v>
      </c>
      <c r="D980" s="6">
        <f>IFERROR(__xludf.DUMMYFUNCTION("""COMPUTED_VALUE"""),1.0)</f>
        <v>1</v>
      </c>
      <c r="E980" s="6">
        <f>IFERROR(__xludf.DUMMYFUNCTION("""COMPUTED_VALUE"""),0.0)</f>
        <v>0</v>
      </c>
      <c r="F980" s="6">
        <f>IFERROR(__xludf.DUMMYFUNCTION("""COMPUTED_VALUE"""),1.0)</f>
        <v>1</v>
      </c>
      <c r="G980" s="6">
        <f>IFERROR(__xludf.DUMMYFUNCTION("""COMPUTED_VALUE"""),2.0)</f>
        <v>2</v>
      </c>
    </row>
    <row r="981">
      <c r="A981" s="6">
        <f>IFERROR(__xludf.DUMMYFUNCTION("""COMPUTED_VALUE"""),2017.0)</f>
        <v>2017</v>
      </c>
      <c r="B981" s="6" t="str">
        <f>IFERROR(__xludf.DUMMYFUNCTION("""COMPUTED_VALUE"""),"Maio")</f>
        <v>Maio</v>
      </c>
      <c r="C981" s="6" t="str">
        <f>IFERROR(__xludf.DUMMYFUNCTION("""COMPUTED_VALUE"""),"ESTUPRO DE VULNERÁVEL CONSUMADO")</f>
        <v>ESTUPRO DE VULNERÁVEL CONSUMADO</v>
      </c>
      <c r="D981" s="6">
        <f>IFERROR(__xludf.DUMMYFUNCTION("""COMPUTED_VALUE"""),3.0)</f>
        <v>3</v>
      </c>
      <c r="E981" s="6">
        <f>IFERROR(__xludf.DUMMYFUNCTION("""COMPUTED_VALUE"""),4.0)</f>
        <v>4</v>
      </c>
      <c r="F981" s="6">
        <f>IFERROR(__xludf.DUMMYFUNCTION("""COMPUTED_VALUE"""),18.0)</f>
        <v>18</v>
      </c>
      <c r="G981" s="6">
        <f>IFERROR(__xludf.DUMMYFUNCTION("""COMPUTED_VALUE"""),25.0)</f>
        <v>25</v>
      </c>
    </row>
    <row r="982">
      <c r="A982" s="6">
        <f>IFERROR(__xludf.DUMMYFUNCTION("""COMPUTED_VALUE"""),2017.0)</f>
        <v>2017</v>
      </c>
      <c r="B982" s="6" t="str">
        <f>IFERROR(__xludf.DUMMYFUNCTION("""COMPUTED_VALUE"""),"Maio")</f>
        <v>Maio</v>
      </c>
      <c r="C982" s="6" t="str">
        <f>IFERROR(__xludf.DUMMYFUNCTION("""COMPUTED_VALUE"""),"OUTROS C/C/ DIGNIDADE SEXUAL")</f>
        <v>OUTROS C/C/ DIGNIDADE SEXUAL</v>
      </c>
      <c r="D982" s="6">
        <f>IFERROR(__xludf.DUMMYFUNCTION("""COMPUTED_VALUE"""),0.0)</f>
        <v>0</v>
      </c>
      <c r="E982" s="6">
        <f>IFERROR(__xludf.DUMMYFUNCTION("""COMPUTED_VALUE"""),1.0)</f>
        <v>1</v>
      </c>
      <c r="F982" s="6">
        <f>IFERROR(__xludf.DUMMYFUNCTION("""COMPUTED_VALUE"""),2.0)</f>
        <v>2</v>
      </c>
      <c r="G982" s="6">
        <f>IFERROR(__xludf.DUMMYFUNCTION("""COMPUTED_VALUE"""),3.0)</f>
        <v>3</v>
      </c>
    </row>
    <row r="983">
      <c r="A983" s="6">
        <f>IFERROR(__xludf.DUMMYFUNCTION("""COMPUTED_VALUE"""),2017.0)</f>
        <v>2017</v>
      </c>
      <c r="B983" s="6" t="str">
        <f>IFERROR(__xludf.DUMMYFUNCTION("""COMPUTED_VALUE"""),"Junho")</f>
        <v>Junho</v>
      </c>
      <c r="C983" s="6" t="str">
        <f>IFERROR(__xludf.DUMMYFUNCTION("""COMPUTED_VALUE"""),"HOMICÍDIO DOLOSO (exclui FEMINICÍDIO)")</f>
        <v>HOMICÍDIO DOLOSO (exclui FEMINICÍDIO)</v>
      </c>
      <c r="D983" s="6">
        <f>IFERROR(__xludf.DUMMYFUNCTION("""COMPUTED_VALUE"""),1.0)</f>
        <v>1</v>
      </c>
      <c r="E983" s="6">
        <f>IFERROR(__xludf.DUMMYFUNCTION("""COMPUTED_VALUE"""),0.0)</f>
        <v>0</v>
      </c>
      <c r="F983" s="6">
        <f>IFERROR(__xludf.DUMMYFUNCTION("""COMPUTED_VALUE"""),2.0)</f>
        <v>2</v>
      </c>
      <c r="G983" s="6">
        <f>IFERROR(__xludf.DUMMYFUNCTION("""COMPUTED_VALUE"""),3.0)</f>
        <v>3</v>
      </c>
    </row>
    <row r="984">
      <c r="A984" s="6">
        <f>IFERROR(__xludf.DUMMYFUNCTION("""COMPUTED_VALUE"""),2017.0)</f>
        <v>2017</v>
      </c>
      <c r="B984" s="6" t="str">
        <f>IFERROR(__xludf.DUMMYFUNCTION("""COMPUTED_VALUE"""),"Junho")</f>
        <v>Junho</v>
      </c>
      <c r="C984" s="6" t="str">
        <f>IFERROR(__xludf.DUMMYFUNCTION("""COMPUTED_VALUE"""),"FEMINICÍDIO")</f>
        <v>FEMINICÍDIO</v>
      </c>
      <c r="D984" s="6">
        <f>IFERROR(__xludf.DUMMYFUNCTION("""COMPUTED_VALUE"""),1.0)</f>
        <v>1</v>
      </c>
      <c r="E984" s="6">
        <f>IFERROR(__xludf.DUMMYFUNCTION("""COMPUTED_VALUE"""),1.0)</f>
        <v>1</v>
      </c>
      <c r="F984" s="6">
        <f>IFERROR(__xludf.DUMMYFUNCTION("""COMPUTED_VALUE"""),2.0)</f>
        <v>2</v>
      </c>
      <c r="G984" s="6">
        <f>IFERROR(__xludf.DUMMYFUNCTION("""COMPUTED_VALUE"""),4.0)</f>
        <v>4</v>
      </c>
    </row>
    <row r="985">
      <c r="A985" s="6">
        <f>IFERROR(__xludf.DUMMYFUNCTION("""COMPUTED_VALUE"""),2017.0)</f>
        <v>2017</v>
      </c>
      <c r="B985" s="6" t="str">
        <f>IFERROR(__xludf.DUMMYFUNCTION("""COMPUTED_VALUE"""),"Junho")</f>
        <v>Junho</v>
      </c>
      <c r="C985" s="6" t="str">
        <f>IFERROR(__xludf.DUMMYFUNCTION("""COMPUTED_VALUE"""),"HOMICÍDIO CULPOSO")</f>
        <v>HOMICÍDIO CULPOSO</v>
      </c>
      <c r="D985" s="6">
        <f>IFERROR(__xludf.DUMMYFUNCTION("""COMPUTED_VALUE"""),0.0)</f>
        <v>0</v>
      </c>
      <c r="E985" s="6">
        <f>IFERROR(__xludf.DUMMYFUNCTION("""COMPUTED_VALUE"""),0.0)</f>
        <v>0</v>
      </c>
      <c r="F985" s="6">
        <f>IFERROR(__xludf.DUMMYFUNCTION("""COMPUTED_VALUE"""),0.0)</f>
        <v>0</v>
      </c>
      <c r="G985" s="6">
        <f>IFERROR(__xludf.DUMMYFUNCTION("""COMPUTED_VALUE"""),0.0)</f>
        <v>0</v>
      </c>
    </row>
    <row r="986">
      <c r="A986" s="6">
        <f>IFERROR(__xludf.DUMMYFUNCTION("""COMPUTED_VALUE"""),2017.0)</f>
        <v>2017</v>
      </c>
      <c r="B986" s="6" t="str">
        <f>IFERROR(__xludf.DUMMYFUNCTION("""COMPUTED_VALUE"""),"Junho")</f>
        <v>Junho</v>
      </c>
      <c r="C986" s="6" t="str">
        <f>IFERROR(__xludf.DUMMYFUNCTION("""COMPUTED_VALUE"""),"TENTATIVA DE HOMICÍDIO")</f>
        <v>TENTATIVA DE HOMICÍDIO</v>
      </c>
      <c r="D986" s="6">
        <f>IFERROR(__xludf.DUMMYFUNCTION("""COMPUTED_VALUE"""),1.0)</f>
        <v>1</v>
      </c>
      <c r="E986" s="6">
        <f>IFERROR(__xludf.DUMMYFUNCTION("""COMPUTED_VALUE"""),2.0)</f>
        <v>2</v>
      </c>
      <c r="F986" s="6">
        <f>IFERROR(__xludf.DUMMYFUNCTION("""COMPUTED_VALUE"""),11.0)</f>
        <v>11</v>
      </c>
      <c r="G986" s="6">
        <f>IFERROR(__xludf.DUMMYFUNCTION("""COMPUTED_VALUE"""),14.0)</f>
        <v>14</v>
      </c>
    </row>
    <row r="987">
      <c r="A987" s="6">
        <f>IFERROR(__xludf.DUMMYFUNCTION("""COMPUTED_VALUE"""),2017.0)</f>
        <v>2017</v>
      </c>
      <c r="B987" s="6" t="str">
        <f>IFERROR(__xludf.DUMMYFUNCTION("""COMPUTED_VALUE"""),"Junho")</f>
        <v>Junho</v>
      </c>
      <c r="C987" s="6" t="str">
        <f>IFERROR(__xludf.DUMMYFUNCTION("""COMPUTED_VALUE"""),"LESÃO CORPORAL DOLOSA")</f>
        <v>LESÃO CORPORAL DOLOSA</v>
      </c>
      <c r="D987" s="6">
        <f>IFERROR(__xludf.DUMMYFUNCTION("""COMPUTED_VALUE"""),842.0)</f>
        <v>842</v>
      </c>
      <c r="E987" s="6">
        <f>IFERROR(__xludf.DUMMYFUNCTION("""COMPUTED_VALUE"""),741.0)</f>
        <v>741</v>
      </c>
      <c r="F987" s="6">
        <f>IFERROR(__xludf.DUMMYFUNCTION("""COMPUTED_VALUE"""),2831.0)</f>
        <v>2831</v>
      </c>
      <c r="G987" s="6">
        <f>IFERROR(__xludf.DUMMYFUNCTION("""COMPUTED_VALUE"""),4414.0)</f>
        <v>4414</v>
      </c>
    </row>
    <row r="988">
      <c r="A988" s="6">
        <f>IFERROR(__xludf.DUMMYFUNCTION("""COMPUTED_VALUE"""),2017.0)</f>
        <v>2017</v>
      </c>
      <c r="B988" s="6" t="str">
        <f>IFERROR(__xludf.DUMMYFUNCTION("""COMPUTED_VALUE"""),"Junho")</f>
        <v>Junho</v>
      </c>
      <c r="C988" s="6" t="str">
        <f>IFERROR(__xludf.DUMMYFUNCTION("""COMPUTED_VALUE"""),"MAUS TRATOS")</f>
        <v>MAUS TRATOS</v>
      </c>
      <c r="D988" s="6">
        <f>IFERROR(__xludf.DUMMYFUNCTION("""COMPUTED_VALUE"""),2.0)</f>
        <v>2</v>
      </c>
      <c r="E988" s="6">
        <f>IFERROR(__xludf.DUMMYFUNCTION("""COMPUTED_VALUE"""),2.0)</f>
        <v>2</v>
      </c>
      <c r="F988" s="6">
        <f>IFERROR(__xludf.DUMMYFUNCTION("""COMPUTED_VALUE"""),15.0)</f>
        <v>15</v>
      </c>
      <c r="G988" s="6">
        <f>IFERROR(__xludf.DUMMYFUNCTION("""COMPUTED_VALUE"""),19.0)</f>
        <v>19</v>
      </c>
    </row>
    <row r="989">
      <c r="A989" s="6">
        <f>IFERROR(__xludf.DUMMYFUNCTION("""COMPUTED_VALUE"""),2017.0)</f>
        <v>2017</v>
      </c>
      <c r="B989" s="6" t="str">
        <f>IFERROR(__xludf.DUMMYFUNCTION("""COMPUTED_VALUE"""),"Junho")</f>
        <v>Junho</v>
      </c>
      <c r="C989" s="6" t="str">
        <f>IFERROR(__xludf.DUMMYFUNCTION("""COMPUTED_VALUE"""),"CALÚNIA - DIFAMAÇÃO - INJÚRIA")</f>
        <v>CALÚNIA - DIFAMAÇÃO - INJÚRIA</v>
      </c>
      <c r="D989" s="6">
        <f>IFERROR(__xludf.DUMMYFUNCTION("""COMPUTED_VALUE"""),172.0)</f>
        <v>172</v>
      </c>
      <c r="E989" s="6">
        <f>IFERROR(__xludf.DUMMYFUNCTION("""COMPUTED_VALUE"""),151.0)</f>
        <v>151</v>
      </c>
      <c r="F989" s="6">
        <f>IFERROR(__xludf.DUMMYFUNCTION("""COMPUTED_VALUE"""),649.0)</f>
        <v>649</v>
      </c>
      <c r="G989" s="6">
        <f>IFERROR(__xludf.DUMMYFUNCTION("""COMPUTED_VALUE"""),972.0)</f>
        <v>972</v>
      </c>
    </row>
    <row r="990">
      <c r="A990" s="6">
        <f>IFERROR(__xludf.DUMMYFUNCTION("""COMPUTED_VALUE"""),2017.0)</f>
        <v>2017</v>
      </c>
      <c r="B990" s="6" t="str">
        <f>IFERROR(__xludf.DUMMYFUNCTION("""COMPUTED_VALUE"""),"Junho")</f>
        <v>Junho</v>
      </c>
      <c r="C990" s="6" t="str">
        <f>IFERROR(__xludf.DUMMYFUNCTION("""COMPUTED_VALUE"""),"CONSTRANGIMENTO ILEGAL")</f>
        <v>CONSTRANGIMENTO ILEGAL</v>
      </c>
      <c r="D990" s="6">
        <f>IFERROR(__xludf.DUMMYFUNCTION("""COMPUTED_VALUE"""),1.0)</f>
        <v>1</v>
      </c>
      <c r="E990" s="6">
        <f>IFERROR(__xludf.DUMMYFUNCTION("""COMPUTED_VALUE"""),0.0)</f>
        <v>0</v>
      </c>
      <c r="F990" s="6">
        <f>IFERROR(__xludf.DUMMYFUNCTION("""COMPUTED_VALUE"""),5.0)</f>
        <v>5</v>
      </c>
      <c r="G990" s="6">
        <f>IFERROR(__xludf.DUMMYFUNCTION("""COMPUTED_VALUE"""),6.0)</f>
        <v>6</v>
      </c>
    </row>
    <row r="991">
      <c r="A991" s="6">
        <f>IFERROR(__xludf.DUMMYFUNCTION("""COMPUTED_VALUE"""),2017.0)</f>
        <v>2017</v>
      </c>
      <c r="B991" s="6" t="str">
        <f>IFERROR(__xludf.DUMMYFUNCTION("""COMPUTED_VALUE"""),"Junho")</f>
        <v>Junho</v>
      </c>
      <c r="C991" s="6" t="str">
        <f>IFERROR(__xludf.DUMMYFUNCTION("""COMPUTED_VALUE"""),"AMEAÇA")</f>
        <v>AMEAÇA</v>
      </c>
      <c r="D991" s="6">
        <f>IFERROR(__xludf.DUMMYFUNCTION("""COMPUTED_VALUE"""),811.0)</f>
        <v>811</v>
      </c>
      <c r="E991" s="6">
        <f>IFERROR(__xludf.DUMMYFUNCTION("""COMPUTED_VALUE"""),743.0)</f>
        <v>743</v>
      </c>
      <c r="F991" s="6">
        <f>IFERROR(__xludf.DUMMYFUNCTION("""COMPUTED_VALUE"""),2894.0)</f>
        <v>2894</v>
      </c>
      <c r="G991" s="6">
        <f>IFERROR(__xludf.DUMMYFUNCTION("""COMPUTED_VALUE"""),4448.0)</f>
        <v>4448</v>
      </c>
    </row>
    <row r="992">
      <c r="A992" s="6">
        <f>IFERROR(__xludf.DUMMYFUNCTION("""COMPUTED_VALUE"""),2017.0)</f>
        <v>2017</v>
      </c>
      <c r="B992" s="6" t="str">
        <f>IFERROR(__xludf.DUMMYFUNCTION("""COMPUTED_VALUE"""),"Junho")</f>
        <v>Junho</v>
      </c>
      <c r="C992" s="6" t="str">
        <f>IFERROR(__xludf.DUMMYFUNCTION("""COMPUTED_VALUE"""),"INVASÃO DE DOMICÍLIO")</f>
        <v>INVASÃO DE DOMICÍLIO</v>
      </c>
      <c r="D992" s="6">
        <f>IFERROR(__xludf.DUMMYFUNCTION("""COMPUTED_VALUE"""),1.0)</f>
        <v>1</v>
      </c>
      <c r="E992" s="6">
        <f>IFERROR(__xludf.DUMMYFUNCTION("""COMPUTED_VALUE"""),2.0)</f>
        <v>2</v>
      </c>
      <c r="F992" s="6">
        <f>IFERROR(__xludf.DUMMYFUNCTION("""COMPUTED_VALUE"""),12.0)</f>
        <v>12</v>
      </c>
      <c r="G992" s="6">
        <f>IFERROR(__xludf.DUMMYFUNCTION("""COMPUTED_VALUE"""),15.0)</f>
        <v>15</v>
      </c>
    </row>
    <row r="993">
      <c r="A993" s="6">
        <f>IFERROR(__xludf.DUMMYFUNCTION("""COMPUTED_VALUE"""),2017.0)</f>
        <v>2017</v>
      </c>
      <c r="B993" s="6" t="str">
        <f>IFERROR(__xludf.DUMMYFUNCTION("""COMPUTED_VALUE"""),"Junho")</f>
        <v>Junho</v>
      </c>
      <c r="C993" s="6" t="str">
        <f>IFERROR(__xludf.DUMMYFUNCTION("""COMPUTED_VALUE"""),"DANO")</f>
        <v>DANO</v>
      </c>
      <c r="D993" s="6">
        <f>IFERROR(__xludf.DUMMYFUNCTION("""COMPUTED_VALUE"""),9.0)</f>
        <v>9</v>
      </c>
      <c r="E993" s="6">
        <f>IFERROR(__xludf.DUMMYFUNCTION("""COMPUTED_VALUE"""),9.0)</f>
        <v>9</v>
      </c>
      <c r="F993" s="6">
        <f>IFERROR(__xludf.DUMMYFUNCTION("""COMPUTED_VALUE"""),51.0)</f>
        <v>51</v>
      </c>
      <c r="G993" s="6">
        <f>IFERROR(__xludf.DUMMYFUNCTION("""COMPUTED_VALUE"""),69.0)</f>
        <v>69</v>
      </c>
    </row>
    <row r="994">
      <c r="A994" s="6">
        <f>IFERROR(__xludf.DUMMYFUNCTION("""COMPUTED_VALUE"""),2017.0)</f>
        <v>2017</v>
      </c>
      <c r="B994" s="6" t="str">
        <f>IFERROR(__xludf.DUMMYFUNCTION("""COMPUTED_VALUE"""),"Junho")</f>
        <v>Junho</v>
      </c>
      <c r="C994" s="6" t="str">
        <f>IFERROR(__xludf.DUMMYFUNCTION("""COMPUTED_VALUE"""),"ESTUPRO CONSUMADO")</f>
        <v>ESTUPRO CONSUMADO</v>
      </c>
      <c r="D994" s="6">
        <f>IFERROR(__xludf.DUMMYFUNCTION("""COMPUTED_VALUE"""),9.0)</f>
        <v>9</v>
      </c>
      <c r="E994" s="6">
        <f>IFERROR(__xludf.DUMMYFUNCTION("""COMPUTED_VALUE"""),6.0)</f>
        <v>6</v>
      </c>
      <c r="F994" s="6">
        <f>IFERROR(__xludf.DUMMYFUNCTION("""COMPUTED_VALUE"""),17.0)</f>
        <v>17</v>
      </c>
      <c r="G994" s="6">
        <f>IFERROR(__xludf.DUMMYFUNCTION("""COMPUTED_VALUE"""),32.0)</f>
        <v>32</v>
      </c>
    </row>
    <row r="995">
      <c r="A995" s="6">
        <f>IFERROR(__xludf.DUMMYFUNCTION("""COMPUTED_VALUE"""),2017.0)</f>
        <v>2017</v>
      </c>
      <c r="B995" s="6" t="str">
        <f>IFERROR(__xludf.DUMMYFUNCTION("""COMPUTED_VALUE"""),"Junho")</f>
        <v>Junho</v>
      </c>
      <c r="C995" s="6" t="str">
        <f>IFERROR(__xludf.DUMMYFUNCTION("""COMPUTED_VALUE"""),"ESTUPRO TENTADO")</f>
        <v>ESTUPRO TENTADO</v>
      </c>
      <c r="D995" s="6">
        <f>IFERROR(__xludf.DUMMYFUNCTION("""COMPUTED_VALUE"""),0.0)</f>
        <v>0</v>
      </c>
      <c r="E995" s="6">
        <f>IFERROR(__xludf.DUMMYFUNCTION("""COMPUTED_VALUE"""),0.0)</f>
        <v>0</v>
      </c>
      <c r="F995" s="6">
        <f>IFERROR(__xludf.DUMMYFUNCTION("""COMPUTED_VALUE"""),1.0)</f>
        <v>1</v>
      </c>
      <c r="G995" s="6">
        <f>IFERROR(__xludf.DUMMYFUNCTION("""COMPUTED_VALUE"""),1.0)</f>
        <v>1</v>
      </c>
    </row>
    <row r="996">
      <c r="A996" s="6">
        <f>IFERROR(__xludf.DUMMYFUNCTION("""COMPUTED_VALUE"""),2017.0)</f>
        <v>2017</v>
      </c>
      <c r="B996" s="6" t="str">
        <f>IFERROR(__xludf.DUMMYFUNCTION("""COMPUTED_VALUE"""),"Junho")</f>
        <v>Junho</v>
      </c>
      <c r="C996" s="6" t="str">
        <f>IFERROR(__xludf.DUMMYFUNCTION("""COMPUTED_VALUE"""),"ESTUPRO DE VULNERÁVEL CONSUMADO")</f>
        <v>ESTUPRO DE VULNERÁVEL CONSUMADO</v>
      </c>
      <c r="D996" s="6">
        <f>IFERROR(__xludf.DUMMYFUNCTION("""COMPUTED_VALUE"""),3.0)</f>
        <v>3</v>
      </c>
      <c r="E996" s="6">
        <f>IFERROR(__xludf.DUMMYFUNCTION("""COMPUTED_VALUE"""),4.0)</f>
        <v>4</v>
      </c>
      <c r="F996" s="6">
        <f>IFERROR(__xludf.DUMMYFUNCTION("""COMPUTED_VALUE"""),16.0)</f>
        <v>16</v>
      </c>
      <c r="G996" s="6">
        <f>IFERROR(__xludf.DUMMYFUNCTION("""COMPUTED_VALUE"""),23.0)</f>
        <v>23</v>
      </c>
    </row>
    <row r="997">
      <c r="A997" s="6">
        <f>IFERROR(__xludf.DUMMYFUNCTION("""COMPUTED_VALUE"""),2017.0)</f>
        <v>2017</v>
      </c>
      <c r="B997" s="6" t="str">
        <f>IFERROR(__xludf.DUMMYFUNCTION("""COMPUTED_VALUE"""),"Junho")</f>
        <v>Junho</v>
      </c>
      <c r="C997" s="6" t="str">
        <f>IFERROR(__xludf.DUMMYFUNCTION("""COMPUTED_VALUE"""),"OUTROS C/C/ DIGNIDADE SEXUAL")</f>
        <v>OUTROS C/C/ DIGNIDADE SEXUAL</v>
      </c>
      <c r="D997" s="6">
        <f>IFERROR(__xludf.DUMMYFUNCTION("""COMPUTED_VALUE"""),0.0)</f>
        <v>0</v>
      </c>
      <c r="E997" s="6">
        <f>IFERROR(__xludf.DUMMYFUNCTION("""COMPUTED_VALUE"""),0.0)</f>
        <v>0</v>
      </c>
      <c r="F997" s="6">
        <f>IFERROR(__xludf.DUMMYFUNCTION("""COMPUTED_VALUE"""),2.0)</f>
        <v>2</v>
      </c>
      <c r="G997" s="6">
        <f>IFERROR(__xludf.DUMMYFUNCTION("""COMPUTED_VALUE"""),2.0)</f>
        <v>2</v>
      </c>
    </row>
    <row r="998">
      <c r="A998" s="6">
        <f>IFERROR(__xludf.DUMMYFUNCTION("""COMPUTED_VALUE"""),2017.0)</f>
        <v>2017</v>
      </c>
      <c r="B998" s="6" t="str">
        <f>IFERROR(__xludf.DUMMYFUNCTION("""COMPUTED_VALUE"""),"Julho")</f>
        <v>Julho</v>
      </c>
      <c r="C998" s="6" t="str">
        <f>IFERROR(__xludf.DUMMYFUNCTION("""COMPUTED_VALUE"""),"HOMICÍDIO DOLOSO (exclui FEMINICÍDIO)")</f>
        <v>HOMICÍDIO DOLOSO (exclui FEMINICÍDIO)</v>
      </c>
      <c r="D998" s="6">
        <f>IFERROR(__xludf.DUMMYFUNCTION("""COMPUTED_VALUE"""),2.0)</f>
        <v>2</v>
      </c>
      <c r="E998" s="6">
        <f>IFERROR(__xludf.DUMMYFUNCTION("""COMPUTED_VALUE"""),0.0)</f>
        <v>0</v>
      </c>
      <c r="F998" s="6">
        <f>IFERROR(__xludf.DUMMYFUNCTION("""COMPUTED_VALUE"""),1.0)</f>
        <v>1</v>
      </c>
      <c r="G998" s="6">
        <f>IFERROR(__xludf.DUMMYFUNCTION("""COMPUTED_VALUE"""),3.0)</f>
        <v>3</v>
      </c>
    </row>
    <row r="999">
      <c r="A999" s="6">
        <f>IFERROR(__xludf.DUMMYFUNCTION("""COMPUTED_VALUE"""),2017.0)</f>
        <v>2017</v>
      </c>
      <c r="B999" s="6" t="str">
        <f>IFERROR(__xludf.DUMMYFUNCTION("""COMPUTED_VALUE"""),"Julho")</f>
        <v>Julho</v>
      </c>
      <c r="C999" s="6" t="str">
        <f>IFERROR(__xludf.DUMMYFUNCTION("""COMPUTED_VALUE"""),"FEMINICÍDIO")</f>
        <v>FEMINICÍDIO</v>
      </c>
      <c r="D999" s="6">
        <f>IFERROR(__xludf.DUMMYFUNCTION("""COMPUTED_VALUE"""),1.0)</f>
        <v>1</v>
      </c>
      <c r="E999" s="6">
        <f>IFERROR(__xludf.DUMMYFUNCTION("""COMPUTED_VALUE"""),2.0)</f>
        <v>2</v>
      </c>
      <c r="F999" s="6">
        <f>IFERROR(__xludf.DUMMYFUNCTION("""COMPUTED_VALUE"""),3.0)</f>
        <v>3</v>
      </c>
      <c r="G999" s="6">
        <f>IFERROR(__xludf.DUMMYFUNCTION("""COMPUTED_VALUE"""),6.0)</f>
        <v>6</v>
      </c>
    </row>
    <row r="1000">
      <c r="A1000" s="6">
        <f>IFERROR(__xludf.DUMMYFUNCTION("""COMPUTED_VALUE"""),2017.0)</f>
        <v>2017</v>
      </c>
      <c r="B1000" s="6" t="str">
        <f>IFERROR(__xludf.DUMMYFUNCTION("""COMPUTED_VALUE"""),"Julho")</f>
        <v>Julho</v>
      </c>
      <c r="C1000" s="6" t="str">
        <f>IFERROR(__xludf.DUMMYFUNCTION("""COMPUTED_VALUE"""),"HOMICÍDIO CULPOSO")</f>
        <v>HOMICÍDIO CULPOSO</v>
      </c>
      <c r="D1000" s="6">
        <f>IFERROR(__xludf.DUMMYFUNCTION("""COMPUTED_VALUE"""),0.0)</f>
        <v>0</v>
      </c>
      <c r="E1000" s="6">
        <f>IFERROR(__xludf.DUMMYFUNCTION("""COMPUTED_VALUE"""),0.0)</f>
        <v>0</v>
      </c>
      <c r="F1000" s="6">
        <f>IFERROR(__xludf.DUMMYFUNCTION("""COMPUTED_VALUE"""),0.0)</f>
        <v>0</v>
      </c>
      <c r="G1000" s="6">
        <f>IFERROR(__xludf.DUMMYFUNCTION("""COMPUTED_VALUE"""),0.0)</f>
        <v>0</v>
      </c>
    </row>
    <row r="1001">
      <c r="A1001" s="6">
        <f>IFERROR(__xludf.DUMMYFUNCTION("""COMPUTED_VALUE"""),2017.0)</f>
        <v>2017</v>
      </c>
      <c r="B1001" s="6" t="str">
        <f>IFERROR(__xludf.DUMMYFUNCTION("""COMPUTED_VALUE"""),"Julho")</f>
        <v>Julho</v>
      </c>
      <c r="C1001" s="6" t="str">
        <f>IFERROR(__xludf.DUMMYFUNCTION("""COMPUTED_VALUE"""),"TENTATIVA DE HOMICÍDIO")</f>
        <v>TENTATIVA DE HOMICÍDIO</v>
      </c>
      <c r="D1001" s="6">
        <f>IFERROR(__xludf.DUMMYFUNCTION("""COMPUTED_VALUE"""),2.0)</f>
        <v>2</v>
      </c>
      <c r="E1001" s="6">
        <f>IFERROR(__xludf.DUMMYFUNCTION("""COMPUTED_VALUE"""),3.0)</f>
        <v>3</v>
      </c>
      <c r="F1001" s="6">
        <f>IFERROR(__xludf.DUMMYFUNCTION("""COMPUTED_VALUE"""),12.0)</f>
        <v>12</v>
      </c>
      <c r="G1001" s="6">
        <f>IFERROR(__xludf.DUMMYFUNCTION("""COMPUTED_VALUE"""),17.0)</f>
        <v>17</v>
      </c>
    </row>
    <row r="1002">
      <c r="A1002" s="6">
        <f>IFERROR(__xludf.DUMMYFUNCTION("""COMPUTED_VALUE"""),2017.0)</f>
        <v>2017</v>
      </c>
      <c r="B1002" s="6" t="str">
        <f>IFERROR(__xludf.DUMMYFUNCTION("""COMPUTED_VALUE"""),"Julho")</f>
        <v>Julho</v>
      </c>
      <c r="C1002" s="6" t="str">
        <f>IFERROR(__xludf.DUMMYFUNCTION("""COMPUTED_VALUE"""),"LESÃO CORPORAL DOLOSA")</f>
        <v>LESÃO CORPORAL DOLOSA</v>
      </c>
      <c r="D1002" s="6">
        <f>IFERROR(__xludf.DUMMYFUNCTION("""COMPUTED_VALUE"""),913.0)</f>
        <v>913</v>
      </c>
      <c r="E1002" s="6">
        <f>IFERROR(__xludf.DUMMYFUNCTION("""COMPUTED_VALUE"""),805.0)</f>
        <v>805</v>
      </c>
      <c r="F1002" s="6">
        <f>IFERROR(__xludf.DUMMYFUNCTION("""COMPUTED_VALUE"""),2914.0)</f>
        <v>2914</v>
      </c>
      <c r="G1002" s="6">
        <f>IFERROR(__xludf.DUMMYFUNCTION("""COMPUTED_VALUE"""),4632.0)</f>
        <v>4632</v>
      </c>
    </row>
    <row r="1003">
      <c r="A1003" s="6">
        <f>IFERROR(__xludf.DUMMYFUNCTION("""COMPUTED_VALUE"""),2017.0)</f>
        <v>2017</v>
      </c>
      <c r="B1003" s="6" t="str">
        <f>IFERROR(__xludf.DUMMYFUNCTION("""COMPUTED_VALUE"""),"Julho")</f>
        <v>Julho</v>
      </c>
      <c r="C1003" s="6" t="str">
        <f>IFERROR(__xludf.DUMMYFUNCTION("""COMPUTED_VALUE"""),"MAUS TRATOS")</f>
        <v>MAUS TRATOS</v>
      </c>
      <c r="D1003" s="6">
        <f>IFERROR(__xludf.DUMMYFUNCTION("""COMPUTED_VALUE"""),3.0)</f>
        <v>3</v>
      </c>
      <c r="E1003" s="6">
        <f>IFERROR(__xludf.DUMMYFUNCTION("""COMPUTED_VALUE"""),2.0)</f>
        <v>2</v>
      </c>
      <c r="F1003" s="6">
        <f>IFERROR(__xludf.DUMMYFUNCTION("""COMPUTED_VALUE"""),17.0)</f>
        <v>17</v>
      </c>
      <c r="G1003" s="6">
        <f>IFERROR(__xludf.DUMMYFUNCTION("""COMPUTED_VALUE"""),22.0)</f>
        <v>22</v>
      </c>
    </row>
    <row r="1004">
      <c r="A1004" s="6">
        <f>IFERROR(__xludf.DUMMYFUNCTION("""COMPUTED_VALUE"""),2017.0)</f>
        <v>2017</v>
      </c>
      <c r="B1004" s="6" t="str">
        <f>IFERROR(__xludf.DUMMYFUNCTION("""COMPUTED_VALUE"""),"Julho")</f>
        <v>Julho</v>
      </c>
      <c r="C1004" s="6" t="str">
        <f>IFERROR(__xludf.DUMMYFUNCTION("""COMPUTED_VALUE"""),"CALÚNIA - DIFAMAÇÃO - INJÚRIA")</f>
        <v>CALÚNIA - DIFAMAÇÃO - INJÚRIA</v>
      </c>
      <c r="D1004" s="6">
        <f>IFERROR(__xludf.DUMMYFUNCTION("""COMPUTED_VALUE"""),191.0)</f>
        <v>191</v>
      </c>
      <c r="E1004" s="6">
        <f>IFERROR(__xludf.DUMMYFUNCTION("""COMPUTED_VALUE"""),168.0)</f>
        <v>168</v>
      </c>
      <c r="F1004" s="6">
        <f>IFERROR(__xludf.DUMMYFUNCTION("""COMPUTED_VALUE"""),702.0)</f>
        <v>702</v>
      </c>
      <c r="G1004" s="6">
        <f>IFERROR(__xludf.DUMMYFUNCTION("""COMPUTED_VALUE"""),1061.0)</f>
        <v>1061</v>
      </c>
    </row>
    <row r="1005">
      <c r="A1005" s="6">
        <f>IFERROR(__xludf.DUMMYFUNCTION("""COMPUTED_VALUE"""),2017.0)</f>
        <v>2017</v>
      </c>
      <c r="B1005" s="6" t="str">
        <f>IFERROR(__xludf.DUMMYFUNCTION("""COMPUTED_VALUE"""),"Julho")</f>
        <v>Julho</v>
      </c>
      <c r="C1005" s="6" t="str">
        <f>IFERROR(__xludf.DUMMYFUNCTION("""COMPUTED_VALUE"""),"CONSTRANGIMENTO ILEGAL")</f>
        <v>CONSTRANGIMENTO ILEGAL</v>
      </c>
      <c r="D1005" s="6">
        <f>IFERROR(__xludf.DUMMYFUNCTION("""COMPUTED_VALUE"""),1.0)</f>
        <v>1</v>
      </c>
      <c r="E1005" s="6">
        <f>IFERROR(__xludf.DUMMYFUNCTION("""COMPUTED_VALUE"""),0.0)</f>
        <v>0</v>
      </c>
      <c r="F1005" s="6">
        <f>IFERROR(__xludf.DUMMYFUNCTION("""COMPUTED_VALUE"""),6.0)</f>
        <v>6</v>
      </c>
      <c r="G1005" s="6">
        <f>IFERROR(__xludf.DUMMYFUNCTION("""COMPUTED_VALUE"""),7.0)</f>
        <v>7</v>
      </c>
    </row>
    <row r="1006">
      <c r="A1006" s="6">
        <f>IFERROR(__xludf.DUMMYFUNCTION("""COMPUTED_VALUE"""),2017.0)</f>
        <v>2017</v>
      </c>
      <c r="B1006" s="6" t="str">
        <f>IFERROR(__xludf.DUMMYFUNCTION("""COMPUTED_VALUE"""),"Julho")</f>
        <v>Julho</v>
      </c>
      <c r="C1006" s="6" t="str">
        <f>IFERROR(__xludf.DUMMYFUNCTION("""COMPUTED_VALUE"""),"AMEAÇA")</f>
        <v>AMEAÇA</v>
      </c>
      <c r="D1006" s="6">
        <f>IFERROR(__xludf.DUMMYFUNCTION("""COMPUTED_VALUE"""),884.0)</f>
        <v>884</v>
      </c>
      <c r="E1006" s="6">
        <f>IFERROR(__xludf.DUMMYFUNCTION("""COMPUTED_VALUE"""),812.0)</f>
        <v>812</v>
      </c>
      <c r="F1006" s="6">
        <f>IFERROR(__xludf.DUMMYFUNCTION("""COMPUTED_VALUE"""),3012.0)</f>
        <v>3012</v>
      </c>
      <c r="G1006" s="6">
        <f>IFERROR(__xludf.DUMMYFUNCTION("""COMPUTED_VALUE"""),4708.0)</f>
        <v>4708</v>
      </c>
    </row>
    <row r="1007">
      <c r="A1007" s="6">
        <f>IFERROR(__xludf.DUMMYFUNCTION("""COMPUTED_VALUE"""),2017.0)</f>
        <v>2017</v>
      </c>
      <c r="B1007" s="6" t="str">
        <f>IFERROR(__xludf.DUMMYFUNCTION("""COMPUTED_VALUE"""),"Julho")</f>
        <v>Julho</v>
      </c>
      <c r="C1007" s="6" t="str">
        <f>IFERROR(__xludf.DUMMYFUNCTION("""COMPUTED_VALUE"""),"INVASÃO DE DOMICÍLIO")</f>
        <v>INVASÃO DE DOMICÍLIO</v>
      </c>
      <c r="D1007" s="6">
        <f>IFERROR(__xludf.DUMMYFUNCTION("""COMPUTED_VALUE"""),1.0)</f>
        <v>1</v>
      </c>
      <c r="E1007" s="6">
        <f>IFERROR(__xludf.DUMMYFUNCTION("""COMPUTED_VALUE"""),2.0)</f>
        <v>2</v>
      </c>
      <c r="F1007" s="6">
        <f>IFERROR(__xludf.DUMMYFUNCTION("""COMPUTED_VALUE"""),13.0)</f>
        <v>13</v>
      </c>
      <c r="G1007" s="6">
        <f>IFERROR(__xludf.DUMMYFUNCTION("""COMPUTED_VALUE"""),16.0)</f>
        <v>16</v>
      </c>
    </row>
    <row r="1008">
      <c r="A1008" s="6">
        <f>IFERROR(__xludf.DUMMYFUNCTION("""COMPUTED_VALUE"""),2017.0)</f>
        <v>2017</v>
      </c>
      <c r="B1008" s="6" t="str">
        <f>IFERROR(__xludf.DUMMYFUNCTION("""COMPUTED_VALUE"""),"Julho")</f>
        <v>Julho</v>
      </c>
      <c r="C1008" s="6" t="str">
        <f>IFERROR(__xludf.DUMMYFUNCTION("""COMPUTED_VALUE"""),"DANO")</f>
        <v>DANO</v>
      </c>
      <c r="D1008" s="6">
        <f>IFERROR(__xludf.DUMMYFUNCTION("""COMPUTED_VALUE"""),11.0)</f>
        <v>11</v>
      </c>
      <c r="E1008" s="6">
        <f>IFERROR(__xludf.DUMMYFUNCTION("""COMPUTED_VALUE"""),10.0)</f>
        <v>10</v>
      </c>
      <c r="F1008" s="6">
        <f>IFERROR(__xludf.DUMMYFUNCTION("""COMPUTED_VALUE"""),56.0)</f>
        <v>56</v>
      </c>
      <c r="G1008" s="6">
        <f>IFERROR(__xludf.DUMMYFUNCTION("""COMPUTED_VALUE"""),77.0)</f>
        <v>77</v>
      </c>
    </row>
    <row r="1009">
      <c r="A1009" s="6">
        <f>IFERROR(__xludf.DUMMYFUNCTION("""COMPUTED_VALUE"""),2017.0)</f>
        <v>2017</v>
      </c>
      <c r="B1009" s="6" t="str">
        <f>IFERROR(__xludf.DUMMYFUNCTION("""COMPUTED_VALUE"""),"Julho")</f>
        <v>Julho</v>
      </c>
      <c r="C1009" s="6" t="str">
        <f>IFERROR(__xludf.DUMMYFUNCTION("""COMPUTED_VALUE"""),"ESTUPRO CONSUMADO")</f>
        <v>ESTUPRO CONSUMADO</v>
      </c>
      <c r="D1009" s="6">
        <f>IFERROR(__xludf.DUMMYFUNCTION("""COMPUTED_VALUE"""),10.0)</f>
        <v>10</v>
      </c>
      <c r="E1009" s="6">
        <f>IFERROR(__xludf.DUMMYFUNCTION("""COMPUTED_VALUE"""),7.0)</f>
        <v>7</v>
      </c>
      <c r="F1009" s="6">
        <f>IFERROR(__xludf.DUMMYFUNCTION("""COMPUTED_VALUE"""),18.0)</f>
        <v>18</v>
      </c>
      <c r="G1009" s="6">
        <f>IFERROR(__xludf.DUMMYFUNCTION("""COMPUTED_VALUE"""),35.0)</f>
        <v>35</v>
      </c>
    </row>
    <row r="1010">
      <c r="A1010" s="6">
        <f>IFERROR(__xludf.DUMMYFUNCTION("""COMPUTED_VALUE"""),2017.0)</f>
        <v>2017</v>
      </c>
      <c r="B1010" s="6" t="str">
        <f>IFERROR(__xludf.DUMMYFUNCTION("""COMPUTED_VALUE"""),"Julho")</f>
        <v>Julho</v>
      </c>
      <c r="C1010" s="6" t="str">
        <f>IFERROR(__xludf.DUMMYFUNCTION("""COMPUTED_VALUE"""),"ESTUPRO TENTADO")</f>
        <v>ESTUPRO TENTADO</v>
      </c>
      <c r="D1010" s="6">
        <f>IFERROR(__xludf.DUMMYFUNCTION("""COMPUTED_VALUE"""),0.0)</f>
        <v>0</v>
      </c>
      <c r="E1010" s="6">
        <f>IFERROR(__xludf.DUMMYFUNCTION("""COMPUTED_VALUE"""),0.0)</f>
        <v>0</v>
      </c>
      <c r="F1010" s="6">
        <f>IFERROR(__xludf.DUMMYFUNCTION("""COMPUTED_VALUE"""),1.0)</f>
        <v>1</v>
      </c>
      <c r="G1010" s="6">
        <f>IFERROR(__xludf.DUMMYFUNCTION("""COMPUTED_VALUE"""),1.0)</f>
        <v>1</v>
      </c>
    </row>
    <row r="1011">
      <c r="A1011" s="6">
        <f>IFERROR(__xludf.DUMMYFUNCTION("""COMPUTED_VALUE"""),2017.0)</f>
        <v>2017</v>
      </c>
      <c r="B1011" s="6" t="str">
        <f>IFERROR(__xludf.DUMMYFUNCTION("""COMPUTED_VALUE"""),"Julho")</f>
        <v>Julho</v>
      </c>
      <c r="C1011" s="6" t="str">
        <f>IFERROR(__xludf.DUMMYFUNCTION("""COMPUTED_VALUE"""),"ESTUPRO DE VULNERÁVEL CONSUMADO")</f>
        <v>ESTUPRO DE VULNERÁVEL CONSUMADO</v>
      </c>
      <c r="D1011" s="6">
        <f>IFERROR(__xludf.DUMMYFUNCTION("""COMPUTED_VALUE"""),3.0)</f>
        <v>3</v>
      </c>
      <c r="E1011" s="6">
        <f>IFERROR(__xludf.DUMMYFUNCTION("""COMPUTED_VALUE"""),4.0)</f>
        <v>4</v>
      </c>
      <c r="F1011" s="6">
        <f>IFERROR(__xludf.DUMMYFUNCTION("""COMPUTED_VALUE"""),18.0)</f>
        <v>18</v>
      </c>
      <c r="G1011" s="6">
        <f>IFERROR(__xludf.DUMMYFUNCTION("""COMPUTED_VALUE"""),25.0)</f>
        <v>25</v>
      </c>
    </row>
    <row r="1012">
      <c r="A1012" s="6">
        <f>IFERROR(__xludf.DUMMYFUNCTION("""COMPUTED_VALUE"""),2017.0)</f>
        <v>2017</v>
      </c>
      <c r="B1012" s="6" t="str">
        <f>IFERROR(__xludf.DUMMYFUNCTION("""COMPUTED_VALUE"""),"Julho")</f>
        <v>Julho</v>
      </c>
      <c r="C1012" s="6" t="str">
        <f>IFERROR(__xludf.DUMMYFUNCTION("""COMPUTED_VALUE"""),"OUTROS C/C/ DIGNIDADE SEXUAL")</f>
        <v>OUTROS C/C/ DIGNIDADE SEXUAL</v>
      </c>
      <c r="D1012" s="6">
        <f>IFERROR(__xludf.DUMMYFUNCTION("""COMPUTED_VALUE"""),0.0)</f>
        <v>0</v>
      </c>
      <c r="E1012" s="6">
        <f>IFERROR(__xludf.DUMMYFUNCTION("""COMPUTED_VALUE"""),0.0)</f>
        <v>0</v>
      </c>
      <c r="F1012" s="6">
        <f>IFERROR(__xludf.DUMMYFUNCTION("""COMPUTED_VALUE"""),2.0)</f>
        <v>2</v>
      </c>
      <c r="G1012" s="6">
        <f>IFERROR(__xludf.DUMMYFUNCTION("""COMPUTED_VALUE"""),2.0)</f>
        <v>2</v>
      </c>
    </row>
    <row r="1013">
      <c r="A1013" s="6">
        <f>IFERROR(__xludf.DUMMYFUNCTION("""COMPUTED_VALUE"""),2017.0)</f>
        <v>2017</v>
      </c>
      <c r="B1013" s="6" t="str">
        <f>IFERROR(__xludf.DUMMYFUNCTION("""COMPUTED_VALUE"""),"Agosto")</f>
        <v>Agosto</v>
      </c>
      <c r="C1013" s="6" t="str">
        <f>IFERROR(__xludf.DUMMYFUNCTION("""COMPUTED_VALUE"""),"HOMICÍDIO DOLOSO (exclui FEMINICÍDIO)")</f>
        <v>HOMICÍDIO DOLOSO (exclui FEMINICÍDIO)</v>
      </c>
      <c r="D1013" s="6">
        <f>IFERROR(__xludf.DUMMYFUNCTION("""COMPUTED_VALUE"""),1.0)</f>
        <v>1</v>
      </c>
      <c r="E1013" s="6">
        <f>IFERROR(__xludf.DUMMYFUNCTION("""COMPUTED_VALUE"""),1.0)</f>
        <v>1</v>
      </c>
      <c r="F1013" s="6">
        <f>IFERROR(__xludf.DUMMYFUNCTION("""COMPUTED_VALUE"""),2.0)</f>
        <v>2</v>
      </c>
      <c r="G1013" s="6">
        <f>IFERROR(__xludf.DUMMYFUNCTION("""COMPUTED_VALUE"""),4.0)</f>
        <v>4</v>
      </c>
    </row>
    <row r="1014">
      <c r="A1014" s="6">
        <f>IFERROR(__xludf.DUMMYFUNCTION("""COMPUTED_VALUE"""),2017.0)</f>
        <v>2017</v>
      </c>
      <c r="B1014" s="6" t="str">
        <f>IFERROR(__xludf.DUMMYFUNCTION("""COMPUTED_VALUE"""),"Agosto")</f>
        <v>Agosto</v>
      </c>
      <c r="C1014" s="6" t="str">
        <f>IFERROR(__xludf.DUMMYFUNCTION("""COMPUTED_VALUE"""),"FEMINICÍDIO")</f>
        <v>FEMINICÍDIO</v>
      </c>
      <c r="D1014" s="6">
        <f>IFERROR(__xludf.DUMMYFUNCTION("""COMPUTED_VALUE"""),2.0)</f>
        <v>2</v>
      </c>
      <c r="E1014" s="6">
        <f>IFERROR(__xludf.DUMMYFUNCTION("""COMPUTED_VALUE"""),2.0)</f>
        <v>2</v>
      </c>
      <c r="F1014" s="6">
        <f>IFERROR(__xludf.DUMMYFUNCTION("""COMPUTED_VALUE"""),3.0)</f>
        <v>3</v>
      </c>
      <c r="G1014" s="6">
        <f>IFERROR(__xludf.DUMMYFUNCTION("""COMPUTED_VALUE"""),7.0)</f>
        <v>7</v>
      </c>
    </row>
    <row r="1015">
      <c r="A1015" s="6">
        <f>IFERROR(__xludf.DUMMYFUNCTION("""COMPUTED_VALUE"""),2017.0)</f>
        <v>2017</v>
      </c>
      <c r="B1015" s="6" t="str">
        <f>IFERROR(__xludf.DUMMYFUNCTION("""COMPUTED_VALUE"""),"Agosto")</f>
        <v>Agosto</v>
      </c>
      <c r="C1015" s="6" t="str">
        <f>IFERROR(__xludf.DUMMYFUNCTION("""COMPUTED_VALUE"""),"HOMICÍDIO CULPOSO")</f>
        <v>HOMICÍDIO CULPOSO</v>
      </c>
      <c r="D1015" s="6">
        <f>IFERROR(__xludf.DUMMYFUNCTION("""COMPUTED_VALUE"""),0.0)</f>
        <v>0</v>
      </c>
      <c r="E1015" s="6">
        <f>IFERROR(__xludf.DUMMYFUNCTION("""COMPUTED_VALUE"""),0.0)</f>
        <v>0</v>
      </c>
      <c r="F1015" s="6">
        <f>IFERROR(__xludf.DUMMYFUNCTION("""COMPUTED_VALUE"""),0.0)</f>
        <v>0</v>
      </c>
      <c r="G1015" s="6">
        <f>IFERROR(__xludf.DUMMYFUNCTION("""COMPUTED_VALUE"""),0.0)</f>
        <v>0</v>
      </c>
    </row>
    <row r="1016">
      <c r="A1016" s="6">
        <f>IFERROR(__xludf.DUMMYFUNCTION("""COMPUTED_VALUE"""),2017.0)</f>
        <v>2017</v>
      </c>
      <c r="B1016" s="6" t="str">
        <f>IFERROR(__xludf.DUMMYFUNCTION("""COMPUTED_VALUE"""),"Agosto")</f>
        <v>Agosto</v>
      </c>
      <c r="C1016" s="6" t="str">
        <f>IFERROR(__xludf.DUMMYFUNCTION("""COMPUTED_VALUE"""),"TENTATIVA DE HOMICÍDIO")</f>
        <v>TENTATIVA DE HOMICÍDIO</v>
      </c>
      <c r="D1016" s="6">
        <f>IFERROR(__xludf.DUMMYFUNCTION("""COMPUTED_VALUE"""),2.0)</f>
        <v>2</v>
      </c>
      <c r="E1016" s="6">
        <f>IFERROR(__xludf.DUMMYFUNCTION("""COMPUTED_VALUE"""),2.0)</f>
        <v>2</v>
      </c>
      <c r="F1016" s="6">
        <f>IFERROR(__xludf.DUMMYFUNCTION("""COMPUTED_VALUE"""),12.0)</f>
        <v>12</v>
      </c>
      <c r="G1016" s="6">
        <f>IFERROR(__xludf.DUMMYFUNCTION("""COMPUTED_VALUE"""),16.0)</f>
        <v>16</v>
      </c>
    </row>
    <row r="1017">
      <c r="A1017" s="6">
        <f>IFERROR(__xludf.DUMMYFUNCTION("""COMPUTED_VALUE"""),2017.0)</f>
        <v>2017</v>
      </c>
      <c r="B1017" s="6" t="str">
        <f>IFERROR(__xludf.DUMMYFUNCTION("""COMPUTED_VALUE"""),"Agosto")</f>
        <v>Agosto</v>
      </c>
      <c r="C1017" s="6" t="str">
        <f>IFERROR(__xludf.DUMMYFUNCTION("""COMPUTED_VALUE"""),"LESÃO CORPORAL DOLOSA")</f>
        <v>LESÃO CORPORAL DOLOSA</v>
      </c>
      <c r="D1017" s="6">
        <f>IFERROR(__xludf.DUMMYFUNCTION("""COMPUTED_VALUE"""),948.0)</f>
        <v>948</v>
      </c>
      <c r="E1017" s="6">
        <f>IFERROR(__xludf.DUMMYFUNCTION("""COMPUTED_VALUE"""),812.0)</f>
        <v>812</v>
      </c>
      <c r="F1017" s="6">
        <f>IFERROR(__xludf.DUMMYFUNCTION("""COMPUTED_VALUE"""),2914.0)</f>
        <v>2914</v>
      </c>
      <c r="G1017" s="6">
        <f>IFERROR(__xludf.DUMMYFUNCTION("""COMPUTED_VALUE"""),4674.0)</f>
        <v>4674</v>
      </c>
    </row>
    <row r="1018">
      <c r="A1018" s="6">
        <f>IFERROR(__xludf.DUMMYFUNCTION("""COMPUTED_VALUE"""),2017.0)</f>
        <v>2017</v>
      </c>
      <c r="B1018" s="6" t="str">
        <f>IFERROR(__xludf.DUMMYFUNCTION("""COMPUTED_VALUE"""),"Agosto")</f>
        <v>Agosto</v>
      </c>
      <c r="C1018" s="6" t="str">
        <f>IFERROR(__xludf.DUMMYFUNCTION("""COMPUTED_VALUE"""),"MAUS TRATOS")</f>
        <v>MAUS TRATOS</v>
      </c>
      <c r="D1018" s="6">
        <f>IFERROR(__xludf.DUMMYFUNCTION("""COMPUTED_VALUE"""),3.0)</f>
        <v>3</v>
      </c>
      <c r="E1018" s="6">
        <f>IFERROR(__xludf.DUMMYFUNCTION("""COMPUTED_VALUE"""),2.0)</f>
        <v>2</v>
      </c>
      <c r="F1018" s="6">
        <f>IFERROR(__xludf.DUMMYFUNCTION("""COMPUTED_VALUE"""),16.0)</f>
        <v>16</v>
      </c>
      <c r="G1018" s="6">
        <f>IFERROR(__xludf.DUMMYFUNCTION("""COMPUTED_VALUE"""),21.0)</f>
        <v>21</v>
      </c>
    </row>
    <row r="1019">
      <c r="A1019" s="6">
        <f>IFERROR(__xludf.DUMMYFUNCTION("""COMPUTED_VALUE"""),2017.0)</f>
        <v>2017</v>
      </c>
      <c r="B1019" s="6" t="str">
        <f>IFERROR(__xludf.DUMMYFUNCTION("""COMPUTED_VALUE"""),"Agosto")</f>
        <v>Agosto</v>
      </c>
      <c r="C1019" s="6" t="str">
        <f>IFERROR(__xludf.DUMMYFUNCTION("""COMPUTED_VALUE"""),"CALÚNIA - DIFAMAÇÃO - INJÚRIA")</f>
        <v>CALÚNIA - DIFAMAÇÃO - INJÚRIA</v>
      </c>
      <c r="D1019" s="6">
        <f>IFERROR(__xludf.DUMMYFUNCTION("""COMPUTED_VALUE"""),187.0)</f>
        <v>187</v>
      </c>
      <c r="E1019" s="6">
        <f>IFERROR(__xludf.DUMMYFUNCTION("""COMPUTED_VALUE"""),159.0)</f>
        <v>159</v>
      </c>
      <c r="F1019" s="6">
        <f>IFERROR(__xludf.DUMMYFUNCTION("""COMPUTED_VALUE"""),694.0)</f>
        <v>694</v>
      </c>
      <c r="G1019" s="6">
        <f>IFERROR(__xludf.DUMMYFUNCTION("""COMPUTED_VALUE"""),1040.0)</f>
        <v>1040</v>
      </c>
    </row>
    <row r="1020">
      <c r="A1020" s="6">
        <f>IFERROR(__xludf.DUMMYFUNCTION("""COMPUTED_VALUE"""),2017.0)</f>
        <v>2017</v>
      </c>
      <c r="B1020" s="6" t="str">
        <f>IFERROR(__xludf.DUMMYFUNCTION("""COMPUTED_VALUE"""),"Agosto")</f>
        <v>Agosto</v>
      </c>
      <c r="C1020" s="6" t="str">
        <f>IFERROR(__xludf.DUMMYFUNCTION("""COMPUTED_VALUE"""),"CONSTRANGIMENTO ILEGAL")</f>
        <v>CONSTRANGIMENTO ILEGAL</v>
      </c>
      <c r="D1020" s="6">
        <f>IFERROR(__xludf.DUMMYFUNCTION("""COMPUTED_VALUE"""),1.0)</f>
        <v>1</v>
      </c>
      <c r="E1020" s="6">
        <f>IFERROR(__xludf.DUMMYFUNCTION("""COMPUTED_VALUE"""),0.0)</f>
        <v>0</v>
      </c>
      <c r="F1020" s="6">
        <f>IFERROR(__xludf.DUMMYFUNCTION("""COMPUTED_VALUE"""),6.0)</f>
        <v>6</v>
      </c>
      <c r="G1020" s="6">
        <f>IFERROR(__xludf.DUMMYFUNCTION("""COMPUTED_VALUE"""),7.0)</f>
        <v>7</v>
      </c>
    </row>
    <row r="1021">
      <c r="A1021" s="6">
        <f>IFERROR(__xludf.DUMMYFUNCTION("""COMPUTED_VALUE"""),2017.0)</f>
        <v>2017</v>
      </c>
      <c r="B1021" s="6" t="str">
        <f>IFERROR(__xludf.DUMMYFUNCTION("""COMPUTED_VALUE"""),"Agosto")</f>
        <v>Agosto</v>
      </c>
      <c r="C1021" s="6" t="str">
        <f>IFERROR(__xludf.DUMMYFUNCTION("""COMPUTED_VALUE"""),"AMEAÇA")</f>
        <v>AMEAÇA</v>
      </c>
      <c r="D1021" s="6">
        <f>IFERROR(__xludf.DUMMYFUNCTION("""COMPUTED_VALUE"""),872.0)</f>
        <v>872</v>
      </c>
      <c r="E1021" s="6">
        <f>IFERROR(__xludf.DUMMYFUNCTION("""COMPUTED_VALUE"""),804.0)</f>
        <v>804</v>
      </c>
      <c r="F1021" s="6">
        <f>IFERROR(__xludf.DUMMYFUNCTION("""COMPUTED_VALUE"""),2984.0)</f>
        <v>2984</v>
      </c>
      <c r="G1021" s="6">
        <f>IFERROR(__xludf.DUMMYFUNCTION("""COMPUTED_VALUE"""),4660.0)</f>
        <v>4660</v>
      </c>
    </row>
    <row r="1022">
      <c r="A1022" s="6">
        <f>IFERROR(__xludf.DUMMYFUNCTION("""COMPUTED_VALUE"""),2017.0)</f>
        <v>2017</v>
      </c>
      <c r="B1022" s="6" t="str">
        <f>IFERROR(__xludf.DUMMYFUNCTION("""COMPUTED_VALUE"""),"Agosto")</f>
        <v>Agosto</v>
      </c>
      <c r="C1022" s="6" t="str">
        <f>IFERROR(__xludf.DUMMYFUNCTION("""COMPUTED_VALUE"""),"INVASÃO DE DOMICÍLIO")</f>
        <v>INVASÃO DE DOMICÍLIO</v>
      </c>
      <c r="D1022" s="6">
        <f>IFERROR(__xludf.DUMMYFUNCTION("""COMPUTED_VALUE"""),1.0)</f>
        <v>1</v>
      </c>
      <c r="E1022" s="6">
        <f>IFERROR(__xludf.DUMMYFUNCTION("""COMPUTED_VALUE"""),2.0)</f>
        <v>2</v>
      </c>
      <c r="F1022" s="6">
        <f>IFERROR(__xludf.DUMMYFUNCTION("""COMPUTED_VALUE"""),13.0)</f>
        <v>13</v>
      </c>
      <c r="G1022" s="6">
        <f>IFERROR(__xludf.DUMMYFUNCTION("""COMPUTED_VALUE"""),16.0)</f>
        <v>16</v>
      </c>
    </row>
    <row r="1023">
      <c r="A1023" s="6">
        <f>IFERROR(__xludf.DUMMYFUNCTION("""COMPUTED_VALUE"""),2017.0)</f>
        <v>2017</v>
      </c>
      <c r="B1023" s="6" t="str">
        <f>IFERROR(__xludf.DUMMYFUNCTION("""COMPUTED_VALUE"""),"Agosto")</f>
        <v>Agosto</v>
      </c>
      <c r="C1023" s="6" t="str">
        <f>IFERROR(__xludf.DUMMYFUNCTION("""COMPUTED_VALUE"""),"DANO")</f>
        <v>DANO</v>
      </c>
      <c r="D1023" s="6">
        <f>IFERROR(__xludf.DUMMYFUNCTION("""COMPUTED_VALUE"""),11.0)</f>
        <v>11</v>
      </c>
      <c r="E1023" s="6">
        <f>IFERROR(__xludf.DUMMYFUNCTION("""COMPUTED_VALUE"""),10.0)</f>
        <v>10</v>
      </c>
      <c r="F1023" s="6">
        <f>IFERROR(__xludf.DUMMYFUNCTION("""COMPUTED_VALUE"""),54.0)</f>
        <v>54</v>
      </c>
      <c r="G1023" s="6">
        <f>IFERROR(__xludf.DUMMYFUNCTION("""COMPUTED_VALUE"""),75.0)</f>
        <v>75</v>
      </c>
    </row>
    <row r="1024">
      <c r="A1024" s="6">
        <f>IFERROR(__xludf.DUMMYFUNCTION("""COMPUTED_VALUE"""),2017.0)</f>
        <v>2017</v>
      </c>
      <c r="B1024" s="6" t="str">
        <f>IFERROR(__xludf.DUMMYFUNCTION("""COMPUTED_VALUE"""),"Agosto")</f>
        <v>Agosto</v>
      </c>
      <c r="C1024" s="6" t="str">
        <f>IFERROR(__xludf.DUMMYFUNCTION("""COMPUTED_VALUE"""),"ESTUPRO CONSUMADO")</f>
        <v>ESTUPRO CONSUMADO</v>
      </c>
      <c r="D1024" s="6">
        <f>IFERROR(__xludf.DUMMYFUNCTION("""COMPUTED_VALUE"""),10.0)</f>
        <v>10</v>
      </c>
      <c r="E1024" s="6">
        <f>IFERROR(__xludf.DUMMYFUNCTION("""COMPUTED_VALUE"""),7.0)</f>
        <v>7</v>
      </c>
      <c r="F1024" s="6">
        <f>IFERROR(__xludf.DUMMYFUNCTION("""COMPUTED_VALUE"""),17.0)</f>
        <v>17</v>
      </c>
      <c r="G1024" s="6">
        <f>IFERROR(__xludf.DUMMYFUNCTION("""COMPUTED_VALUE"""),34.0)</f>
        <v>34</v>
      </c>
    </row>
    <row r="1025">
      <c r="A1025" s="6">
        <f>IFERROR(__xludf.DUMMYFUNCTION("""COMPUTED_VALUE"""),2017.0)</f>
        <v>2017</v>
      </c>
      <c r="B1025" s="6" t="str">
        <f>IFERROR(__xludf.DUMMYFUNCTION("""COMPUTED_VALUE"""),"Agosto")</f>
        <v>Agosto</v>
      </c>
      <c r="C1025" s="6" t="str">
        <f>IFERROR(__xludf.DUMMYFUNCTION("""COMPUTED_VALUE"""),"ESTUPRO TENTADO")</f>
        <v>ESTUPRO TENTADO</v>
      </c>
      <c r="D1025" s="6">
        <f>IFERROR(__xludf.DUMMYFUNCTION("""COMPUTED_VALUE"""),0.0)</f>
        <v>0</v>
      </c>
      <c r="E1025" s="6">
        <f>IFERROR(__xludf.DUMMYFUNCTION("""COMPUTED_VALUE"""),0.0)</f>
        <v>0</v>
      </c>
      <c r="F1025" s="6">
        <f>IFERROR(__xludf.DUMMYFUNCTION("""COMPUTED_VALUE"""),1.0)</f>
        <v>1</v>
      </c>
      <c r="G1025" s="6">
        <f>IFERROR(__xludf.DUMMYFUNCTION("""COMPUTED_VALUE"""),1.0)</f>
        <v>1</v>
      </c>
    </row>
    <row r="1026">
      <c r="A1026" s="6">
        <f>IFERROR(__xludf.DUMMYFUNCTION("""COMPUTED_VALUE"""),2017.0)</f>
        <v>2017</v>
      </c>
      <c r="B1026" s="6" t="str">
        <f>IFERROR(__xludf.DUMMYFUNCTION("""COMPUTED_VALUE"""),"Agosto")</f>
        <v>Agosto</v>
      </c>
      <c r="C1026" s="6" t="str">
        <f>IFERROR(__xludf.DUMMYFUNCTION("""COMPUTED_VALUE"""),"ESTUPRO DE VULNERÁVEL CONSUMADO")</f>
        <v>ESTUPRO DE VULNERÁVEL CONSUMADO</v>
      </c>
      <c r="D1026" s="6">
        <f>IFERROR(__xludf.DUMMYFUNCTION("""COMPUTED_VALUE"""),3.0)</f>
        <v>3</v>
      </c>
      <c r="E1026" s="6">
        <f>IFERROR(__xludf.DUMMYFUNCTION("""COMPUTED_VALUE"""),4.0)</f>
        <v>4</v>
      </c>
      <c r="F1026" s="6">
        <f>IFERROR(__xludf.DUMMYFUNCTION("""COMPUTED_VALUE"""),17.0)</f>
        <v>17</v>
      </c>
      <c r="G1026" s="6">
        <f>IFERROR(__xludf.DUMMYFUNCTION("""COMPUTED_VALUE"""),24.0)</f>
        <v>24</v>
      </c>
    </row>
    <row r="1027">
      <c r="A1027" s="6">
        <f>IFERROR(__xludf.DUMMYFUNCTION("""COMPUTED_VALUE"""),2017.0)</f>
        <v>2017</v>
      </c>
      <c r="B1027" s="6" t="str">
        <f>IFERROR(__xludf.DUMMYFUNCTION("""COMPUTED_VALUE"""),"Agosto")</f>
        <v>Agosto</v>
      </c>
      <c r="C1027" s="6" t="str">
        <f>IFERROR(__xludf.DUMMYFUNCTION("""COMPUTED_VALUE"""),"OUTROS C/C/ DIGNIDADE SEXUAL")</f>
        <v>OUTROS C/C/ DIGNIDADE SEXUAL</v>
      </c>
      <c r="D1027" s="6">
        <f>IFERROR(__xludf.DUMMYFUNCTION("""COMPUTED_VALUE"""),0.0)</f>
        <v>0</v>
      </c>
      <c r="E1027" s="6">
        <f>IFERROR(__xludf.DUMMYFUNCTION("""COMPUTED_VALUE"""),0.0)</f>
        <v>0</v>
      </c>
      <c r="F1027" s="6">
        <f>IFERROR(__xludf.DUMMYFUNCTION("""COMPUTED_VALUE"""),2.0)</f>
        <v>2</v>
      </c>
      <c r="G1027" s="6">
        <f>IFERROR(__xludf.DUMMYFUNCTION("""COMPUTED_VALUE"""),2.0)</f>
        <v>2</v>
      </c>
    </row>
    <row r="1028">
      <c r="A1028" s="6">
        <f>IFERROR(__xludf.DUMMYFUNCTION("""COMPUTED_VALUE"""),2017.0)</f>
        <v>2017</v>
      </c>
      <c r="B1028" s="6" t="str">
        <f>IFERROR(__xludf.DUMMYFUNCTION("""COMPUTED_VALUE"""),"Setembro")</f>
        <v>Setembro</v>
      </c>
      <c r="C1028" s="6" t="str">
        <f>IFERROR(__xludf.DUMMYFUNCTION("""COMPUTED_VALUE"""),"HOMICÍDIO DOLOSO (exclui FEMINICÍDIO)")</f>
        <v>HOMICÍDIO DOLOSO (exclui FEMINICÍDIO)</v>
      </c>
      <c r="D1028" s="6">
        <f>IFERROR(__xludf.DUMMYFUNCTION("""COMPUTED_VALUE"""),1.0)</f>
        <v>1</v>
      </c>
      <c r="E1028" s="6">
        <f>IFERROR(__xludf.DUMMYFUNCTION("""COMPUTED_VALUE"""),0.0)</f>
        <v>0</v>
      </c>
      <c r="F1028" s="6">
        <f>IFERROR(__xludf.DUMMYFUNCTION("""COMPUTED_VALUE"""),2.0)</f>
        <v>2</v>
      </c>
      <c r="G1028" s="6">
        <f>IFERROR(__xludf.DUMMYFUNCTION("""COMPUTED_VALUE"""),3.0)</f>
        <v>3</v>
      </c>
    </row>
    <row r="1029">
      <c r="A1029" s="6">
        <f>IFERROR(__xludf.DUMMYFUNCTION("""COMPUTED_VALUE"""),2017.0)</f>
        <v>2017</v>
      </c>
      <c r="B1029" s="6" t="str">
        <f>IFERROR(__xludf.DUMMYFUNCTION("""COMPUTED_VALUE"""),"Setembro")</f>
        <v>Setembro</v>
      </c>
      <c r="C1029" s="6" t="str">
        <f>IFERROR(__xludf.DUMMYFUNCTION("""COMPUTED_VALUE"""),"FEMINICÍDIO")</f>
        <v>FEMINICÍDIO</v>
      </c>
      <c r="D1029" s="6">
        <f>IFERROR(__xludf.DUMMYFUNCTION("""COMPUTED_VALUE"""),1.0)</f>
        <v>1</v>
      </c>
      <c r="E1029" s="6">
        <f>IFERROR(__xludf.DUMMYFUNCTION("""COMPUTED_VALUE"""),2.0)</f>
        <v>2</v>
      </c>
      <c r="F1029" s="6">
        <f>IFERROR(__xludf.DUMMYFUNCTION("""COMPUTED_VALUE"""),2.0)</f>
        <v>2</v>
      </c>
      <c r="G1029" s="6">
        <f>IFERROR(__xludf.DUMMYFUNCTION("""COMPUTED_VALUE"""),5.0)</f>
        <v>5</v>
      </c>
    </row>
    <row r="1030">
      <c r="A1030" s="6">
        <f>IFERROR(__xludf.DUMMYFUNCTION("""COMPUTED_VALUE"""),2017.0)</f>
        <v>2017</v>
      </c>
      <c r="B1030" s="6" t="str">
        <f>IFERROR(__xludf.DUMMYFUNCTION("""COMPUTED_VALUE"""),"Setembro")</f>
        <v>Setembro</v>
      </c>
      <c r="C1030" s="6" t="str">
        <f>IFERROR(__xludf.DUMMYFUNCTION("""COMPUTED_VALUE"""),"HOMICÍDIO CULPOSO")</f>
        <v>HOMICÍDIO CULPOSO</v>
      </c>
      <c r="D1030" s="6">
        <f>IFERROR(__xludf.DUMMYFUNCTION("""COMPUTED_VALUE"""),0.0)</f>
        <v>0</v>
      </c>
      <c r="E1030" s="6">
        <f>IFERROR(__xludf.DUMMYFUNCTION("""COMPUTED_VALUE"""),0.0)</f>
        <v>0</v>
      </c>
      <c r="F1030" s="6">
        <f>IFERROR(__xludf.DUMMYFUNCTION("""COMPUTED_VALUE"""),0.0)</f>
        <v>0</v>
      </c>
      <c r="G1030" s="6">
        <f>IFERROR(__xludf.DUMMYFUNCTION("""COMPUTED_VALUE"""),0.0)</f>
        <v>0</v>
      </c>
    </row>
    <row r="1031">
      <c r="A1031" s="6">
        <f>IFERROR(__xludf.DUMMYFUNCTION("""COMPUTED_VALUE"""),2017.0)</f>
        <v>2017</v>
      </c>
      <c r="B1031" s="6" t="str">
        <f>IFERROR(__xludf.DUMMYFUNCTION("""COMPUTED_VALUE"""),"Setembro")</f>
        <v>Setembro</v>
      </c>
      <c r="C1031" s="6" t="str">
        <f>IFERROR(__xludf.DUMMYFUNCTION("""COMPUTED_VALUE"""),"TENTATIVA DE HOMICÍDIO")</f>
        <v>TENTATIVA DE HOMICÍDIO</v>
      </c>
      <c r="D1031" s="6">
        <f>IFERROR(__xludf.DUMMYFUNCTION("""COMPUTED_VALUE"""),1.0)</f>
        <v>1</v>
      </c>
      <c r="E1031" s="6">
        <f>IFERROR(__xludf.DUMMYFUNCTION("""COMPUTED_VALUE"""),1.0)</f>
        <v>1</v>
      </c>
      <c r="F1031" s="6">
        <f>IFERROR(__xludf.DUMMYFUNCTION("""COMPUTED_VALUE"""),11.0)</f>
        <v>11</v>
      </c>
      <c r="G1031" s="6">
        <f>IFERROR(__xludf.DUMMYFUNCTION("""COMPUTED_VALUE"""),13.0)</f>
        <v>13</v>
      </c>
    </row>
    <row r="1032">
      <c r="A1032" s="6">
        <f>IFERROR(__xludf.DUMMYFUNCTION("""COMPUTED_VALUE"""),2017.0)</f>
        <v>2017</v>
      </c>
      <c r="B1032" s="6" t="str">
        <f>IFERROR(__xludf.DUMMYFUNCTION("""COMPUTED_VALUE"""),"Setembro")</f>
        <v>Setembro</v>
      </c>
      <c r="C1032" s="6" t="str">
        <f>IFERROR(__xludf.DUMMYFUNCTION("""COMPUTED_VALUE"""),"LESÃO CORPORAL DOLOSA")</f>
        <v>LESÃO CORPORAL DOLOSA</v>
      </c>
      <c r="D1032" s="6">
        <f>IFERROR(__xludf.DUMMYFUNCTION("""COMPUTED_VALUE"""),912.0)</f>
        <v>912</v>
      </c>
      <c r="E1032" s="6">
        <f>IFERROR(__xludf.DUMMYFUNCTION("""COMPUTED_VALUE"""),784.0)</f>
        <v>784</v>
      </c>
      <c r="F1032" s="6">
        <f>IFERROR(__xludf.DUMMYFUNCTION("""COMPUTED_VALUE"""),2814.0)</f>
        <v>2814</v>
      </c>
      <c r="G1032" s="6">
        <f>IFERROR(__xludf.DUMMYFUNCTION("""COMPUTED_VALUE"""),4510.0)</f>
        <v>4510</v>
      </c>
    </row>
    <row r="1033">
      <c r="A1033" s="6">
        <f>IFERROR(__xludf.DUMMYFUNCTION("""COMPUTED_VALUE"""),2017.0)</f>
        <v>2017</v>
      </c>
      <c r="B1033" s="6" t="str">
        <f>IFERROR(__xludf.DUMMYFUNCTION("""COMPUTED_VALUE"""),"Setembro")</f>
        <v>Setembro</v>
      </c>
      <c r="C1033" s="6" t="str">
        <f>IFERROR(__xludf.DUMMYFUNCTION("""COMPUTED_VALUE"""),"MAUS TRATOS")</f>
        <v>MAUS TRATOS</v>
      </c>
      <c r="D1033" s="6">
        <f>IFERROR(__xludf.DUMMYFUNCTION("""COMPUTED_VALUE"""),2.0)</f>
        <v>2</v>
      </c>
      <c r="E1033" s="6">
        <f>IFERROR(__xludf.DUMMYFUNCTION("""COMPUTED_VALUE"""),2.0)</f>
        <v>2</v>
      </c>
      <c r="F1033" s="6">
        <f>IFERROR(__xludf.DUMMYFUNCTION("""COMPUTED_VALUE"""),14.0)</f>
        <v>14</v>
      </c>
      <c r="G1033" s="6">
        <f>IFERROR(__xludf.DUMMYFUNCTION("""COMPUTED_VALUE"""),18.0)</f>
        <v>18</v>
      </c>
    </row>
    <row r="1034">
      <c r="A1034" s="6">
        <f>IFERROR(__xludf.DUMMYFUNCTION("""COMPUTED_VALUE"""),2017.0)</f>
        <v>2017</v>
      </c>
      <c r="B1034" s="6" t="str">
        <f>IFERROR(__xludf.DUMMYFUNCTION("""COMPUTED_VALUE"""),"Setembro")</f>
        <v>Setembro</v>
      </c>
      <c r="C1034" s="6" t="str">
        <f>IFERROR(__xludf.DUMMYFUNCTION("""COMPUTED_VALUE"""),"CALÚNIA - DIFAMAÇÃO - INJÚRIA")</f>
        <v>CALÚNIA - DIFAMAÇÃO - INJÚRIA</v>
      </c>
      <c r="D1034" s="6">
        <f>IFERROR(__xludf.DUMMYFUNCTION("""COMPUTED_VALUE"""),178.0)</f>
        <v>178</v>
      </c>
      <c r="E1034" s="6">
        <f>IFERROR(__xludf.DUMMYFUNCTION("""COMPUTED_VALUE"""),151.0)</f>
        <v>151</v>
      </c>
      <c r="F1034" s="6">
        <f>IFERROR(__xludf.DUMMYFUNCTION("""COMPUTED_VALUE"""),654.0)</f>
        <v>654</v>
      </c>
      <c r="G1034" s="6">
        <f>IFERROR(__xludf.DUMMYFUNCTION("""COMPUTED_VALUE"""),983.0)</f>
        <v>983</v>
      </c>
    </row>
    <row r="1035">
      <c r="A1035" s="6">
        <f>IFERROR(__xludf.DUMMYFUNCTION("""COMPUTED_VALUE"""),2017.0)</f>
        <v>2017</v>
      </c>
      <c r="B1035" s="6" t="str">
        <f>IFERROR(__xludf.DUMMYFUNCTION("""COMPUTED_VALUE"""),"Setembro")</f>
        <v>Setembro</v>
      </c>
      <c r="C1035" s="6" t="str">
        <f>IFERROR(__xludf.DUMMYFUNCTION("""COMPUTED_VALUE"""),"CONSTRANGIMENTO ILEGAL")</f>
        <v>CONSTRANGIMENTO ILEGAL</v>
      </c>
      <c r="D1035" s="6">
        <f>IFERROR(__xludf.DUMMYFUNCTION("""COMPUTED_VALUE"""),1.0)</f>
        <v>1</v>
      </c>
      <c r="E1035" s="6">
        <f>IFERROR(__xludf.DUMMYFUNCTION("""COMPUTED_VALUE"""),0.0)</f>
        <v>0</v>
      </c>
      <c r="F1035" s="6">
        <f>IFERROR(__xludf.DUMMYFUNCTION("""COMPUTED_VALUE"""),5.0)</f>
        <v>5</v>
      </c>
      <c r="G1035" s="6">
        <f>IFERROR(__xludf.DUMMYFUNCTION("""COMPUTED_VALUE"""),6.0)</f>
        <v>6</v>
      </c>
    </row>
    <row r="1036">
      <c r="A1036" s="6">
        <f>IFERROR(__xludf.DUMMYFUNCTION("""COMPUTED_VALUE"""),2017.0)</f>
        <v>2017</v>
      </c>
      <c r="B1036" s="6" t="str">
        <f>IFERROR(__xludf.DUMMYFUNCTION("""COMPUTED_VALUE"""),"Setembro")</f>
        <v>Setembro</v>
      </c>
      <c r="C1036" s="6" t="str">
        <f>IFERROR(__xludf.DUMMYFUNCTION("""COMPUTED_VALUE"""),"AMEAÇA")</f>
        <v>AMEAÇA</v>
      </c>
      <c r="D1036" s="6">
        <f>IFERROR(__xludf.DUMMYFUNCTION("""COMPUTED_VALUE"""),842.0)</f>
        <v>842</v>
      </c>
      <c r="E1036" s="6">
        <f>IFERROR(__xludf.DUMMYFUNCTION("""COMPUTED_VALUE"""),771.0)</f>
        <v>771</v>
      </c>
      <c r="F1036" s="6">
        <f>IFERROR(__xludf.DUMMYFUNCTION("""COMPUTED_VALUE"""),2884.0)</f>
        <v>2884</v>
      </c>
      <c r="G1036" s="6">
        <f>IFERROR(__xludf.DUMMYFUNCTION("""COMPUTED_VALUE"""),4497.0)</f>
        <v>4497</v>
      </c>
    </row>
    <row r="1037">
      <c r="A1037" s="6">
        <f>IFERROR(__xludf.DUMMYFUNCTION("""COMPUTED_VALUE"""),2017.0)</f>
        <v>2017</v>
      </c>
      <c r="B1037" s="6" t="str">
        <f>IFERROR(__xludf.DUMMYFUNCTION("""COMPUTED_VALUE"""),"Setembro")</f>
        <v>Setembro</v>
      </c>
      <c r="C1037" s="6" t="str">
        <f>IFERROR(__xludf.DUMMYFUNCTION("""COMPUTED_VALUE"""),"INVASÃO DE DOMICÍLIO")</f>
        <v>INVASÃO DE DOMICÍLIO</v>
      </c>
      <c r="D1037" s="6">
        <f>IFERROR(__xludf.DUMMYFUNCTION("""COMPUTED_VALUE"""),1.0)</f>
        <v>1</v>
      </c>
      <c r="E1037" s="6">
        <f>IFERROR(__xludf.DUMMYFUNCTION("""COMPUTED_VALUE"""),1.0)</f>
        <v>1</v>
      </c>
      <c r="F1037" s="6">
        <f>IFERROR(__xludf.DUMMYFUNCTION("""COMPUTED_VALUE"""),11.0)</f>
        <v>11</v>
      </c>
      <c r="G1037" s="6">
        <f>IFERROR(__xludf.DUMMYFUNCTION("""COMPUTED_VALUE"""),13.0)</f>
        <v>13</v>
      </c>
    </row>
    <row r="1038">
      <c r="A1038" s="6">
        <f>IFERROR(__xludf.DUMMYFUNCTION("""COMPUTED_VALUE"""),2017.0)</f>
        <v>2017</v>
      </c>
      <c r="B1038" s="6" t="str">
        <f>IFERROR(__xludf.DUMMYFUNCTION("""COMPUTED_VALUE"""),"Setembro")</f>
        <v>Setembro</v>
      </c>
      <c r="C1038" s="6" t="str">
        <f>IFERROR(__xludf.DUMMYFUNCTION("""COMPUTED_VALUE"""),"DANO")</f>
        <v>DANO</v>
      </c>
      <c r="D1038" s="6">
        <f>IFERROR(__xludf.DUMMYFUNCTION("""COMPUTED_VALUE"""),9.0)</f>
        <v>9</v>
      </c>
      <c r="E1038" s="6">
        <f>IFERROR(__xludf.DUMMYFUNCTION("""COMPUTED_VALUE"""),9.0)</f>
        <v>9</v>
      </c>
      <c r="F1038" s="6">
        <f>IFERROR(__xludf.DUMMYFUNCTION("""COMPUTED_VALUE"""),51.0)</f>
        <v>51</v>
      </c>
      <c r="G1038" s="6">
        <f>IFERROR(__xludf.DUMMYFUNCTION("""COMPUTED_VALUE"""),69.0)</f>
        <v>69</v>
      </c>
    </row>
    <row r="1039">
      <c r="A1039" s="6">
        <f>IFERROR(__xludf.DUMMYFUNCTION("""COMPUTED_VALUE"""),2017.0)</f>
        <v>2017</v>
      </c>
      <c r="B1039" s="6" t="str">
        <f>IFERROR(__xludf.DUMMYFUNCTION("""COMPUTED_VALUE"""),"Setembro")</f>
        <v>Setembro</v>
      </c>
      <c r="C1039" s="6" t="str">
        <f>IFERROR(__xludf.DUMMYFUNCTION("""COMPUTED_VALUE"""),"ESTUPRO CONSUMADO")</f>
        <v>ESTUPRO CONSUMADO</v>
      </c>
      <c r="D1039" s="6">
        <f>IFERROR(__xludf.DUMMYFUNCTION("""COMPUTED_VALUE"""),9.0)</f>
        <v>9</v>
      </c>
      <c r="E1039" s="6">
        <f>IFERROR(__xludf.DUMMYFUNCTION("""COMPUTED_VALUE"""),6.0)</f>
        <v>6</v>
      </c>
      <c r="F1039" s="6">
        <f>IFERROR(__xludf.DUMMYFUNCTION("""COMPUTED_VALUE"""),16.0)</f>
        <v>16</v>
      </c>
      <c r="G1039" s="6">
        <f>IFERROR(__xludf.DUMMYFUNCTION("""COMPUTED_VALUE"""),31.0)</f>
        <v>31</v>
      </c>
    </row>
    <row r="1040">
      <c r="A1040" s="6">
        <f>IFERROR(__xludf.DUMMYFUNCTION("""COMPUTED_VALUE"""),2017.0)</f>
        <v>2017</v>
      </c>
      <c r="B1040" s="6" t="str">
        <f>IFERROR(__xludf.DUMMYFUNCTION("""COMPUTED_VALUE"""),"Setembro")</f>
        <v>Setembro</v>
      </c>
      <c r="C1040" s="6" t="str">
        <f>IFERROR(__xludf.DUMMYFUNCTION("""COMPUTED_VALUE"""),"ESTUPRO TENTADO")</f>
        <v>ESTUPRO TENTADO</v>
      </c>
      <c r="D1040" s="6">
        <f>IFERROR(__xludf.DUMMYFUNCTION("""COMPUTED_VALUE"""),0.0)</f>
        <v>0</v>
      </c>
      <c r="E1040" s="6">
        <f>IFERROR(__xludf.DUMMYFUNCTION("""COMPUTED_VALUE"""),0.0)</f>
        <v>0</v>
      </c>
      <c r="F1040" s="6">
        <f>IFERROR(__xludf.DUMMYFUNCTION("""COMPUTED_VALUE"""),1.0)</f>
        <v>1</v>
      </c>
      <c r="G1040" s="6">
        <f>IFERROR(__xludf.DUMMYFUNCTION("""COMPUTED_VALUE"""),1.0)</f>
        <v>1</v>
      </c>
    </row>
    <row r="1041">
      <c r="A1041" s="6">
        <f>IFERROR(__xludf.DUMMYFUNCTION("""COMPUTED_VALUE"""),2017.0)</f>
        <v>2017</v>
      </c>
      <c r="B1041" s="6" t="str">
        <f>IFERROR(__xludf.DUMMYFUNCTION("""COMPUTED_VALUE"""),"Setembro")</f>
        <v>Setembro</v>
      </c>
      <c r="C1041" s="6" t="str">
        <f>IFERROR(__xludf.DUMMYFUNCTION("""COMPUTED_VALUE"""),"ESTUPRO DE VULNERÁVEL CONSUMADO")</f>
        <v>ESTUPRO DE VULNERÁVEL CONSUMADO</v>
      </c>
      <c r="D1041" s="6">
        <f>IFERROR(__xludf.DUMMYFUNCTION("""COMPUTED_VALUE"""),2.0)</f>
        <v>2</v>
      </c>
      <c r="E1041" s="6">
        <f>IFERROR(__xludf.DUMMYFUNCTION("""COMPUTED_VALUE"""),3.0)</f>
        <v>3</v>
      </c>
      <c r="F1041" s="6">
        <f>IFERROR(__xludf.DUMMYFUNCTION("""COMPUTED_VALUE"""),15.0)</f>
        <v>15</v>
      </c>
      <c r="G1041" s="6">
        <f>IFERROR(__xludf.DUMMYFUNCTION("""COMPUTED_VALUE"""),20.0)</f>
        <v>20</v>
      </c>
    </row>
    <row r="1042">
      <c r="A1042" s="6">
        <f>IFERROR(__xludf.DUMMYFUNCTION("""COMPUTED_VALUE"""),2017.0)</f>
        <v>2017</v>
      </c>
      <c r="B1042" s="6" t="str">
        <f>IFERROR(__xludf.DUMMYFUNCTION("""COMPUTED_VALUE"""),"Setembro")</f>
        <v>Setembro</v>
      </c>
      <c r="C1042" s="6" t="str">
        <f>IFERROR(__xludf.DUMMYFUNCTION("""COMPUTED_VALUE"""),"OUTROS C/C/ DIGNIDADE SEXUAL")</f>
        <v>OUTROS C/C/ DIGNIDADE SEXUAL</v>
      </c>
      <c r="D1042" s="6">
        <f>IFERROR(__xludf.DUMMYFUNCTION("""COMPUTED_VALUE"""),0.0)</f>
        <v>0</v>
      </c>
      <c r="E1042" s="6">
        <f>IFERROR(__xludf.DUMMYFUNCTION("""COMPUTED_VALUE"""),0.0)</f>
        <v>0</v>
      </c>
      <c r="F1042" s="6">
        <f>IFERROR(__xludf.DUMMYFUNCTION("""COMPUTED_VALUE"""),1.0)</f>
        <v>1</v>
      </c>
      <c r="G1042" s="6">
        <f>IFERROR(__xludf.DUMMYFUNCTION("""COMPUTED_VALUE"""),1.0)</f>
        <v>1</v>
      </c>
    </row>
    <row r="1043">
      <c r="A1043" s="6">
        <f>IFERROR(__xludf.DUMMYFUNCTION("""COMPUTED_VALUE"""),2017.0)</f>
        <v>2017</v>
      </c>
      <c r="B1043" s="6" t="str">
        <f>IFERROR(__xludf.DUMMYFUNCTION("""COMPUTED_VALUE"""),"Outubro")</f>
        <v>Outubro</v>
      </c>
      <c r="C1043" s="6" t="str">
        <f>IFERROR(__xludf.DUMMYFUNCTION("""COMPUTED_VALUE"""),"HOMICÍDIO DOLOSO (exclui FEMINICÍDIO)")</f>
        <v>HOMICÍDIO DOLOSO (exclui FEMINICÍDIO)</v>
      </c>
      <c r="D1043" s="6">
        <f>IFERROR(__xludf.DUMMYFUNCTION("""COMPUTED_VALUE"""),2.0)</f>
        <v>2</v>
      </c>
      <c r="E1043" s="6">
        <f>IFERROR(__xludf.DUMMYFUNCTION("""COMPUTED_VALUE"""),1.0)</f>
        <v>1</v>
      </c>
      <c r="F1043" s="6">
        <f>IFERROR(__xludf.DUMMYFUNCTION("""COMPUTED_VALUE"""),3.0)</f>
        <v>3</v>
      </c>
      <c r="G1043" s="6">
        <f>IFERROR(__xludf.DUMMYFUNCTION("""COMPUTED_VALUE"""),6.0)</f>
        <v>6</v>
      </c>
    </row>
    <row r="1044">
      <c r="A1044" s="6">
        <f>IFERROR(__xludf.DUMMYFUNCTION("""COMPUTED_VALUE"""),2017.0)</f>
        <v>2017</v>
      </c>
      <c r="B1044" s="6" t="str">
        <f>IFERROR(__xludf.DUMMYFUNCTION("""COMPUTED_VALUE"""),"Outubro")</f>
        <v>Outubro</v>
      </c>
      <c r="C1044" s="6" t="str">
        <f>IFERROR(__xludf.DUMMYFUNCTION("""COMPUTED_VALUE"""),"FEMINICÍDIO")</f>
        <v>FEMINICÍDIO</v>
      </c>
      <c r="D1044" s="6">
        <f>IFERROR(__xludf.DUMMYFUNCTION("""COMPUTED_VALUE"""),2.0)</f>
        <v>2</v>
      </c>
      <c r="E1044" s="6">
        <f>IFERROR(__xludf.DUMMYFUNCTION("""COMPUTED_VALUE"""),3.0)</f>
        <v>3</v>
      </c>
      <c r="F1044" s="6">
        <f>IFERROR(__xludf.DUMMYFUNCTION("""COMPUTED_VALUE"""),4.0)</f>
        <v>4</v>
      </c>
      <c r="G1044" s="6">
        <f>IFERROR(__xludf.DUMMYFUNCTION("""COMPUTED_VALUE"""),9.0)</f>
        <v>9</v>
      </c>
    </row>
    <row r="1045">
      <c r="A1045" s="6">
        <f>IFERROR(__xludf.DUMMYFUNCTION("""COMPUTED_VALUE"""),2017.0)</f>
        <v>2017</v>
      </c>
      <c r="B1045" s="6" t="str">
        <f>IFERROR(__xludf.DUMMYFUNCTION("""COMPUTED_VALUE"""),"Outubro")</f>
        <v>Outubro</v>
      </c>
      <c r="C1045" s="6" t="str">
        <f>IFERROR(__xludf.DUMMYFUNCTION("""COMPUTED_VALUE"""),"HOMICÍDIO CULPOSO")</f>
        <v>HOMICÍDIO CULPOSO</v>
      </c>
      <c r="D1045" s="6">
        <f>IFERROR(__xludf.DUMMYFUNCTION("""COMPUTED_VALUE"""),0.0)</f>
        <v>0</v>
      </c>
      <c r="E1045" s="6">
        <f>IFERROR(__xludf.DUMMYFUNCTION("""COMPUTED_VALUE"""),0.0)</f>
        <v>0</v>
      </c>
      <c r="F1045" s="6">
        <f>IFERROR(__xludf.DUMMYFUNCTION("""COMPUTED_VALUE"""),0.0)</f>
        <v>0</v>
      </c>
      <c r="G1045" s="6">
        <f>IFERROR(__xludf.DUMMYFUNCTION("""COMPUTED_VALUE"""),0.0)</f>
        <v>0</v>
      </c>
    </row>
    <row r="1046">
      <c r="A1046" s="6">
        <f>IFERROR(__xludf.DUMMYFUNCTION("""COMPUTED_VALUE"""),2017.0)</f>
        <v>2017</v>
      </c>
      <c r="B1046" s="6" t="str">
        <f>IFERROR(__xludf.DUMMYFUNCTION("""COMPUTED_VALUE"""),"Outubro")</f>
        <v>Outubro</v>
      </c>
      <c r="C1046" s="6" t="str">
        <f>IFERROR(__xludf.DUMMYFUNCTION("""COMPUTED_VALUE"""),"TENTATIVA DE HOMICÍDIO")</f>
        <v>TENTATIVA DE HOMICÍDIO</v>
      </c>
      <c r="D1046" s="6">
        <f>IFERROR(__xludf.DUMMYFUNCTION("""COMPUTED_VALUE"""),2.0)</f>
        <v>2</v>
      </c>
      <c r="E1046" s="6">
        <f>IFERROR(__xludf.DUMMYFUNCTION("""COMPUTED_VALUE"""),2.0)</f>
        <v>2</v>
      </c>
      <c r="F1046" s="6">
        <f>IFERROR(__xludf.DUMMYFUNCTION("""COMPUTED_VALUE"""),13.0)</f>
        <v>13</v>
      </c>
      <c r="G1046" s="6">
        <f>IFERROR(__xludf.DUMMYFUNCTION("""COMPUTED_VALUE"""),17.0)</f>
        <v>17</v>
      </c>
    </row>
    <row r="1047">
      <c r="A1047" s="6">
        <f>IFERROR(__xludf.DUMMYFUNCTION("""COMPUTED_VALUE"""),2017.0)</f>
        <v>2017</v>
      </c>
      <c r="B1047" s="6" t="str">
        <f>IFERROR(__xludf.DUMMYFUNCTION("""COMPUTED_VALUE"""),"Outubro")</f>
        <v>Outubro</v>
      </c>
      <c r="C1047" s="6" t="str">
        <f>IFERROR(__xludf.DUMMYFUNCTION("""COMPUTED_VALUE"""),"LESÃO CORPORAL DOLOSA")</f>
        <v>LESÃO CORPORAL DOLOSA</v>
      </c>
      <c r="D1047" s="6">
        <f>IFERROR(__xludf.DUMMYFUNCTION("""COMPUTED_VALUE"""),1014.0)</f>
        <v>1014</v>
      </c>
      <c r="E1047" s="6">
        <f>IFERROR(__xludf.DUMMYFUNCTION("""COMPUTED_VALUE"""),864.0)</f>
        <v>864</v>
      </c>
      <c r="F1047" s="6">
        <f>IFERROR(__xludf.DUMMYFUNCTION("""COMPUTED_VALUE"""),3118.0)</f>
        <v>3118</v>
      </c>
      <c r="G1047" s="6">
        <f>IFERROR(__xludf.DUMMYFUNCTION("""COMPUTED_VALUE"""),4996.0)</f>
        <v>4996</v>
      </c>
    </row>
    <row r="1048">
      <c r="A1048" s="6">
        <f>IFERROR(__xludf.DUMMYFUNCTION("""COMPUTED_VALUE"""),2017.0)</f>
        <v>2017</v>
      </c>
      <c r="B1048" s="6" t="str">
        <f>IFERROR(__xludf.DUMMYFUNCTION("""COMPUTED_VALUE"""),"Outubro")</f>
        <v>Outubro</v>
      </c>
      <c r="C1048" s="6" t="str">
        <f>IFERROR(__xludf.DUMMYFUNCTION("""COMPUTED_VALUE"""),"MAUS TRATOS")</f>
        <v>MAUS TRATOS</v>
      </c>
      <c r="D1048" s="6">
        <f>IFERROR(__xludf.DUMMYFUNCTION("""COMPUTED_VALUE"""),3.0)</f>
        <v>3</v>
      </c>
      <c r="E1048" s="6">
        <f>IFERROR(__xludf.DUMMYFUNCTION("""COMPUTED_VALUE"""),2.0)</f>
        <v>2</v>
      </c>
      <c r="F1048" s="6">
        <f>IFERROR(__xludf.DUMMYFUNCTION("""COMPUTED_VALUE"""),18.0)</f>
        <v>18</v>
      </c>
      <c r="G1048" s="6">
        <f>IFERROR(__xludf.DUMMYFUNCTION("""COMPUTED_VALUE"""),23.0)</f>
        <v>23</v>
      </c>
    </row>
    <row r="1049">
      <c r="A1049" s="6">
        <f>IFERROR(__xludf.DUMMYFUNCTION("""COMPUTED_VALUE"""),2017.0)</f>
        <v>2017</v>
      </c>
      <c r="B1049" s="6" t="str">
        <f>IFERROR(__xludf.DUMMYFUNCTION("""COMPUTED_VALUE"""),"Outubro")</f>
        <v>Outubro</v>
      </c>
      <c r="C1049" s="6" t="str">
        <f>IFERROR(__xludf.DUMMYFUNCTION("""COMPUTED_VALUE"""),"CALÚNIA - DIFAMAÇÃO - INJÚRIA")</f>
        <v>CALÚNIA - DIFAMAÇÃO - INJÚRIA</v>
      </c>
      <c r="D1049" s="6">
        <f>IFERROR(__xludf.DUMMYFUNCTION("""COMPUTED_VALUE"""),198.0)</f>
        <v>198</v>
      </c>
      <c r="E1049" s="6">
        <f>IFERROR(__xludf.DUMMYFUNCTION("""COMPUTED_VALUE"""),168.0)</f>
        <v>168</v>
      </c>
      <c r="F1049" s="6">
        <f>IFERROR(__xludf.DUMMYFUNCTION("""COMPUTED_VALUE"""),724.0)</f>
        <v>724</v>
      </c>
      <c r="G1049" s="6">
        <f>IFERROR(__xludf.DUMMYFUNCTION("""COMPUTED_VALUE"""),1090.0)</f>
        <v>1090</v>
      </c>
    </row>
    <row r="1050">
      <c r="A1050" s="6">
        <f>IFERROR(__xludf.DUMMYFUNCTION("""COMPUTED_VALUE"""),2017.0)</f>
        <v>2017</v>
      </c>
      <c r="B1050" s="6" t="str">
        <f>IFERROR(__xludf.DUMMYFUNCTION("""COMPUTED_VALUE"""),"Outubro")</f>
        <v>Outubro</v>
      </c>
      <c r="C1050" s="6" t="str">
        <f>IFERROR(__xludf.DUMMYFUNCTION("""COMPUTED_VALUE"""),"CONSTRANGIMENTO ILEGAL")</f>
        <v>CONSTRANGIMENTO ILEGAL</v>
      </c>
      <c r="D1050" s="6">
        <f>IFERROR(__xludf.DUMMYFUNCTION("""COMPUTED_VALUE"""),1.0)</f>
        <v>1</v>
      </c>
      <c r="E1050" s="6">
        <f>IFERROR(__xludf.DUMMYFUNCTION("""COMPUTED_VALUE"""),1.0)</f>
        <v>1</v>
      </c>
      <c r="F1050" s="6">
        <f>IFERROR(__xludf.DUMMYFUNCTION("""COMPUTED_VALUE"""),7.0)</f>
        <v>7</v>
      </c>
      <c r="G1050" s="6">
        <f>IFERROR(__xludf.DUMMYFUNCTION("""COMPUTED_VALUE"""),9.0)</f>
        <v>9</v>
      </c>
    </row>
    <row r="1051">
      <c r="A1051" s="6">
        <f>IFERROR(__xludf.DUMMYFUNCTION("""COMPUTED_VALUE"""),2017.0)</f>
        <v>2017</v>
      </c>
      <c r="B1051" s="6" t="str">
        <f>IFERROR(__xludf.DUMMYFUNCTION("""COMPUTED_VALUE"""),"Outubro")</f>
        <v>Outubro</v>
      </c>
      <c r="C1051" s="6" t="str">
        <f>IFERROR(__xludf.DUMMYFUNCTION("""COMPUTED_VALUE"""),"AMEAÇA")</f>
        <v>AMEAÇA</v>
      </c>
      <c r="D1051" s="6">
        <f>IFERROR(__xludf.DUMMYFUNCTION("""COMPUTED_VALUE"""),948.0)</f>
        <v>948</v>
      </c>
      <c r="E1051" s="6">
        <f>IFERROR(__xludf.DUMMYFUNCTION("""COMPUTED_VALUE"""),852.0)</f>
        <v>852</v>
      </c>
      <c r="F1051" s="6">
        <f>IFERROR(__xludf.DUMMYFUNCTION("""COMPUTED_VALUE"""),3214.0)</f>
        <v>3214</v>
      </c>
      <c r="G1051" s="6">
        <f>IFERROR(__xludf.DUMMYFUNCTION("""COMPUTED_VALUE"""),5014.0)</f>
        <v>5014</v>
      </c>
    </row>
    <row r="1052">
      <c r="A1052" s="6">
        <f>IFERROR(__xludf.DUMMYFUNCTION("""COMPUTED_VALUE"""),2017.0)</f>
        <v>2017</v>
      </c>
      <c r="B1052" s="6" t="str">
        <f>IFERROR(__xludf.DUMMYFUNCTION("""COMPUTED_VALUE"""),"Outubro")</f>
        <v>Outubro</v>
      </c>
      <c r="C1052" s="6" t="str">
        <f>IFERROR(__xludf.DUMMYFUNCTION("""COMPUTED_VALUE"""),"INVASÃO DE DOMICÍLIO")</f>
        <v>INVASÃO DE DOMICÍLIO</v>
      </c>
      <c r="D1052" s="6">
        <f>IFERROR(__xludf.DUMMYFUNCTION("""COMPUTED_VALUE"""),1.0)</f>
        <v>1</v>
      </c>
      <c r="E1052" s="6">
        <f>IFERROR(__xludf.DUMMYFUNCTION("""COMPUTED_VALUE"""),2.0)</f>
        <v>2</v>
      </c>
      <c r="F1052" s="6">
        <f>IFERROR(__xludf.DUMMYFUNCTION("""COMPUTED_VALUE"""),13.0)</f>
        <v>13</v>
      </c>
      <c r="G1052" s="6">
        <f>IFERROR(__xludf.DUMMYFUNCTION("""COMPUTED_VALUE"""),16.0)</f>
        <v>16</v>
      </c>
    </row>
    <row r="1053">
      <c r="A1053" s="6">
        <f>IFERROR(__xludf.DUMMYFUNCTION("""COMPUTED_VALUE"""),2017.0)</f>
        <v>2017</v>
      </c>
      <c r="B1053" s="6" t="str">
        <f>IFERROR(__xludf.DUMMYFUNCTION("""COMPUTED_VALUE"""),"Outubro")</f>
        <v>Outubro</v>
      </c>
      <c r="C1053" s="6" t="str">
        <f>IFERROR(__xludf.DUMMYFUNCTION("""COMPUTED_VALUE"""),"DANO")</f>
        <v>DANO</v>
      </c>
      <c r="D1053" s="6">
        <f>IFERROR(__xludf.DUMMYFUNCTION("""COMPUTED_VALUE"""),11.0)</f>
        <v>11</v>
      </c>
      <c r="E1053" s="6">
        <f>IFERROR(__xludf.DUMMYFUNCTION("""COMPUTED_VALUE"""),11.0)</f>
        <v>11</v>
      </c>
      <c r="F1053" s="6">
        <f>IFERROR(__xludf.DUMMYFUNCTION("""COMPUTED_VALUE"""),62.0)</f>
        <v>62</v>
      </c>
      <c r="G1053" s="6">
        <f>IFERROR(__xludf.DUMMYFUNCTION("""COMPUTED_VALUE"""),84.0)</f>
        <v>84</v>
      </c>
    </row>
    <row r="1054">
      <c r="A1054" s="6">
        <f>IFERROR(__xludf.DUMMYFUNCTION("""COMPUTED_VALUE"""),2017.0)</f>
        <v>2017</v>
      </c>
      <c r="B1054" s="6" t="str">
        <f>IFERROR(__xludf.DUMMYFUNCTION("""COMPUTED_VALUE"""),"Outubro")</f>
        <v>Outubro</v>
      </c>
      <c r="C1054" s="6" t="str">
        <f>IFERROR(__xludf.DUMMYFUNCTION("""COMPUTED_VALUE"""),"ESTUPRO CONSUMADO")</f>
        <v>ESTUPRO CONSUMADO</v>
      </c>
      <c r="D1054" s="6">
        <f>IFERROR(__xludf.DUMMYFUNCTION("""COMPUTED_VALUE"""),10.0)</f>
        <v>10</v>
      </c>
      <c r="E1054" s="6">
        <f>IFERROR(__xludf.DUMMYFUNCTION("""COMPUTED_VALUE"""),7.0)</f>
        <v>7</v>
      </c>
      <c r="F1054" s="6">
        <f>IFERROR(__xludf.DUMMYFUNCTION("""COMPUTED_VALUE"""),19.0)</f>
        <v>19</v>
      </c>
      <c r="G1054" s="6">
        <f>IFERROR(__xludf.DUMMYFUNCTION("""COMPUTED_VALUE"""),36.0)</f>
        <v>36</v>
      </c>
    </row>
    <row r="1055">
      <c r="A1055" s="6">
        <f>IFERROR(__xludf.DUMMYFUNCTION("""COMPUTED_VALUE"""),2017.0)</f>
        <v>2017</v>
      </c>
      <c r="B1055" s="6" t="str">
        <f>IFERROR(__xludf.DUMMYFUNCTION("""COMPUTED_VALUE"""),"Outubro")</f>
        <v>Outubro</v>
      </c>
      <c r="C1055" s="6" t="str">
        <f>IFERROR(__xludf.DUMMYFUNCTION("""COMPUTED_VALUE"""),"ESTUPRO TENTADO")</f>
        <v>ESTUPRO TENTADO</v>
      </c>
      <c r="D1055" s="6">
        <f>IFERROR(__xludf.DUMMYFUNCTION("""COMPUTED_VALUE"""),1.0)</f>
        <v>1</v>
      </c>
      <c r="E1055" s="6">
        <f>IFERROR(__xludf.DUMMYFUNCTION("""COMPUTED_VALUE"""),0.0)</f>
        <v>0</v>
      </c>
      <c r="F1055" s="6">
        <f>IFERROR(__xludf.DUMMYFUNCTION("""COMPUTED_VALUE"""),1.0)</f>
        <v>1</v>
      </c>
      <c r="G1055" s="6">
        <f>IFERROR(__xludf.DUMMYFUNCTION("""COMPUTED_VALUE"""),2.0)</f>
        <v>2</v>
      </c>
    </row>
    <row r="1056">
      <c r="A1056" s="6">
        <f>IFERROR(__xludf.DUMMYFUNCTION("""COMPUTED_VALUE"""),2017.0)</f>
        <v>2017</v>
      </c>
      <c r="B1056" s="6" t="str">
        <f>IFERROR(__xludf.DUMMYFUNCTION("""COMPUTED_VALUE"""),"Outubro")</f>
        <v>Outubro</v>
      </c>
      <c r="C1056" s="6" t="str">
        <f>IFERROR(__xludf.DUMMYFUNCTION("""COMPUTED_VALUE"""),"ESTUPRO DE VULNERÁVEL CONSUMADO")</f>
        <v>ESTUPRO DE VULNERÁVEL CONSUMADO</v>
      </c>
      <c r="D1056" s="6">
        <f>IFERROR(__xludf.DUMMYFUNCTION("""COMPUTED_VALUE"""),3.0)</f>
        <v>3</v>
      </c>
      <c r="E1056" s="6">
        <f>IFERROR(__xludf.DUMMYFUNCTION("""COMPUTED_VALUE"""),4.0)</f>
        <v>4</v>
      </c>
      <c r="F1056" s="6">
        <f>IFERROR(__xludf.DUMMYFUNCTION("""COMPUTED_VALUE"""),18.0)</f>
        <v>18</v>
      </c>
      <c r="G1056" s="6">
        <f>IFERROR(__xludf.DUMMYFUNCTION("""COMPUTED_VALUE"""),25.0)</f>
        <v>25</v>
      </c>
    </row>
    <row r="1057">
      <c r="A1057" s="6">
        <f>IFERROR(__xludf.DUMMYFUNCTION("""COMPUTED_VALUE"""),2017.0)</f>
        <v>2017</v>
      </c>
      <c r="B1057" s="6" t="str">
        <f>IFERROR(__xludf.DUMMYFUNCTION("""COMPUTED_VALUE"""),"Outubro")</f>
        <v>Outubro</v>
      </c>
      <c r="C1057" s="6" t="str">
        <f>IFERROR(__xludf.DUMMYFUNCTION("""COMPUTED_VALUE"""),"OUTROS C/C/ DIGNIDADE SEXUAL")</f>
        <v>OUTROS C/C/ DIGNIDADE SEXUAL</v>
      </c>
      <c r="D1057" s="6">
        <f>IFERROR(__xludf.DUMMYFUNCTION("""COMPUTED_VALUE"""),0.0)</f>
        <v>0</v>
      </c>
      <c r="E1057" s="6">
        <f>IFERROR(__xludf.DUMMYFUNCTION("""COMPUTED_VALUE"""),1.0)</f>
        <v>1</v>
      </c>
      <c r="F1057" s="6">
        <f>IFERROR(__xludf.DUMMYFUNCTION("""COMPUTED_VALUE"""),2.0)</f>
        <v>2</v>
      </c>
      <c r="G1057" s="6">
        <f>IFERROR(__xludf.DUMMYFUNCTION("""COMPUTED_VALUE"""),3.0)</f>
        <v>3</v>
      </c>
    </row>
    <row r="1058">
      <c r="A1058" s="6">
        <f>IFERROR(__xludf.DUMMYFUNCTION("""COMPUTED_VALUE"""),2017.0)</f>
        <v>2017</v>
      </c>
      <c r="B1058" s="6" t="str">
        <f>IFERROR(__xludf.DUMMYFUNCTION("""COMPUTED_VALUE"""),"Novembro")</f>
        <v>Novembro</v>
      </c>
      <c r="C1058" s="6" t="str">
        <f>IFERROR(__xludf.DUMMYFUNCTION("""COMPUTED_VALUE"""),"HOMICÍDIO DOLOSO (exclui FEMINICÍDIO)")</f>
        <v>HOMICÍDIO DOLOSO (exclui FEMINICÍDIO)</v>
      </c>
      <c r="D1058" s="6">
        <f>IFERROR(__xludf.DUMMYFUNCTION("""COMPUTED_VALUE"""),1.0)</f>
        <v>1</v>
      </c>
      <c r="E1058" s="6">
        <f>IFERROR(__xludf.DUMMYFUNCTION("""COMPUTED_VALUE"""),0.0)</f>
        <v>0</v>
      </c>
      <c r="F1058" s="6">
        <f>IFERROR(__xludf.DUMMYFUNCTION("""COMPUTED_VALUE"""),2.0)</f>
        <v>2</v>
      </c>
      <c r="G1058" s="6">
        <f>IFERROR(__xludf.DUMMYFUNCTION("""COMPUTED_VALUE"""),3.0)</f>
        <v>3</v>
      </c>
    </row>
    <row r="1059">
      <c r="A1059" s="6">
        <f>IFERROR(__xludf.DUMMYFUNCTION("""COMPUTED_VALUE"""),2017.0)</f>
        <v>2017</v>
      </c>
      <c r="B1059" s="6" t="str">
        <f>IFERROR(__xludf.DUMMYFUNCTION("""COMPUTED_VALUE"""),"Novembro")</f>
        <v>Novembro</v>
      </c>
      <c r="C1059" s="6" t="str">
        <f>IFERROR(__xludf.DUMMYFUNCTION("""COMPUTED_VALUE"""),"FEMINICÍDIO")</f>
        <v>FEMINICÍDIO</v>
      </c>
      <c r="D1059" s="6">
        <f>IFERROR(__xludf.DUMMYFUNCTION("""COMPUTED_VALUE"""),1.0)</f>
        <v>1</v>
      </c>
      <c r="E1059" s="6">
        <f>IFERROR(__xludf.DUMMYFUNCTION("""COMPUTED_VALUE"""),2.0)</f>
        <v>2</v>
      </c>
      <c r="F1059" s="6">
        <f>IFERROR(__xludf.DUMMYFUNCTION("""COMPUTED_VALUE"""),2.0)</f>
        <v>2</v>
      </c>
      <c r="G1059" s="6">
        <f>IFERROR(__xludf.DUMMYFUNCTION("""COMPUTED_VALUE"""),5.0)</f>
        <v>5</v>
      </c>
    </row>
    <row r="1060">
      <c r="A1060" s="6">
        <f>IFERROR(__xludf.DUMMYFUNCTION("""COMPUTED_VALUE"""),2017.0)</f>
        <v>2017</v>
      </c>
      <c r="B1060" s="6" t="str">
        <f>IFERROR(__xludf.DUMMYFUNCTION("""COMPUTED_VALUE"""),"Novembro")</f>
        <v>Novembro</v>
      </c>
      <c r="C1060" s="6" t="str">
        <f>IFERROR(__xludf.DUMMYFUNCTION("""COMPUTED_VALUE"""),"HOMICÍDIO CULPOSO")</f>
        <v>HOMICÍDIO CULPOSO</v>
      </c>
      <c r="D1060" s="6">
        <f>IFERROR(__xludf.DUMMYFUNCTION("""COMPUTED_VALUE"""),0.0)</f>
        <v>0</v>
      </c>
      <c r="E1060" s="6">
        <f>IFERROR(__xludf.DUMMYFUNCTION("""COMPUTED_VALUE"""),0.0)</f>
        <v>0</v>
      </c>
      <c r="F1060" s="6">
        <f>IFERROR(__xludf.DUMMYFUNCTION("""COMPUTED_VALUE"""),0.0)</f>
        <v>0</v>
      </c>
      <c r="G1060" s="6">
        <f>IFERROR(__xludf.DUMMYFUNCTION("""COMPUTED_VALUE"""),0.0)</f>
        <v>0</v>
      </c>
    </row>
    <row r="1061">
      <c r="A1061" s="6">
        <f>IFERROR(__xludf.DUMMYFUNCTION("""COMPUTED_VALUE"""),2017.0)</f>
        <v>2017</v>
      </c>
      <c r="B1061" s="6" t="str">
        <f>IFERROR(__xludf.DUMMYFUNCTION("""COMPUTED_VALUE"""),"Novembro")</f>
        <v>Novembro</v>
      </c>
      <c r="C1061" s="6" t="str">
        <f>IFERROR(__xludf.DUMMYFUNCTION("""COMPUTED_VALUE"""),"TENTATIVA DE HOMICÍDIO")</f>
        <v>TENTATIVA DE HOMICÍDIO</v>
      </c>
      <c r="D1061" s="6">
        <f>IFERROR(__xludf.DUMMYFUNCTION("""COMPUTED_VALUE"""),1.0)</f>
        <v>1</v>
      </c>
      <c r="E1061" s="6">
        <f>IFERROR(__xludf.DUMMYFUNCTION("""COMPUTED_VALUE"""),1.0)</f>
        <v>1</v>
      </c>
      <c r="F1061" s="6">
        <f>IFERROR(__xludf.DUMMYFUNCTION("""COMPUTED_VALUE"""),11.0)</f>
        <v>11</v>
      </c>
      <c r="G1061" s="6">
        <f>IFERROR(__xludf.DUMMYFUNCTION("""COMPUTED_VALUE"""),13.0)</f>
        <v>13</v>
      </c>
    </row>
    <row r="1062">
      <c r="A1062" s="6">
        <f>IFERROR(__xludf.DUMMYFUNCTION("""COMPUTED_VALUE"""),2017.0)</f>
        <v>2017</v>
      </c>
      <c r="B1062" s="6" t="str">
        <f>IFERROR(__xludf.DUMMYFUNCTION("""COMPUTED_VALUE"""),"Novembro")</f>
        <v>Novembro</v>
      </c>
      <c r="C1062" s="6" t="str">
        <f>IFERROR(__xludf.DUMMYFUNCTION("""COMPUTED_VALUE"""),"LESÃO CORPORAL DOLOSA")</f>
        <v>LESÃO CORPORAL DOLOSA</v>
      </c>
      <c r="D1062" s="6">
        <f>IFERROR(__xludf.DUMMYFUNCTION("""COMPUTED_VALUE"""),912.0)</f>
        <v>912</v>
      </c>
      <c r="E1062" s="6">
        <f>IFERROR(__xludf.DUMMYFUNCTION("""COMPUTED_VALUE"""),784.0)</f>
        <v>784</v>
      </c>
      <c r="F1062" s="6">
        <f>IFERROR(__xludf.DUMMYFUNCTION("""COMPUTED_VALUE"""),2814.0)</f>
        <v>2814</v>
      </c>
      <c r="G1062" s="6">
        <f>IFERROR(__xludf.DUMMYFUNCTION("""COMPUTED_VALUE"""),4510.0)</f>
        <v>4510</v>
      </c>
    </row>
    <row r="1063">
      <c r="A1063" s="6">
        <f>IFERROR(__xludf.DUMMYFUNCTION("""COMPUTED_VALUE"""),2017.0)</f>
        <v>2017</v>
      </c>
      <c r="B1063" s="6" t="str">
        <f>IFERROR(__xludf.DUMMYFUNCTION("""COMPUTED_VALUE"""),"Novembro")</f>
        <v>Novembro</v>
      </c>
      <c r="C1063" s="6" t="str">
        <f>IFERROR(__xludf.DUMMYFUNCTION("""COMPUTED_VALUE"""),"MAUS TRATOS")</f>
        <v>MAUS TRATOS</v>
      </c>
      <c r="D1063" s="6">
        <f>IFERROR(__xludf.DUMMYFUNCTION("""COMPUTED_VALUE"""),2.0)</f>
        <v>2</v>
      </c>
      <c r="E1063" s="6">
        <f>IFERROR(__xludf.DUMMYFUNCTION("""COMPUTED_VALUE"""),2.0)</f>
        <v>2</v>
      </c>
      <c r="F1063" s="6">
        <f>IFERROR(__xludf.DUMMYFUNCTION("""COMPUTED_VALUE"""),14.0)</f>
        <v>14</v>
      </c>
      <c r="G1063" s="6">
        <f>IFERROR(__xludf.DUMMYFUNCTION("""COMPUTED_VALUE"""),18.0)</f>
        <v>18</v>
      </c>
    </row>
    <row r="1064">
      <c r="A1064" s="6">
        <f>IFERROR(__xludf.DUMMYFUNCTION("""COMPUTED_VALUE"""),2017.0)</f>
        <v>2017</v>
      </c>
      <c r="B1064" s="6" t="str">
        <f>IFERROR(__xludf.DUMMYFUNCTION("""COMPUTED_VALUE"""),"Novembro")</f>
        <v>Novembro</v>
      </c>
      <c r="C1064" s="6" t="str">
        <f>IFERROR(__xludf.DUMMYFUNCTION("""COMPUTED_VALUE"""),"CALÚNIA - DIFAMAÇÃO - INJÚRIA")</f>
        <v>CALÚNIA - DIFAMAÇÃO - INJÚRIA</v>
      </c>
      <c r="D1064" s="6">
        <f>IFERROR(__xludf.DUMMYFUNCTION("""COMPUTED_VALUE"""),178.0)</f>
        <v>178</v>
      </c>
      <c r="E1064" s="6">
        <f>IFERROR(__xludf.DUMMYFUNCTION("""COMPUTED_VALUE"""),151.0)</f>
        <v>151</v>
      </c>
      <c r="F1064" s="6">
        <f>IFERROR(__xludf.DUMMYFUNCTION("""COMPUTED_VALUE"""),654.0)</f>
        <v>654</v>
      </c>
      <c r="G1064" s="6">
        <f>IFERROR(__xludf.DUMMYFUNCTION("""COMPUTED_VALUE"""),983.0)</f>
        <v>983</v>
      </c>
    </row>
    <row r="1065">
      <c r="A1065" s="6">
        <f>IFERROR(__xludf.DUMMYFUNCTION("""COMPUTED_VALUE"""),2017.0)</f>
        <v>2017</v>
      </c>
      <c r="B1065" s="6" t="str">
        <f>IFERROR(__xludf.DUMMYFUNCTION("""COMPUTED_VALUE"""),"Novembro")</f>
        <v>Novembro</v>
      </c>
      <c r="C1065" s="6" t="str">
        <f>IFERROR(__xludf.DUMMYFUNCTION("""COMPUTED_VALUE"""),"CONSTRANGIMENTO ILEGAL")</f>
        <v>CONSTRANGIMENTO ILEGAL</v>
      </c>
      <c r="D1065" s="6">
        <f>IFERROR(__xludf.DUMMYFUNCTION("""COMPUTED_VALUE"""),1.0)</f>
        <v>1</v>
      </c>
      <c r="E1065" s="6">
        <f>IFERROR(__xludf.DUMMYFUNCTION("""COMPUTED_VALUE"""),0.0)</f>
        <v>0</v>
      </c>
      <c r="F1065" s="6">
        <f>IFERROR(__xludf.DUMMYFUNCTION("""COMPUTED_VALUE"""),5.0)</f>
        <v>5</v>
      </c>
      <c r="G1065" s="6">
        <f>IFERROR(__xludf.DUMMYFUNCTION("""COMPUTED_VALUE"""),6.0)</f>
        <v>6</v>
      </c>
    </row>
    <row r="1066">
      <c r="A1066" s="6">
        <f>IFERROR(__xludf.DUMMYFUNCTION("""COMPUTED_VALUE"""),2017.0)</f>
        <v>2017</v>
      </c>
      <c r="B1066" s="6" t="str">
        <f>IFERROR(__xludf.DUMMYFUNCTION("""COMPUTED_VALUE"""),"Novembro")</f>
        <v>Novembro</v>
      </c>
      <c r="C1066" s="6" t="str">
        <f>IFERROR(__xludf.DUMMYFUNCTION("""COMPUTED_VALUE"""),"AMEAÇA")</f>
        <v>AMEAÇA</v>
      </c>
      <c r="D1066" s="6">
        <f>IFERROR(__xludf.DUMMYFUNCTION("""COMPUTED_VALUE"""),842.0)</f>
        <v>842</v>
      </c>
      <c r="E1066" s="6">
        <f>IFERROR(__xludf.DUMMYFUNCTION("""COMPUTED_VALUE"""),771.0)</f>
        <v>771</v>
      </c>
      <c r="F1066" s="6">
        <f>IFERROR(__xludf.DUMMYFUNCTION("""COMPUTED_VALUE"""),2884.0)</f>
        <v>2884</v>
      </c>
      <c r="G1066" s="6">
        <f>IFERROR(__xludf.DUMMYFUNCTION("""COMPUTED_VALUE"""),4497.0)</f>
        <v>4497</v>
      </c>
    </row>
    <row r="1067">
      <c r="A1067" s="6">
        <f>IFERROR(__xludf.DUMMYFUNCTION("""COMPUTED_VALUE"""),2017.0)</f>
        <v>2017</v>
      </c>
      <c r="B1067" s="6" t="str">
        <f>IFERROR(__xludf.DUMMYFUNCTION("""COMPUTED_VALUE"""),"Novembro")</f>
        <v>Novembro</v>
      </c>
      <c r="C1067" s="6" t="str">
        <f>IFERROR(__xludf.DUMMYFUNCTION("""COMPUTED_VALUE"""),"INVASÃO DE DOMICÍLIO")</f>
        <v>INVASÃO DE DOMICÍLIO</v>
      </c>
      <c r="D1067" s="6">
        <f>IFERROR(__xludf.DUMMYFUNCTION("""COMPUTED_VALUE"""),1.0)</f>
        <v>1</v>
      </c>
      <c r="E1067" s="6">
        <f>IFERROR(__xludf.DUMMYFUNCTION("""COMPUTED_VALUE"""),1.0)</f>
        <v>1</v>
      </c>
      <c r="F1067" s="6">
        <f>IFERROR(__xludf.DUMMYFUNCTION("""COMPUTED_VALUE"""),11.0)</f>
        <v>11</v>
      </c>
      <c r="G1067" s="6">
        <f>IFERROR(__xludf.DUMMYFUNCTION("""COMPUTED_VALUE"""),13.0)</f>
        <v>13</v>
      </c>
    </row>
    <row r="1068">
      <c r="A1068" s="6">
        <f>IFERROR(__xludf.DUMMYFUNCTION("""COMPUTED_VALUE"""),2017.0)</f>
        <v>2017</v>
      </c>
      <c r="B1068" s="6" t="str">
        <f>IFERROR(__xludf.DUMMYFUNCTION("""COMPUTED_VALUE"""),"Novembro")</f>
        <v>Novembro</v>
      </c>
      <c r="C1068" s="6" t="str">
        <f>IFERROR(__xludf.DUMMYFUNCTION("""COMPUTED_VALUE"""),"DANO")</f>
        <v>DANO</v>
      </c>
      <c r="D1068" s="6">
        <f>IFERROR(__xludf.DUMMYFUNCTION("""COMPUTED_VALUE"""),9.0)</f>
        <v>9</v>
      </c>
      <c r="E1068" s="6">
        <f>IFERROR(__xludf.DUMMYFUNCTION("""COMPUTED_VALUE"""),9.0)</f>
        <v>9</v>
      </c>
      <c r="F1068" s="6">
        <f>IFERROR(__xludf.DUMMYFUNCTION("""COMPUTED_VALUE"""),51.0)</f>
        <v>51</v>
      </c>
      <c r="G1068" s="6">
        <f>IFERROR(__xludf.DUMMYFUNCTION("""COMPUTED_VALUE"""),69.0)</f>
        <v>69</v>
      </c>
    </row>
    <row r="1069">
      <c r="A1069" s="6">
        <f>IFERROR(__xludf.DUMMYFUNCTION("""COMPUTED_VALUE"""),2017.0)</f>
        <v>2017</v>
      </c>
      <c r="B1069" s="6" t="str">
        <f>IFERROR(__xludf.DUMMYFUNCTION("""COMPUTED_VALUE"""),"Novembro")</f>
        <v>Novembro</v>
      </c>
      <c r="C1069" s="6" t="str">
        <f>IFERROR(__xludf.DUMMYFUNCTION("""COMPUTED_VALUE"""),"ESTUPRO CONSUMADO")</f>
        <v>ESTUPRO CONSUMADO</v>
      </c>
      <c r="D1069" s="6">
        <f>IFERROR(__xludf.DUMMYFUNCTION("""COMPUTED_VALUE"""),9.0)</f>
        <v>9</v>
      </c>
      <c r="E1069" s="6">
        <f>IFERROR(__xludf.DUMMYFUNCTION("""COMPUTED_VALUE"""),6.0)</f>
        <v>6</v>
      </c>
      <c r="F1069" s="6">
        <f>IFERROR(__xludf.DUMMYFUNCTION("""COMPUTED_VALUE"""),16.0)</f>
        <v>16</v>
      </c>
      <c r="G1069" s="6">
        <f>IFERROR(__xludf.DUMMYFUNCTION("""COMPUTED_VALUE"""),31.0)</f>
        <v>31</v>
      </c>
    </row>
    <row r="1070">
      <c r="A1070" s="6">
        <f>IFERROR(__xludf.DUMMYFUNCTION("""COMPUTED_VALUE"""),2017.0)</f>
        <v>2017</v>
      </c>
      <c r="B1070" s="6" t="str">
        <f>IFERROR(__xludf.DUMMYFUNCTION("""COMPUTED_VALUE"""),"Novembro")</f>
        <v>Novembro</v>
      </c>
      <c r="C1070" s="6" t="str">
        <f>IFERROR(__xludf.DUMMYFUNCTION("""COMPUTED_VALUE"""),"ESTUPRO TENTADO")</f>
        <v>ESTUPRO TENTADO</v>
      </c>
      <c r="D1070" s="6">
        <f>IFERROR(__xludf.DUMMYFUNCTION("""COMPUTED_VALUE"""),0.0)</f>
        <v>0</v>
      </c>
      <c r="E1070" s="6">
        <f>IFERROR(__xludf.DUMMYFUNCTION("""COMPUTED_VALUE"""),0.0)</f>
        <v>0</v>
      </c>
      <c r="F1070" s="6">
        <f>IFERROR(__xludf.DUMMYFUNCTION("""COMPUTED_VALUE"""),1.0)</f>
        <v>1</v>
      </c>
      <c r="G1070" s="6">
        <f>IFERROR(__xludf.DUMMYFUNCTION("""COMPUTED_VALUE"""),1.0)</f>
        <v>1</v>
      </c>
    </row>
    <row r="1071">
      <c r="A1071" s="6">
        <f>IFERROR(__xludf.DUMMYFUNCTION("""COMPUTED_VALUE"""),2017.0)</f>
        <v>2017</v>
      </c>
      <c r="B1071" s="6" t="str">
        <f>IFERROR(__xludf.DUMMYFUNCTION("""COMPUTED_VALUE"""),"Novembro")</f>
        <v>Novembro</v>
      </c>
      <c r="C1071" s="6" t="str">
        <f>IFERROR(__xludf.DUMMYFUNCTION("""COMPUTED_VALUE"""),"ESTUPRO DE VULNERÁVEL CONSUMADO")</f>
        <v>ESTUPRO DE VULNERÁVEL CONSUMADO</v>
      </c>
      <c r="D1071" s="6">
        <f>IFERROR(__xludf.DUMMYFUNCTION("""COMPUTED_VALUE"""),2.0)</f>
        <v>2</v>
      </c>
      <c r="E1071" s="6">
        <f>IFERROR(__xludf.DUMMYFUNCTION("""COMPUTED_VALUE"""),3.0)</f>
        <v>3</v>
      </c>
      <c r="F1071" s="6">
        <f>IFERROR(__xludf.DUMMYFUNCTION("""COMPUTED_VALUE"""),15.0)</f>
        <v>15</v>
      </c>
      <c r="G1071" s="6">
        <f>IFERROR(__xludf.DUMMYFUNCTION("""COMPUTED_VALUE"""),20.0)</f>
        <v>20</v>
      </c>
    </row>
    <row r="1072">
      <c r="A1072" s="6">
        <f>IFERROR(__xludf.DUMMYFUNCTION("""COMPUTED_VALUE"""),2017.0)</f>
        <v>2017</v>
      </c>
      <c r="B1072" s="6" t="str">
        <f>IFERROR(__xludf.DUMMYFUNCTION("""COMPUTED_VALUE"""),"Novembro")</f>
        <v>Novembro</v>
      </c>
      <c r="C1072" s="6" t="str">
        <f>IFERROR(__xludf.DUMMYFUNCTION("""COMPUTED_VALUE"""),"OUTROS C/C/ DIGNIDADE SEXUAL")</f>
        <v>OUTROS C/C/ DIGNIDADE SEXUAL</v>
      </c>
      <c r="D1072" s="6">
        <f>IFERROR(__xludf.DUMMYFUNCTION("""COMPUTED_VALUE"""),0.0)</f>
        <v>0</v>
      </c>
      <c r="E1072" s="6">
        <f>IFERROR(__xludf.DUMMYFUNCTION("""COMPUTED_VALUE"""),0.0)</f>
        <v>0</v>
      </c>
      <c r="F1072" s="6">
        <f>IFERROR(__xludf.DUMMYFUNCTION("""COMPUTED_VALUE"""),1.0)</f>
        <v>1</v>
      </c>
      <c r="G1072" s="6">
        <f>IFERROR(__xludf.DUMMYFUNCTION("""COMPUTED_VALUE"""),1.0)</f>
        <v>1</v>
      </c>
    </row>
    <row r="1073">
      <c r="A1073" s="6">
        <f>IFERROR(__xludf.DUMMYFUNCTION("""COMPUTED_VALUE"""),2017.0)</f>
        <v>2017</v>
      </c>
      <c r="B1073" s="6" t="str">
        <f>IFERROR(__xludf.DUMMYFUNCTION("""COMPUTED_VALUE"""),"Dezembro")</f>
        <v>Dezembro</v>
      </c>
      <c r="C1073" s="6" t="str">
        <f>IFERROR(__xludf.DUMMYFUNCTION("""COMPUTED_VALUE"""),"HOMICÍDIO DOLOSO (exclui FEMINICÍDIO)")</f>
        <v>HOMICÍDIO DOLOSO (exclui FEMINICÍDIO)</v>
      </c>
      <c r="D1073" s="6">
        <f>IFERROR(__xludf.DUMMYFUNCTION("""COMPUTED_VALUE"""),2.0)</f>
        <v>2</v>
      </c>
      <c r="E1073" s="6">
        <f>IFERROR(__xludf.DUMMYFUNCTION("""COMPUTED_VALUE"""),1.0)</f>
        <v>1</v>
      </c>
      <c r="F1073" s="6">
        <f>IFERROR(__xludf.DUMMYFUNCTION("""COMPUTED_VALUE"""),3.0)</f>
        <v>3</v>
      </c>
      <c r="G1073" s="6">
        <f>IFERROR(__xludf.DUMMYFUNCTION("""COMPUTED_VALUE"""),6.0)</f>
        <v>6</v>
      </c>
    </row>
    <row r="1074">
      <c r="A1074" s="6">
        <f>IFERROR(__xludf.DUMMYFUNCTION("""COMPUTED_VALUE"""),2017.0)</f>
        <v>2017</v>
      </c>
      <c r="B1074" s="6" t="str">
        <f>IFERROR(__xludf.DUMMYFUNCTION("""COMPUTED_VALUE"""),"Dezembro")</f>
        <v>Dezembro</v>
      </c>
      <c r="C1074" s="6" t="str">
        <f>IFERROR(__xludf.DUMMYFUNCTION("""COMPUTED_VALUE"""),"FEMINICÍDIO")</f>
        <v>FEMINICÍDIO</v>
      </c>
      <c r="D1074" s="6">
        <f>IFERROR(__xludf.DUMMYFUNCTION("""COMPUTED_VALUE"""),2.0)</f>
        <v>2</v>
      </c>
      <c r="E1074" s="6">
        <f>IFERROR(__xludf.DUMMYFUNCTION("""COMPUTED_VALUE"""),3.0)</f>
        <v>3</v>
      </c>
      <c r="F1074" s="6">
        <f>IFERROR(__xludf.DUMMYFUNCTION("""COMPUTED_VALUE"""),4.0)</f>
        <v>4</v>
      </c>
      <c r="G1074" s="6">
        <f>IFERROR(__xludf.DUMMYFUNCTION("""COMPUTED_VALUE"""),9.0)</f>
        <v>9</v>
      </c>
    </row>
    <row r="1075">
      <c r="A1075" s="6">
        <f>IFERROR(__xludf.DUMMYFUNCTION("""COMPUTED_VALUE"""),2017.0)</f>
        <v>2017</v>
      </c>
      <c r="B1075" s="6" t="str">
        <f>IFERROR(__xludf.DUMMYFUNCTION("""COMPUTED_VALUE"""),"Dezembro")</f>
        <v>Dezembro</v>
      </c>
      <c r="C1075" s="6" t="str">
        <f>IFERROR(__xludf.DUMMYFUNCTION("""COMPUTED_VALUE"""),"HOMICÍDIO CULPOSO")</f>
        <v>HOMICÍDIO CULPOSO</v>
      </c>
      <c r="D1075" s="6">
        <f>IFERROR(__xludf.DUMMYFUNCTION("""COMPUTED_VALUE"""),0.0)</f>
        <v>0</v>
      </c>
      <c r="E1075" s="6">
        <f>IFERROR(__xludf.DUMMYFUNCTION("""COMPUTED_VALUE"""),0.0)</f>
        <v>0</v>
      </c>
      <c r="F1075" s="6">
        <f>IFERROR(__xludf.DUMMYFUNCTION("""COMPUTED_VALUE"""),0.0)</f>
        <v>0</v>
      </c>
      <c r="G1075" s="6">
        <f>IFERROR(__xludf.DUMMYFUNCTION("""COMPUTED_VALUE"""),0.0)</f>
        <v>0</v>
      </c>
    </row>
    <row r="1076">
      <c r="A1076" s="6">
        <f>IFERROR(__xludf.DUMMYFUNCTION("""COMPUTED_VALUE"""),2017.0)</f>
        <v>2017</v>
      </c>
      <c r="B1076" s="6" t="str">
        <f>IFERROR(__xludf.DUMMYFUNCTION("""COMPUTED_VALUE"""),"Dezembro")</f>
        <v>Dezembro</v>
      </c>
      <c r="C1076" s="6" t="str">
        <f>IFERROR(__xludf.DUMMYFUNCTION("""COMPUTED_VALUE"""),"TENTATIVA DE HOMICÍDIO")</f>
        <v>TENTATIVA DE HOMICÍDIO</v>
      </c>
      <c r="D1076" s="6">
        <f>IFERROR(__xludf.DUMMYFUNCTION("""COMPUTED_VALUE"""),2.0)</f>
        <v>2</v>
      </c>
      <c r="E1076" s="6">
        <f>IFERROR(__xludf.DUMMYFUNCTION("""COMPUTED_VALUE"""),2.0)</f>
        <v>2</v>
      </c>
      <c r="F1076" s="6">
        <f>IFERROR(__xludf.DUMMYFUNCTION("""COMPUTED_VALUE"""),13.0)</f>
        <v>13</v>
      </c>
      <c r="G1076" s="6">
        <f>IFERROR(__xludf.DUMMYFUNCTION("""COMPUTED_VALUE"""),17.0)</f>
        <v>17</v>
      </c>
    </row>
    <row r="1077">
      <c r="A1077" s="6">
        <f>IFERROR(__xludf.DUMMYFUNCTION("""COMPUTED_VALUE"""),2017.0)</f>
        <v>2017</v>
      </c>
      <c r="B1077" s="6" t="str">
        <f>IFERROR(__xludf.DUMMYFUNCTION("""COMPUTED_VALUE"""),"Dezembro")</f>
        <v>Dezembro</v>
      </c>
      <c r="C1077" s="6" t="str">
        <f>IFERROR(__xludf.DUMMYFUNCTION("""COMPUTED_VALUE"""),"LESÃO CORPORAL DOLOSA")</f>
        <v>LESÃO CORPORAL DOLOSA</v>
      </c>
      <c r="D1077" s="6">
        <f>IFERROR(__xludf.DUMMYFUNCTION("""COMPUTED_VALUE"""),1014.0)</f>
        <v>1014</v>
      </c>
      <c r="E1077" s="6">
        <f>IFERROR(__xludf.DUMMYFUNCTION("""COMPUTED_VALUE"""),864.0)</f>
        <v>864</v>
      </c>
      <c r="F1077" s="6">
        <f>IFERROR(__xludf.DUMMYFUNCTION("""COMPUTED_VALUE"""),3118.0)</f>
        <v>3118</v>
      </c>
      <c r="G1077" s="6">
        <f>IFERROR(__xludf.DUMMYFUNCTION("""COMPUTED_VALUE"""),4996.0)</f>
        <v>4996</v>
      </c>
    </row>
    <row r="1078">
      <c r="A1078" s="6">
        <f>IFERROR(__xludf.DUMMYFUNCTION("""COMPUTED_VALUE"""),2017.0)</f>
        <v>2017</v>
      </c>
      <c r="B1078" s="6" t="str">
        <f>IFERROR(__xludf.DUMMYFUNCTION("""COMPUTED_VALUE"""),"Dezembro")</f>
        <v>Dezembro</v>
      </c>
      <c r="C1078" s="6" t="str">
        <f>IFERROR(__xludf.DUMMYFUNCTION("""COMPUTED_VALUE"""),"MAUS TRATOS")</f>
        <v>MAUS TRATOS</v>
      </c>
      <c r="D1078" s="6">
        <f>IFERROR(__xludf.DUMMYFUNCTION("""COMPUTED_VALUE"""),3.0)</f>
        <v>3</v>
      </c>
      <c r="E1078" s="6">
        <f>IFERROR(__xludf.DUMMYFUNCTION("""COMPUTED_VALUE"""),2.0)</f>
        <v>2</v>
      </c>
      <c r="F1078" s="6">
        <f>IFERROR(__xludf.DUMMYFUNCTION("""COMPUTED_VALUE"""),18.0)</f>
        <v>18</v>
      </c>
      <c r="G1078" s="6">
        <f>IFERROR(__xludf.DUMMYFUNCTION("""COMPUTED_VALUE"""),23.0)</f>
        <v>23</v>
      </c>
    </row>
    <row r="1079">
      <c r="A1079" s="6">
        <f>IFERROR(__xludf.DUMMYFUNCTION("""COMPUTED_VALUE"""),2017.0)</f>
        <v>2017</v>
      </c>
      <c r="B1079" s="6" t="str">
        <f>IFERROR(__xludf.DUMMYFUNCTION("""COMPUTED_VALUE"""),"Dezembro")</f>
        <v>Dezembro</v>
      </c>
      <c r="C1079" s="6" t="str">
        <f>IFERROR(__xludf.DUMMYFUNCTION("""COMPUTED_VALUE"""),"CALÚNIA - DIFAMAÇÃO - INJÚRIA")</f>
        <v>CALÚNIA - DIFAMAÇÃO - INJÚRIA</v>
      </c>
      <c r="D1079" s="6">
        <f>IFERROR(__xludf.DUMMYFUNCTION("""COMPUTED_VALUE"""),198.0)</f>
        <v>198</v>
      </c>
      <c r="E1079" s="6">
        <f>IFERROR(__xludf.DUMMYFUNCTION("""COMPUTED_VALUE"""),168.0)</f>
        <v>168</v>
      </c>
      <c r="F1079" s="6">
        <f>IFERROR(__xludf.DUMMYFUNCTION("""COMPUTED_VALUE"""),724.0)</f>
        <v>724</v>
      </c>
      <c r="G1079" s="6">
        <f>IFERROR(__xludf.DUMMYFUNCTION("""COMPUTED_VALUE"""),1090.0)</f>
        <v>1090</v>
      </c>
    </row>
    <row r="1080">
      <c r="A1080" s="6">
        <f>IFERROR(__xludf.DUMMYFUNCTION("""COMPUTED_VALUE"""),2017.0)</f>
        <v>2017</v>
      </c>
      <c r="B1080" s="6" t="str">
        <f>IFERROR(__xludf.DUMMYFUNCTION("""COMPUTED_VALUE"""),"Dezembro")</f>
        <v>Dezembro</v>
      </c>
      <c r="C1080" s="6" t="str">
        <f>IFERROR(__xludf.DUMMYFUNCTION("""COMPUTED_VALUE"""),"CONSTRANGIMENTO ILEGAL")</f>
        <v>CONSTRANGIMENTO ILEGAL</v>
      </c>
      <c r="D1080" s="6">
        <f>IFERROR(__xludf.DUMMYFUNCTION("""COMPUTED_VALUE"""),1.0)</f>
        <v>1</v>
      </c>
      <c r="E1080" s="6">
        <f>IFERROR(__xludf.DUMMYFUNCTION("""COMPUTED_VALUE"""),1.0)</f>
        <v>1</v>
      </c>
      <c r="F1080" s="6">
        <f>IFERROR(__xludf.DUMMYFUNCTION("""COMPUTED_VALUE"""),7.0)</f>
        <v>7</v>
      </c>
      <c r="G1080" s="6">
        <f>IFERROR(__xludf.DUMMYFUNCTION("""COMPUTED_VALUE"""),9.0)</f>
        <v>9</v>
      </c>
    </row>
    <row r="1081">
      <c r="A1081" s="6">
        <f>IFERROR(__xludf.DUMMYFUNCTION("""COMPUTED_VALUE"""),2017.0)</f>
        <v>2017</v>
      </c>
      <c r="B1081" s="6" t="str">
        <f>IFERROR(__xludf.DUMMYFUNCTION("""COMPUTED_VALUE"""),"Dezembro")</f>
        <v>Dezembro</v>
      </c>
      <c r="C1081" s="6" t="str">
        <f>IFERROR(__xludf.DUMMYFUNCTION("""COMPUTED_VALUE"""),"AMEAÇA")</f>
        <v>AMEAÇA</v>
      </c>
      <c r="D1081" s="6">
        <f>IFERROR(__xludf.DUMMYFUNCTION("""COMPUTED_VALUE"""),948.0)</f>
        <v>948</v>
      </c>
      <c r="E1081" s="6">
        <f>IFERROR(__xludf.DUMMYFUNCTION("""COMPUTED_VALUE"""),852.0)</f>
        <v>852</v>
      </c>
      <c r="F1081" s="6">
        <f>IFERROR(__xludf.DUMMYFUNCTION("""COMPUTED_VALUE"""),3214.0)</f>
        <v>3214</v>
      </c>
      <c r="G1081" s="6">
        <f>IFERROR(__xludf.DUMMYFUNCTION("""COMPUTED_VALUE"""),5014.0)</f>
        <v>5014</v>
      </c>
    </row>
    <row r="1082">
      <c r="A1082" s="6">
        <f>IFERROR(__xludf.DUMMYFUNCTION("""COMPUTED_VALUE"""),2017.0)</f>
        <v>2017</v>
      </c>
      <c r="B1082" s="6" t="str">
        <f>IFERROR(__xludf.DUMMYFUNCTION("""COMPUTED_VALUE"""),"Dezembro")</f>
        <v>Dezembro</v>
      </c>
      <c r="C1082" s="6" t="str">
        <f>IFERROR(__xludf.DUMMYFUNCTION("""COMPUTED_VALUE"""),"INVASÃO DE DOMICÍLIO")</f>
        <v>INVASÃO DE DOMICÍLIO</v>
      </c>
      <c r="D1082" s="6">
        <f>IFERROR(__xludf.DUMMYFUNCTION("""COMPUTED_VALUE"""),1.0)</f>
        <v>1</v>
      </c>
      <c r="E1082" s="6">
        <f>IFERROR(__xludf.DUMMYFUNCTION("""COMPUTED_VALUE"""),2.0)</f>
        <v>2</v>
      </c>
      <c r="F1082" s="6">
        <f>IFERROR(__xludf.DUMMYFUNCTION("""COMPUTED_VALUE"""),13.0)</f>
        <v>13</v>
      </c>
      <c r="G1082" s="6">
        <f>IFERROR(__xludf.DUMMYFUNCTION("""COMPUTED_VALUE"""),16.0)</f>
        <v>16</v>
      </c>
    </row>
    <row r="1083">
      <c r="A1083" s="6">
        <f>IFERROR(__xludf.DUMMYFUNCTION("""COMPUTED_VALUE"""),2017.0)</f>
        <v>2017</v>
      </c>
      <c r="B1083" s="6" t="str">
        <f>IFERROR(__xludf.DUMMYFUNCTION("""COMPUTED_VALUE"""),"Dezembro")</f>
        <v>Dezembro</v>
      </c>
      <c r="C1083" s="6" t="str">
        <f>IFERROR(__xludf.DUMMYFUNCTION("""COMPUTED_VALUE"""),"DANO")</f>
        <v>DANO</v>
      </c>
      <c r="D1083" s="6">
        <f>IFERROR(__xludf.DUMMYFUNCTION("""COMPUTED_VALUE"""),11.0)</f>
        <v>11</v>
      </c>
      <c r="E1083" s="6">
        <f>IFERROR(__xludf.DUMMYFUNCTION("""COMPUTED_VALUE"""),11.0)</f>
        <v>11</v>
      </c>
      <c r="F1083" s="6">
        <f>IFERROR(__xludf.DUMMYFUNCTION("""COMPUTED_VALUE"""),62.0)</f>
        <v>62</v>
      </c>
      <c r="G1083" s="6">
        <f>IFERROR(__xludf.DUMMYFUNCTION("""COMPUTED_VALUE"""),84.0)</f>
        <v>84</v>
      </c>
    </row>
    <row r="1084">
      <c r="A1084" s="6">
        <f>IFERROR(__xludf.DUMMYFUNCTION("""COMPUTED_VALUE"""),2017.0)</f>
        <v>2017</v>
      </c>
      <c r="B1084" s="6" t="str">
        <f>IFERROR(__xludf.DUMMYFUNCTION("""COMPUTED_VALUE"""),"Dezembro")</f>
        <v>Dezembro</v>
      </c>
      <c r="C1084" s="6" t="str">
        <f>IFERROR(__xludf.DUMMYFUNCTION("""COMPUTED_VALUE"""),"ESTUPRO CONSUMADO")</f>
        <v>ESTUPRO CONSUMADO</v>
      </c>
      <c r="D1084" s="6">
        <f>IFERROR(__xludf.DUMMYFUNCTION("""COMPUTED_VALUE"""),10.0)</f>
        <v>10</v>
      </c>
      <c r="E1084" s="6">
        <f>IFERROR(__xludf.DUMMYFUNCTION("""COMPUTED_VALUE"""),7.0)</f>
        <v>7</v>
      </c>
      <c r="F1084" s="6">
        <f>IFERROR(__xludf.DUMMYFUNCTION("""COMPUTED_VALUE"""),19.0)</f>
        <v>19</v>
      </c>
      <c r="G1084" s="6">
        <f>IFERROR(__xludf.DUMMYFUNCTION("""COMPUTED_VALUE"""),36.0)</f>
        <v>36</v>
      </c>
    </row>
    <row r="1085">
      <c r="A1085" s="6">
        <f>IFERROR(__xludf.DUMMYFUNCTION("""COMPUTED_VALUE"""),2017.0)</f>
        <v>2017</v>
      </c>
      <c r="B1085" s="6" t="str">
        <f>IFERROR(__xludf.DUMMYFUNCTION("""COMPUTED_VALUE"""),"Dezembro")</f>
        <v>Dezembro</v>
      </c>
      <c r="C1085" s="6" t="str">
        <f>IFERROR(__xludf.DUMMYFUNCTION("""COMPUTED_VALUE"""),"ESTUPRO TENTADO")</f>
        <v>ESTUPRO TENTADO</v>
      </c>
      <c r="D1085" s="6">
        <f>IFERROR(__xludf.DUMMYFUNCTION("""COMPUTED_VALUE"""),1.0)</f>
        <v>1</v>
      </c>
      <c r="E1085" s="6">
        <f>IFERROR(__xludf.DUMMYFUNCTION("""COMPUTED_VALUE"""),0.0)</f>
        <v>0</v>
      </c>
      <c r="F1085" s="6">
        <f>IFERROR(__xludf.DUMMYFUNCTION("""COMPUTED_VALUE"""),1.0)</f>
        <v>1</v>
      </c>
      <c r="G1085" s="6">
        <f>IFERROR(__xludf.DUMMYFUNCTION("""COMPUTED_VALUE"""),2.0)</f>
        <v>2</v>
      </c>
    </row>
    <row r="1086">
      <c r="A1086" s="6">
        <f>IFERROR(__xludf.DUMMYFUNCTION("""COMPUTED_VALUE"""),2017.0)</f>
        <v>2017</v>
      </c>
      <c r="B1086" s="6" t="str">
        <f>IFERROR(__xludf.DUMMYFUNCTION("""COMPUTED_VALUE"""),"Dezembro")</f>
        <v>Dezembro</v>
      </c>
      <c r="C1086" s="6" t="str">
        <f>IFERROR(__xludf.DUMMYFUNCTION("""COMPUTED_VALUE"""),"ESTUPRO DE VULNERÁVEL CONSUMADO")</f>
        <v>ESTUPRO DE VULNERÁVEL CONSUMADO</v>
      </c>
      <c r="D1086" s="6">
        <f>IFERROR(__xludf.DUMMYFUNCTION("""COMPUTED_VALUE"""),3.0)</f>
        <v>3</v>
      </c>
      <c r="E1086" s="6">
        <f>IFERROR(__xludf.DUMMYFUNCTION("""COMPUTED_VALUE"""),4.0)</f>
        <v>4</v>
      </c>
      <c r="F1086" s="6">
        <f>IFERROR(__xludf.DUMMYFUNCTION("""COMPUTED_VALUE"""),18.0)</f>
        <v>18</v>
      </c>
      <c r="G1086" s="6">
        <f>IFERROR(__xludf.DUMMYFUNCTION("""COMPUTED_VALUE"""),25.0)</f>
        <v>25</v>
      </c>
    </row>
    <row r="1087">
      <c r="A1087" s="6">
        <f>IFERROR(__xludf.DUMMYFUNCTION("""COMPUTED_VALUE"""),2017.0)</f>
        <v>2017</v>
      </c>
      <c r="B1087" s="6" t="str">
        <f>IFERROR(__xludf.DUMMYFUNCTION("""COMPUTED_VALUE"""),"Dezembro")</f>
        <v>Dezembro</v>
      </c>
      <c r="C1087" s="6" t="str">
        <f>IFERROR(__xludf.DUMMYFUNCTION("""COMPUTED_VALUE"""),"OUTROS C/C/ DIGNIDADE SEXUAL")</f>
        <v>OUTROS C/C/ DIGNIDADE SEXUAL</v>
      </c>
      <c r="D1087" s="6">
        <f>IFERROR(__xludf.DUMMYFUNCTION("""COMPUTED_VALUE"""),0.0)</f>
        <v>0</v>
      </c>
      <c r="E1087" s="6">
        <f>IFERROR(__xludf.DUMMYFUNCTION("""COMPUTED_VALUE"""),1.0)</f>
        <v>1</v>
      </c>
      <c r="F1087" s="6">
        <f>IFERROR(__xludf.DUMMYFUNCTION("""COMPUTED_VALUE"""),2.0)</f>
        <v>2</v>
      </c>
      <c r="G1087" s="6">
        <f>IFERROR(__xludf.DUMMYFUNCTION("""COMPUTED_VALUE"""),3.0)</f>
        <v>3</v>
      </c>
    </row>
    <row r="1088">
      <c r="A1088" s="6">
        <f>IFERROR(__xludf.DUMMYFUNCTION("""COMPUTED_VALUE"""),2018.0)</f>
        <v>2018</v>
      </c>
      <c r="B1088" s="6" t="str">
        <f>IFERROR(__xludf.DUMMYFUNCTION("""COMPUTED_VALUE"""),"Janeiro")</f>
        <v>Janeiro</v>
      </c>
      <c r="C1088" s="6" t="str">
        <f>IFERROR(__xludf.DUMMYFUNCTION("""COMPUTED_VALUE"""),"HOMICÍDIO DOLOSO (exclui FEMINICÍDIO)")</f>
        <v>HOMICÍDIO DOLOSO (exclui FEMINICÍDIO)</v>
      </c>
      <c r="D1088" s="6">
        <f>IFERROR(__xludf.DUMMYFUNCTION("""COMPUTED_VALUE"""),2.0)</f>
        <v>2</v>
      </c>
      <c r="E1088" s="6">
        <f>IFERROR(__xludf.DUMMYFUNCTION("""COMPUTED_VALUE"""),1.0)</f>
        <v>1</v>
      </c>
      <c r="F1088" s="6">
        <f>IFERROR(__xludf.DUMMYFUNCTION("""COMPUTED_VALUE"""),3.0)</f>
        <v>3</v>
      </c>
      <c r="G1088" s="6">
        <f>IFERROR(__xludf.DUMMYFUNCTION("""COMPUTED_VALUE"""),6.0)</f>
        <v>6</v>
      </c>
    </row>
    <row r="1089">
      <c r="A1089" s="6">
        <f>IFERROR(__xludf.DUMMYFUNCTION("""COMPUTED_VALUE"""),2018.0)</f>
        <v>2018</v>
      </c>
      <c r="B1089" s="6" t="str">
        <f>IFERROR(__xludf.DUMMYFUNCTION("""COMPUTED_VALUE"""),"Janeiro")</f>
        <v>Janeiro</v>
      </c>
      <c r="C1089" s="6" t="str">
        <f>IFERROR(__xludf.DUMMYFUNCTION("""COMPUTED_VALUE"""),"FEMINICÍDIO")</f>
        <v>FEMINICÍDIO</v>
      </c>
      <c r="D1089" s="6">
        <f>IFERROR(__xludf.DUMMYFUNCTION("""COMPUTED_VALUE"""),2.0)</f>
        <v>2</v>
      </c>
      <c r="E1089" s="6">
        <f>IFERROR(__xludf.DUMMYFUNCTION("""COMPUTED_VALUE"""),3.0)</f>
        <v>3</v>
      </c>
      <c r="F1089" s="6">
        <f>IFERROR(__xludf.DUMMYFUNCTION("""COMPUTED_VALUE"""),4.0)</f>
        <v>4</v>
      </c>
      <c r="G1089" s="6">
        <f>IFERROR(__xludf.DUMMYFUNCTION("""COMPUTED_VALUE"""),9.0)</f>
        <v>9</v>
      </c>
    </row>
    <row r="1090">
      <c r="A1090" s="6">
        <f>IFERROR(__xludf.DUMMYFUNCTION("""COMPUTED_VALUE"""),2018.0)</f>
        <v>2018</v>
      </c>
      <c r="B1090" s="6" t="str">
        <f>IFERROR(__xludf.DUMMYFUNCTION("""COMPUTED_VALUE"""),"Janeiro")</f>
        <v>Janeiro</v>
      </c>
      <c r="C1090" s="6" t="str">
        <f>IFERROR(__xludf.DUMMYFUNCTION("""COMPUTED_VALUE"""),"HOMICÍDIO CULPOSO")</f>
        <v>HOMICÍDIO CULPOSO</v>
      </c>
      <c r="D1090" s="6">
        <f>IFERROR(__xludf.DUMMYFUNCTION("""COMPUTED_VALUE"""),0.0)</f>
        <v>0</v>
      </c>
      <c r="E1090" s="6">
        <f>IFERROR(__xludf.DUMMYFUNCTION("""COMPUTED_VALUE"""),0.0)</f>
        <v>0</v>
      </c>
      <c r="F1090" s="6">
        <f>IFERROR(__xludf.DUMMYFUNCTION("""COMPUTED_VALUE"""),0.0)</f>
        <v>0</v>
      </c>
      <c r="G1090" s="6">
        <f>IFERROR(__xludf.DUMMYFUNCTION("""COMPUTED_VALUE"""),0.0)</f>
        <v>0</v>
      </c>
    </row>
    <row r="1091">
      <c r="A1091" s="6">
        <f>IFERROR(__xludf.DUMMYFUNCTION("""COMPUTED_VALUE"""),2018.0)</f>
        <v>2018</v>
      </c>
      <c r="B1091" s="6" t="str">
        <f>IFERROR(__xludf.DUMMYFUNCTION("""COMPUTED_VALUE"""),"Janeiro")</f>
        <v>Janeiro</v>
      </c>
      <c r="C1091" s="6" t="str">
        <f>IFERROR(__xludf.DUMMYFUNCTION("""COMPUTED_VALUE"""),"TENTATIVA DE HOMICÍDIO")</f>
        <v>TENTATIVA DE HOMICÍDIO</v>
      </c>
      <c r="D1091" s="6">
        <f>IFERROR(__xludf.DUMMYFUNCTION("""COMPUTED_VALUE"""),2.0)</f>
        <v>2</v>
      </c>
      <c r="E1091" s="6">
        <f>IFERROR(__xludf.DUMMYFUNCTION("""COMPUTED_VALUE"""),2.0)</f>
        <v>2</v>
      </c>
      <c r="F1091" s="6">
        <f>IFERROR(__xludf.DUMMYFUNCTION("""COMPUTED_VALUE"""),13.0)</f>
        <v>13</v>
      </c>
      <c r="G1091" s="6">
        <f>IFERROR(__xludf.DUMMYFUNCTION("""COMPUTED_VALUE"""),17.0)</f>
        <v>17</v>
      </c>
    </row>
    <row r="1092">
      <c r="A1092" s="6">
        <f>IFERROR(__xludf.DUMMYFUNCTION("""COMPUTED_VALUE"""),2018.0)</f>
        <v>2018</v>
      </c>
      <c r="B1092" s="6" t="str">
        <f>IFERROR(__xludf.DUMMYFUNCTION("""COMPUTED_VALUE"""),"Janeiro")</f>
        <v>Janeiro</v>
      </c>
      <c r="C1092" s="6" t="str">
        <f>IFERROR(__xludf.DUMMYFUNCTION("""COMPUTED_VALUE"""),"LESÃO CORPORAL DOLOSA")</f>
        <v>LESÃO CORPORAL DOLOSA</v>
      </c>
      <c r="D1092" s="6">
        <f>IFERROR(__xludf.DUMMYFUNCTION("""COMPUTED_VALUE"""),1014.0)</f>
        <v>1014</v>
      </c>
      <c r="E1092" s="6">
        <f>IFERROR(__xludf.DUMMYFUNCTION("""COMPUTED_VALUE"""),864.0)</f>
        <v>864</v>
      </c>
      <c r="F1092" s="6">
        <f>IFERROR(__xludf.DUMMYFUNCTION("""COMPUTED_VALUE"""),3118.0)</f>
        <v>3118</v>
      </c>
      <c r="G1092" s="6">
        <f>IFERROR(__xludf.DUMMYFUNCTION("""COMPUTED_VALUE"""),4996.0)</f>
        <v>4996</v>
      </c>
    </row>
    <row r="1093">
      <c r="A1093" s="6">
        <f>IFERROR(__xludf.DUMMYFUNCTION("""COMPUTED_VALUE"""),2018.0)</f>
        <v>2018</v>
      </c>
      <c r="B1093" s="6" t="str">
        <f>IFERROR(__xludf.DUMMYFUNCTION("""COMPUTED_VALUE"""),"Janeiro")</f>
        <v>Janeiro</v>
      </c>
      <c r="C1093" s="6" t="str">
        <f>IFERROR(__xludf.DUMMYFUNCTION("""COMPUTED_VALUE"""),"MAUS TRATOS")</f>
        <v>MAUS TRATOS</v>
      </c>
      <c r="D1093" s="6">
        <f>IFERROR(__xludf.DUMMYFUNCTION("""COMPUTED_VALUE"""),3.0)</f>
        <v>3</v>
      </c>
      <c r="E1093" s="6">
        <f>IFERROR(__xludf.DUMMYFUNCTION("""COMPUTED_VALUE"""),2.0)</f>
        <v>2</v>
      </c>
      <c r="F1093" s="6">
        <f>IFERROR(__xludf.DUMMYFUNCTION("""COMPUTED_VALUE"""),18.0)</f>
        <v>18</v>
      </c>
      <c r="G1093" s="6">
        <f>IFERROR(__xludf.DUMMYFUNCTION("""COMPUTED_VALUE"""),23.0)</f>
        <v>23</v>
      </c>
    </row>
    <row r="1094">
      <c r="A1094" s="6">
        <f>IFERROR(__xludf.DUMMYFUNCTION("""COMPUTED_VALUE"""),2018.0)</f>
        <v>2018</v>
      </c>
      <c r="B1094" s="6" t="str">
        <f>IFERROR(__xludf.DUMMYFUNCTION("""COMPUTED_VALUE"""),"Janeiro")</f>
        <v>Janeiro</v>
      </c>
      <c r="C1094" s="6" t="str">
        <f>IFERROR(__xludf.DUMMYFUNCTION("""COMPUTED_VALUE"""),"CALÚNIA - DIFAMAÇÃO - INJÚRIA")</f>
        <v>CALÚNIA - DIFAMAÇÃO - INJÚRIA</v>
      </c>
      <c r="D1094" s="6">
        <f>IFERROR(__xludf.DUMMYFUNCTION("""COMPUTED_VALUE"""),198.0)</f>
        <v>198</v>
      </c>
      <c r="E1094" s="6">
        <f>IFERROR(__xludf.DUMMYFUNCTION("""COMPUTED_VALUE"""),168.0)</f>
        <v>168</v>
      </c>
      <c r="F1094" s="6">
        <f>IFERROR(__xludf.DUMMYFUNCTION("""COMPUTED_VALUE"""),724.0)</f>
        <v>724</v>
      </c>
      <c r="G1094" s="6">
        <f>IFERROR(__xludf.DUMMYFUNCTION("""COMPUTED_VALUE"""),1090.0)</f>
        <v>1090</v>
      </c>
    </row>
    <row r="1095">
      <c r="A1095" s="6">
        <f>IFERROR(__xludf.DUMMYFUNCTION("""COMPUTED_VALUE"""),2018.0)</f>
        <v>2018</v>
      </c>
      <c r="B1095" s="6" t="str">
        <f>IFERROR(__xludf.DUMMYFUNCTION("""COMPUTED_VALUE"""),"Janeiro")</f>
        <v>Janeiro</v>
      </c>
      <c r="C1095" s="6" t="str">
        <f>IFERROR(__xludf.DUMMYFUNCTION("""COMPUTED_VALUE"""),"CONSTRANGIMENTO ILEGAL")</f>
        <v>CONSTRANGIMENTO ILEGAL</v>
      </c>
      <c r="D1095" s="6">
        <f>IFERROR(__xludf.DUMMYFUNCTION("""COMPUTED_VALUE"""),1.0)</f>
        <v>1</v>
      </c>
      <c r="E1095" s="6">
        <f>IFERROR(__xludf.DUMMYFUNCTION("""COMPUTED_VALUE"""),1.0)</f>
        <v>1</v>
      </c>
      <c r="F1095" s="6">
        <f>IFERROR(__xludf.DUMMYFUNCTION("""COMPUTED_VALUE"""),7.0)</f>
        <v>7</v>
      </c>
      <c r="G1095" s="6">
        <f>IFERROR(__xludf.DUMMYFUNCTION("""COMPUTED_VALUE"""),9.0)</f>
        <v>9</v>
      </c>
    </row>
    <row r="1096">
      <c r="A1096" s="6">
        <f>IFERROR(__xludf.DUMMYFUNCTION("""COMPUTED_VALUE"""),2018.0)</f>
        <v>2018</v>
      </c>
      <c r="B1096" s="6" t="str">
        <f>IFERROR(__xludf.DUMMYFUNCTION("""COMPUTED_VALUE"""),"Janeiro")</f>
        <v>Janeiro</v>
      </c>
      <c r="C1096" s="6" t="str">
        <f>IFERROR(__xludf.DUMMYFUNCTION("""COMPUTED_VALUE"""),"AMEAÇA")</f>
        <v>AMEAÇA</v>
      </c>
      <c r="D1096" s="6">
        <f>IFERROR(__xludf.DUMMYFUNCTION("""COMPUTED_VALUE"""),948.0)</f>
        <v>948</v>
      </c>
      <c r="E1096" s="6">
        <f>IFERROR(__xludf.DUMMYFUNCTION("""COMPUTED_VALUE"""),852.0)</f>
        <v>852</v>
      </c>
      <c r="F1096" s="6">
        <f>IFERROR(__xludf.DUMMYFUNCTION("""COMPUTED_VALUE"""),3214.0)</f>
        <v>3214</v>
      </c>
      <c r="G1096" s="6">
        <f>IFERROR(__xludf.DUMMYFUNCTION("""COMPUTED_VALUE"""),5014.0)</f>
        <v>5014</v>
      </c>
    </row>
    <row r="1097">
      <c r="A1097" s="6">
        <f>IFERROR(__xludf.DUMMYFUNCTION("""COMPUTED_VALUE"""),2018.0)</f>
        <v>2018</v>
      </c>
      <c r="B1097" s="6" t="str">
        <f>IFERROR(__xludf.DUMMYFUNCTION("""COMPUTED_VALUE"""),"Janeiro")</f>
        <v>Janeiro</v>
      </c>
      <c r="C1097" s="6" t="str">
        <f>IFERROR(__xludf.DUMMYFUNCTION("""COMPUTED_VALUE"""),"INVASÃO DE DOMICÍLIO")</f>
        <v>INVASÃO DE DOMICÍLIO</v>
      </c>
      <c r="D1097" s="6">
        <f>IFERROR(__xludf.DUMMYFUNCTION("""COMPUTED_VALUE"""),1.0)</f>
        <v>1</v>
      </c>
      <c r="E1097" s="6">
        <f>IFERROR(__xludf.DUMMYFUNCTION("""COMPUTED_VALUE"""),2.0)</f>
        <v>2</v>
      </c>
      <c r="F1097" s="6">
        <f>IFERROR(__xludf.DUMMYFUNCTION("""COMPUTED_VALUE"""),13.0)</f>
        <v>13</v>
      </c>
      <c r="G1097" s="6">
        <f>IFERROR(__xludf.DUMMYFUNCTION("""COMPUTED_VALUE"""),16.0)</f>
        <v>16</v>
      </c>
    </row>
    <row r="1098">
      <c r="A1098" s="6">
        <f>IFERROR(__xludf.DUMMYFUNCTION("""COMPUTED_VALUE"""),2018.0)</f>
        <v>2018</v>
      </c>
      <c r="B1098" s="6" t="str">
        <f>IFERROR(__xludf.DUMMYFUNCTION("""COMPUTED_VALUE"""),"Janeiro")</f>
        <v>Janeiro</v>
      </c>
      <c r="C1098" s="6" t="str">
        <f>IFERROR(__xludf.DUMMYFUNCTION("""COMPUTED_VALUE"""),"DANO")</f>
        <v>DANO</v>
      </c>
      <c r="D1098" s="6">
        <f>IFERROR(__xludf.DUMMYFUNCTION("""COMPUTED_VALUE"""),11.0)</f>
        <v>11</v>
      </c>
      <c r="E1098" s="6">
        <f>IFERROR(__xludf.DUMMYFUNCTION("""COMPUTED_VALUE"""),11.0)</f>
        <v>11</v>
      </c>
      <c r="F1098" s="6">
        <f>IFERROR(__xludf.DUMMYFUNCTION("""COMPUTED_VALUE"""),62.0)</f>
        <v>62</v>
      </c>
      <c r="G1098" s="6">
        <f>IFERROR(__xludf.DUMMYFUNCTION("""COMPUTED_VALUE"""),84.0)</f>
        <v>84</v>
      </c>
    </row>
    <row r="1099">
      <c r="A1099" s="6">
        <f>IFERROR(__xludf.DUMMYFUNCTION("""COMPUTED_VALUE"""),2018.0)</f>
        <v>2018</v>
      </c>
      <c r="B1099" s="6" t="str">
        <f>IFERROR(__xludf.DUMMYFUNCTION("""COMPUTED_VALUE"""),"Janeiro")</f>
        <v>Janeiro</v>
      </c>
      <c r="C1099" s="6" t="str">
        <f>IFERROR(__xludf.DUMMYFUNCTION("""COMPUTED_VALUE"""),"ESTUPRO CONSUMADO")</f>
        <v>ESTUPRO CONSUMADO</v>
      </c>
      <c r="D1099" s="6">
        <f>IFERROR(__xludf.DUMMYFUNCTION("""COMPUTED_VALUE"""),10.0)</f>
        <v>10</v>
      </c>
      <c r="E1099" s="6">
        <f>IFERROR(__xludf.DUMMYFUNCTION("""COMPUTED_VALUE"""),7.0)</f>
        <v>7</v>
      </c>
      <c r="F1099" s="6">
        <f>IFERROR(__xludf.DUMMYFUNCTION("""COMPUTED_VALUE"""),19.0)</f>
        <v>19</v>
      </c>
      <c r="G1099" s="6">
        <f>IFERROR(__xludf.DUMMYFUNCTION("""COMPUTED_VALUE"""),36.0)</f>
        <v>36</v>
      </c>
    </row>
    <row r="1100">
      <c r="A1100" s="6">
        <f>IFERROR(__xludf.DUMMYFUNCTION("""COMPUTED_VALUE"""),2018.0)</f>
        <v>2018</v>
      </c>
      <c r="B1100" s="6" t="str">
        <f>IFERROR(__xludf.DUMMYFUNCTION("""COMPUTED_VALUE"""),"Janeiro")</f>
        <v>Janeiro</v>
      </c>
      <c r="C1100" s="6" t="str">
        <f>IFERROR(__xludf.DUMMYFUNCTION("""COMPUTED_VALUE"""),"ESTUPRO TENTADO")</f>
        <v>ESTUPRO TENTADO</v>
      </c>
      <c r="D1100" s="6">
        <f>IFERROR(__xludf.DUMMYFUNCTION("""COMPUTED_VALUE"""),1.0)</f>
        <v>1</v>
      </c>
      <c r="E1100" s="6">
        <f>IFERROR(__xludf.DUMMYFUNCTION("""COMPUTED_VALUE"""),0.0)</f>
        <v>0</v>
      </c>
      <c r="F1100" s="6">
        <f>IFERROR(__xludf.DUMMYFUNCTION("""COMPUTED_VALUE"""),1.0)</f>
        <v>1</v>
      </c>
      <c r="G1100" s="6">
        <f>IFERROR(__xludf.DUMMYFUNCTION("""COMPUTED_VALUE"""),2.0)</f>
        <v>2</v>
      </c>
    </row>
    <row r="1101">
      <c r="A1101" s="6">
        <f>IFERROR(__xludf.DUMMYFUNCTION("""COMPUTED_VALUE"""),2018.0)</f>
        <v>2018</v>
      </c>
      <c r="B1101" s="6" t="str">
        <f>IFERROR(__xludf.DUMMYFUNCTION("""COMPUTED_VALUE"""),"Janeiro")</f>
        <v>Janeiro</v>
      </c>
      <c r="C1101" s="6" t="str">
        <f>IFERROR(__xludf.DUMMYFUNCTION("""COMPUTED_VALUE"""),"ESTUPRO DE VULNERÁVEL CONSUMADO")</f>
        <v>ESTUPRO DE VULNERÁVEL CONSUMADO</v>
      </c>
      <c r="D1101" s="6">
        <f>IFERROR(__xludf.DUMMYFUNCTION("""COMPUTED_VALUE"""),3.0)</f>
        <v>3</v>
      </c>
      <c r="E1101" s="6">
        <f>IFERROR(__xludf.DUMMYFUNCTION("""COMPUTED_VALUE"""),4.0)</f>
        <v>4</v>
      </c>
      <c r="F1101" s="6">
        <f>IFERROR(__xludf.DUMMYFUNCTION("""COMPUTED_VALUE"""),18.0)</f>
        <v>18</v>
      </c>
      <c r="G1101" s="6">
        <f>IFERROR(__xludf.DUMMYFUNCTION("""COMPUTED_VALUE"""),25.0)</f>
        <v>25</v>
      </c>
    </row>
    <row r="1102">
      <c r="A1102" s="6">
        <f>IFERROR(__xludf.DUMMYFUNCTION("""COMPUTED_VALUE"""),2018.0)</f>
        <v>2018</v>
      </c>
      <c r="B1102" s="6" t="str">
        <f>IFERROR(__xludf.DUMMYFUNCTION("""COMPUTED_VALUE"""),"Janeiro")</f>
        <v>Janeiro</v>
      </c>
      <c r="C1102" s="6" t="str">
        <f>IFERROR(__xludf.DUMMYFUNCTION("""COMPUTED_VALUE"""),"OUTROS C/C/ DIGNIDADE SEXUAL")</f>
        <v>OUTROS C/C/ DIGNIDADE SEXUAL</v>
      </c>
      <c r="D1102" s="6">
        <f>IFERROR(__xludf.DUMMYFUNCTION("""COMPUTED_VALUE"""),0.0)</f>
        <v>0</v>
      </c>
      <c r="E1102" s="6">
        <f>IFERROR(__xludf.DUMMYFUNCTION("""COMPUTED_VALUE"""),1.0)</f>
        <v>1</v>
      </c>
      <c r="F1102" s="6">
        <f>IFERROR(__xludf.DUMMYFUNCTION("""COMPUTED_VALUE"""),2.0)</f>
        <v>2</v>
      </c>
      <c r="G1102" s="6">
        <f>IFERROR(__xludf.DUMMYFUNCTION("""COMPUTED_VALUE"""),3.0)</f>
        <v>3</v>
      </c>
    </row>
    <row r="1103">
      <c r="A1103" s="6">
        <f>IFERROR(__xludf.DUMMYFUNCTION("""COMPUTED_VALUE"""),2018.0)</f>
        <v>2018</v>
      </c>
      <c r="B1103" s="6" t="str">
        <f>IFERROR(__xludf.DUMMYFUNCTION("""COMPUTED_VALUE"""),"Fevereiro")</f>
        <v>Fevereiro</v>
      </c>
      <c r="C1103" s="6" t="str">
        <f>IFERROR(__xludf.DUMMYFUNCTION("""COMPUTED_VALUE"""),"HOMICÍDIO DOLOSO (exclui FEMINICÍDIO)")</f>
        <v>HOMICÍDIO DOLOSO (exclui FEMINICÍDIO)</v>
      </c>
      <c r="D1103" s="6">
        <f>IFERROR(__xludf.DUMMYFUNCTION("""COMPUTED_VALUE"""),1.0)</f>
        <v>1</v>
      </c>
      <c r="E1103" s="6">
        <f>IFERROR(__xludf.DUMMYFUNCTION("""COMPUTED_VALUE"""),0.0)</f>
        <v>0</v>
      </c>
      <c r="F1103" s="6">
        <f>IFERROR(__xludf.DUMMYFUNCTION("""COMPUTED_VALUE"""),2.0)</f>
        <v>2</v>
      </c>
      <c r="G1103" s="6">
        <f>IFERROR(__xludf.DUMMYFUNCTION("""COMPUTED_VALUE"""),3.0)</f>
        <v>3</v>
      </c>
    </row>
    <row r="1104">
      <c r="A1104" s="6">
        <f>IFERROR(__xludf.DUMMYFUNCTION("""COMPUTED_VALUE"""),2018.0)</f>
        <v>2018</v>
      </c>
      <c r="B1104" s="6" t="str">
        <f>IFERROR(__xludf.DUMMYFUNCTION("""COMPUTED_VALUE"""),"Fevereiro")</f>
        <v>Fevereiro</v>
      </c>
      <c r="C1104" s="6" t="str">
        <f>IFERROR(__xludf.DUMMYFUNCTION("""COMPUTED_VALUE"""),"FEMINICÍDIO")</f>
        <v>FEMINICÍDIO</v>
      </c>
      <c r="D1104" s="6">
        <f>IFERROR(__xludf.DUMMYFUNCTION("""COMPUTED_VALUE"""),1.0)</f>
        <v>1</v>
      </c>
      <c r="E1104" s="6">
        <f>IFERROR(__xludf.DUMMYFUNCTION("""COMPUTED_VALUE"""),2.0)</f>
        <v>2</v>
      </c>
      <c r="F1104" s="6">
        <f>IFERROR(__xludf.DUMMYFUNCTION("""COMPUTED_VALUE"""),2.0)</f>
        <v>2</v>
      </c>
      <c r="G1104" s="6">
        <f>IFERROR(__xludf.DUMMYFUNCTION("""COMPUTED_VALUE"""),5.0)</f>
        <v>5</v>
      </c>
    </row>
    <row r="1105">
      <c r="A1105" s="6">
        <f>IFERROR(__xludf.DUMMYFUNCTION("""COMPUTED_VALUE"""),2018.0)</f>
        <v>2018</v>
      </c>
      <c r="B1105" s="6" t="str">
        <f>IFERROR(__xludf.DUMMYFUNCTION("""COMPUTED_VALUE"""),"Fevereiro")</f>
        <v>Fevereiro</v>
      </c>
      <c r="C1105" s="6" t="str">
        <f>IFERROR(__xludf.DUMMYFUNCTION("""COMPUTED_VALUE"""),"HOMICÍDIO CULPOSO")</f>
        <v>HOMICÍDIO CULPOSO</v>
      </c>
      <c r="D1105" s="6">
        <f>IFERROR(__xludf.DUMMYFUNCTION("""COMPUTED_VALUE"""),0.0)</f>
        <v>0</v>
      </c>
      <c r="E1105" s="6">
        <f>IFERROR(__xludf.DUMMYFUNCTION("""COMPUTED_VALUE"""),0.0)</f>
        <v>0</v>
      </c>
      <c r="F1105" s="6">
        <f>IFERROR(__xludf.DUMMYFUNCTION("""COMPUTED_VALUE"""),0.0)</f>
        <v>0</v>
      </c>
      <c r="G1105" s="6">
        <f>IFERROR(__xludf.DUMMYFUNCTION("""COMPUTED_VALUE"""),0.0)</f>
        <v>0</v>
      </c>
    </row>
    <row r="1106">
      <c r="A1106" s="6">
        <f>IFERROR(__xludf.DUMMYFUNCTION("""COMPUTED_VALUE"""),2018.0)</f>
        <v>2018</v>
      </c>
      <c r="B1106" s="6" t="str">
        <f>IFERROR(__xludf.DUMMYFUNCTION("""COMPUTED_VALUE"""),"Fevereiro")</f>
        <v>Fevereiro</v>
      </c>
      <c r="C1106" s="6" t="str">
        <f>IFERROR(__xludf.DUMMYFUNCTION("""COMPUTED_VALUE"""),"TENTATIVA DE HOMICÍDIO")</f>
        <v>TENTATIVA DE HOMICÍDIO</v>
      </c>
      <c r="D1106" s="6">
        <f>IFERROR(__xludf.DUMMYFUNCTION("""COMPUTED_VALUE"""),1.0)</f>
        <v>1</v>
      </c>
      <c r="E1106" s="6">
        <f>IFERROR(__xludf.DUMMYFUNCTION("""COMPUTED_VALUE"""),1.0)</f>
        <v>1</v>
      </c>
      <c r="F1106" s="6">
        <f>IFERROR(__xludf.DUMMYFUNCTION("""COMPUTED_VALUE"""),11.0)</f>
        <v>11</v>
      </c>
      <c r="G1106" s="6">
        <f>IFERROR(__xludf.DUMMYFUNCTION("""COMPUTED_VALUE"""),13.0)</f>
        <v>13</v>
      </c>
    </row>
    <row r="1107">
      <c r="A1107" s="6">
        <f>IFERROR(__xludf.DUMMYFUNCTION("""COMPUTED_VALUE"""),2018.0)</f>
        <v>2018</v>
      </c>
      <c r="B1107" s="6" t="str">
        <f>IFERROR(__xludf.DUMMYFUNCTION("""COMPUTED_VALUE"""),"Fevereiro")</f>
        <v>Fevereiro</v>
      </c>
      <c r="C1107" s="6" t="str">
        <f>IFERROR(__xludf.DUMMYFUNCTION("""COMPUTED_VALUE"""),"LESÃO CORPORAL DOLOSA")</f>
        <v>LESÃO CORPORAL DOLOSA</v>
      </c>
      <c r="D1107" s="6">
        <f>IFERROR(__xludf.DUMMYFUNCTION("""COMPUTED_VALUE"""),912.0)</f>
        <v>912</v>
      </c>
      <c r="E1107" s="6">
        <f>IFERROR(__xludf.DUMMYFUNCTION("""COMPUTED_VALUE"""),784.0)</f>
        <v>784</v>
      </c>
      <c r="F1107" s="6">
        <f>IFERROR(__xludf.DUMMYFUNCTION("""COMPUTED_VALUE"""),2814.0)</f>
        <v>2814</v>
      </c>
      <c r="G1107" s="6">
        <f>IFERROR(__xludf.DUMMYFUNCTION("""COMPUTED_VALUE"""),4510.0)</f>
        <v>4510</v>
      </c>
    </row>
    <row r="1108">
      <c r="A1108" s="6">
        <f>IFERROR(__xludf.DUMMYFUNCTION("""COMPUTED_VALUE"""),2018.0)</f>
        <v>2018</v>
      </c>
      <c r="B1108" s="6" t="str">
        <f>IFERROR(__xludf.DUMMYFUNCTION("""COMPUTED_VALUE"""),"Fevereiro")</f>
        <v>Fevereiro</v>
      </c>
      <c r="C1108" s="6" t="str">
        <f>IFERROR(__xludf.DUMMYFUNCTION("""COMPUTED_VALUE"""),"MAUS TRATOS")</f>
        <v>MAUS TRATOS</v>
      </c>
      <c r="D1108" s="6">
        <f>IFERROR(__xludf.DUMMYFUNCTION("""COMPUTED_VALUE"""),2.0)</f>
        <v>2</v>
      </c>
      <c r="E1108" s="6">
        <f>IFERROR(__xludf.DUMMYFUNCTION("""COMPUTED_VALUE"""),2.0)</f>
        <v>2</v>
      </c>
      <c r="F1108" s="6">
        <f>IFERROR(__xludf.DUMMYFUNCTION("""COMPUTED_VALUE"""),14.0)</f>
        <v>14</v>
      </c>
      <c r="G1108" s="6">
        <f>IFERROR(__xludf.DUMMYFUNCTION("""COMPUTED_VALUE"""),18.0)</f>
        <v>18</v>
      </c>
    </row>
    <row r="1109">
      <c r="A1109" s="6">
        <f>IFERROR(__xludf.DUMMYFUNCTION("""COMPUTED_VALUE"""),2018.0)</f>
        <v>2018</v>
      </c>
      <c r="B1109" s="6" t="str">
        <f>IFERROR(__xludf.DUMMYFUNCTION("""COMPUTED_VALUE"""),"Fevereiro")</f>
        <v>Fevereiro</v>
      </c>
      <c r="C1109" s="6" t="str">
        <f>IFERROR(__xludf.DUMMYFUNCTION("""COMPUTED_VALUE"""),"CALÚNIA - DIFAMAÇÃO - INJÚRIA")</f>
        <v>CALÚNIA - DIFAMAÇÃO - INJÚRIA</v>
      </c>
      <c r="D1109" s="6">
        <f>IFERROR(__xludf.DUMMYFUNCTION("""COMPUTED_VALUE"""),178.0)</f>
        <v>178</v>
      </c>
      <c r="E1109" s="6">
        <f>IFERROR(__xludf.DUMMYFUNCTION("""COMPUTED_VALUE"""),151.0)</f>
        <v>151</v>
      </c>
      <c r="F1109" s="6">
        <f>IFERROR(__xludf.DUMMYFUNCTION("""COMPUTED_VALUE"""),654.0)</f>
        <v>654</v>
      </c>
      <c r="G1109" s="6">
        <f>IFERROR(__xludf.DUMMYFUNCTION("""COMPUTED_VALUE"""),983.0)</f>
        <v>983</v>
      </c>
    </row>
    <row r="1110">
      <c r="A1110" s="6">
        <f>IFERROR(__xludf.DUMMYFUNCTION("""COMPUTED_VALUE"""),2018.0)</f>
        <v>2018</v>
      </c>
      <c r="B1110" s="6" t="str">
        <f>IFERROR(__xludf.DUMMYFUNCTION("""COMPUTED_VALUE"""),"Fevereiro")</f>
        <v>Fevereiro</v>
      </c>
      <c r="C1110" s="6" t="str">
        <f>IFERROR(__xludf.DUMMYFUNCTION("""COMPUTED_VALUE"""),"CONSTRANGIMENTO ILEGAL")</f>
        <v>CONSTRANGIMENTO ILEGAL</v>
      </c>
      <c r="D1110" s="6">
        <f>IFERROR(__xludf.DUMMYFUNCTION("""COMPUTED_VALUE"""),1.0)</f>
        <v>1</v>
      </c>
      <c r="E1110" s="6">
        <f>IFERROR(__xludf.DUMMYFUNCTION("""COMPUTED_VALUE"""),0.0)</f>
        <v>0</v>
      </c>
      <c r="F1110" s="6">
        <f>IFERROR(__xludf.DUMMYFUNCTION("""COMPUTED_VALUE"""),5.0)</f>
        <v>5</v>
      </c>
      <c r="G1110" s="6">
        <f>IFERROR(__xludf.DUMMYFUNCTION("""COMPUTED_VALUE"""),6.0)</f>
        <v>6</v>
      </c>
    </row>
    <row r="1111">
      <c r="A1111" s="6">
        <f>IFERROR(__xludf.DUMMYFUNCTION("""COMPUTED_VALUE"""),2018.0)</f>
        <v>2018</v>
      </c>
      <c r="B1111" s="6" t="str">
        <f>IFERROR(__xludf.DUMMYFUNCTION("""COMPUTED_VALUE"""),"Fevereiro")</f>
        <v>Fevereiro</v>
      </c>
      <c r="C1111" s="6" t="str">
        <f>IFERROR(__xludf.DUMMYFUNCTION("""COMPUTED_VALUE"""),"AMEAÇA")</f>
        <v>AMEAÇA</v>
      </c>
      <c r="D1111" s="6">
        <f>IFERROR(__xludf.DUMMYFUNCTION("""COMPUTED_VALUE"""),842.0)</f>
        <v>842</v>
      </c>
      <c r="E1111" s="6">
        <f>IFERROR(__xludf.DUMMYFUNCTION("""COMPUTED_VALUE"""),771.0)</f>
        <v>771</v>
      </c>
      <c r="F1111" s="6">
        <f>IFERROR(__xludf.DUMMYFUNCTION("""COMPUTED_VALUE"""),2884.0)</f>
        <v>2884</v>
      </c>
      <c r="G1111" s="6">
        <f>IFERROR(__xludf.DUMMYFUNCTION("""COMPUTED_VALUE"""),4497.0)</f>
        <v>4497</v>
      </c>
    </row>
    <row r="1112">
      <c r="A1112" s="6">
        <f>IFERROR(__xludf.DUMMYFUNCTION("""COMPUTED_VALUE"""),2018.0)</f>
        <v>2018</v>
      </c>
      <c r="B1112" s="6" t="str">
        <f>IFERROR(__xludf.DUMMYFUNCTION("""COMPUTED_VALUE"""),"Fevereiro")</f>
        <v>Fevereiro</v>
      </c>
      <c r="C1112" s="6" t="str">
        <f>IFERROR(__xludf.DUMMYFUNCTION("""COMPUTED_VALUE"""),"INVASÃO DE DOMICÍLIO")</f>
        <v>INVASÃO DE DOMICÍLIO</v>
      </c>
      <c r="D1112" s="6">
        <f>IFERROR(__xludf.DUMMYFUNCTION("""COMPUTED_VALUE"""),1.0)</f>
        <v>1</v>
      </c>
      <c r="E1112" s="6">
        <f>IFERROR(__xludf.DUMMYFUNCTION("""COMPUTED_VALUE"""),1.0)</f>
        <v>1</v>
      </c>
      <c r="F1112" s="6">
        <f>IFERROR(__xludf.DUMMYFUNCTION("""COMPUTED_VALUE"""),11.0)</f>
        <v>11</v>
      </c>
      <c r="G1112" s="6">
        <f>IFERROR(__xludf.DUMMYFUNCTION("""COMPUTED_VALUE"""),13.0)</f>
        <v>13</v>
      </c>
    </row>
    <row r="1113">
      <c r="A1113" s="6">
        <f>IFERROR(__xludf.DUMMYFUNCTION("""COMPUTED_VALUE"""),2018.0)</f>
        <v>2018</v>
      </c>
      <c r="B1113" s="6" t="str">
        <f>IFERROR(__xludf.DUMMYFUNCTION("""COMPUTED_VALUE"""),"Fevereiro")</f>
        <v>Fevereiro</v>
      </c>
      <c r="C1113" s="6" t="str">
        <f>IFERROR(__xludf.DUMMYFUNCTION("""COMPUTED_VALUE"""),"DANO")</f>
        <v>DANO</v>
      </c>
      <c r="D1113" s="6">
        <f>IFERROR(__xludf.DUMMYFUNCTION("""COMPUTED_VALUE"""),9.0)</f>
        <v>9</v>
      </c>
      <c r="E1113" s="6">
        <f>IFERROR(__xludf.DUMMYFUNCTION("""COMPUTED_VALUE"""),9.0)</f>
        <v>9</v>
      </c>
      <c r="F1113" s="6">
        <f>IFERROR(__xludf.DUMMYFUNCTION("""COMPUTED_VALUE"""),51.0)</f>
        <v>51</v>
      </c>
      <c r="G1113" s="6">
        <f>IFERROR(__xludf.DUMMYFUNCTION("""COMPUTED_VALUE"""),69.0)</f>
        <v>69</v>
      </c>
    </row>
    <row r="1114">
      <c r="A1114" s="6">
        <f>IFERROR(__xludf.DUMMYFUNCTION("""COMPUTED_VALUE"""),2018.0)</f>
        <v>2018</v>
      </c>
      <c r="B1114" s="6" t="str">
        <f>IFERROR(__xludf.DUMMYFUNCTION("""COMPUTED_VALUE"""),"Fevereiro")</f>
        <v>Fevereiro</v>
      </c>
      <c r="C1114" s="6" t="str">
        <f>IFERROR(__xludf.DUMMYFUNCTION("""COMPUTED_VALUE"""),"ESTUPRO CONSUMADO")</f>
        <v>ESTUPRO CONSUMADO</v>
      </c>
      <c r="D1114" s="6">
        <f>IFERROR(__xludf.DUMMYFUNCTION("""COMPUTED_VALUE"""),9.0)</f>
        <v>9</v>
      </c>
      <c r="E1114" s="6">
        <f>IFERROR(__xludf.DUMMYFUNCTION("""COMPUTED_VALUE"""),6.0)</f>
        <v>6</v>
      </c>
      <c r="F1114" s="6">
        <f>IFERROR(__xludf.DUMMYFUNCTION("""COMPUTED_VALUE"""),16.0)</f>
        <v>16</v>
      </c>
      <c r="G1114" s="6">
        <f>IFERROR(__xludf.DUMMYFUNCTION("""COMPUTED_VALUE"""),31.0)</f>
        <v>31</v>
      </c>
    </row>
    <row r="1115">
      <c r="A1115" s="6">
        <f>IFERROR(__xludf.DUMMYFUNCTION("""COMPUTED_VALUE"""),2018.0)</f>
        <v>2018</v>
      </c>
      <c r="B1115" s="6" t="str">
        <f>IFERROR(__xludf.DUMMYFUNCTION("""COMPUTED_VALUE"""),"Fevereiro")</f>
        <v>Fevereiro</v>
      </c>
      <c r="C1115" s="6" t="str">
        <f>IFERROR(__xludf.DUMMYFUNCTION("""COMPUTED_VALUE"""),"ESTUPRO TENTADO")</f>
        <v>ESTUPRO TENTADO</v>
      </c>
      <c r="D1115" s="6">
        <f>IFERROR(__xludf.DUMMYFUNCTION("""COMPUTED_VALUE"""),0.0)</f>
        <v>0</v>
      </c>
      <c r="E1115" s="6">
        <f>IFERROR(__xludf.DUMMYFUNCTION("""COMPUTED_VALUE"""),0.0)</f>
        <v>0</v>
      </c>
      <c r="F1115" s="6">
        <f>IFERROR(__xludf.DUMMYFUNCTION("""COMPUTED_VALUE"""),1.0)</f>
        <v>1</v>
      </c>
      <c r="G1115" s="6">
        <f>IFERROR(__xludf.DUMMYFUNCTION("""COMPUTED_VALUE"""),1.0)</f>
        <v>1</v>
      </c>
    </row>
    <row r="1116">
      <c r="A1116" s="6">
        <f>IFERROR(__xludf.DUMMYFUNCTION("""COMPUTED_VALUE"""),2018.0)</f>
        <v>2018</v>
      </c>
      <c r="B1116" s="6" t="str">
        <f>IFERROR(__xludf.DUMMYFUNCTION("""COMPUTED_VALUE"""),"Fevereiro")</f>
        <v>Fevereiro</v>
      </c>
      <c r="C1116" s="6" t="str">
        <f>IFERROR(__xludf.DUMMYFUNCTION("""COMPUTED_VALUE"""),"ESTUPRO DE VULNERÁVEL CONSUMADO")</f>
        <v>ESTUPRO DE VULNERÁVEL CONSUMADO</v>
      </c>
      <c r="D1116" s="6">
        <f>IFERROR(__xludf.DUMMYFUNCTION("""COMPUTED_VALUE"""),2.0)</f>
        <v>2</v>
      </c>
      <c r="E1116" s="6">
        <f>IFERROR(__xludf.DUMMYFUNCTION("""COMPUTED_VALUE"""),3.0)</f>
        <v>3</v>
      </c>
      <c r="F1116" s="6">
        <f>IFERROR(__xludf.DUMMYFUNCTION("""COMPUTED_VALUE"""),15.0)</f>
        <v>15</v>
      </c>
      <c r="G1116" s="6">
        <f>IFERROR(__xludf.DUMMYFUNCTION("""COMPUTED_VALUE"""),20.0)</f>
        <v>20</v>
      </c>
    </row>
    <row r="1117">
      <c r="A1117" s="6">
        <f>IFERROR(__xludf.DUMMYFUNCTION("""COMPUTED_VALUE"""),2018.0)</f>
        <v>2018</v>
      </c>
      <c r="B1117" s="6" t="str">
        <f>IFERROR(__xludf.DUMMYFUNCTION("""COMPUTED_VALUE"""),"Fevereiro")</f>
        <v>Fevereiro</v>
      </c>
      <c r="C1117" s="6" t="str">
        <f>IFERROR(__xludf.DUMMYFUNCTION("""COMPUTED_VALUE"""),"OUTROS C/C/ DIGNIDADE SEXUAL")</f>
        <v>OUTROS C/C/ DIGNIDADE SEXUAL</v>
      </c>
      <c r="D1117" s="6">
        <f>IFERROR(__xludf.DUMMYFUNCTION("""COMPUTED_VALUE"""),0.0)</f>
        <v>0</v>
      </c>
      <c r="E1117" s="6">
        <f>IFERROR(__xludf.DUMMYFUNCTION("""COMPUTED_VALUE"""),0.0)</f>
        <v>0</v>
      </c>
      <c r="F1117" s="6">
        <f>IFERROR(__xludf.DUMMYFUNCTION("""COMPUTED_VALUE"""),1.0)</f>
        <v>1</v>
      </c>
      <c r="G1117" s="6">
        <f>IFERROR(__xludf.DUMMYFUNCTION("""COMPUTED_VALUE"""),1.0)</f>
        <v>1</v>
      </c>
    </row>
    <row r="1118">
      <c r="A1118" s="6">
        <f>IFERROR(__xludf.DUMMYFUNCTION("""COMPUTED_VALUE"""),2018.0)</f>
        <v>2018</v>
      </c>
      <c r="B1118" s="6" t="str">
        <f>IFERROR(__xludf.DUMMYFUNCTION("""COMPUTED_VALUE"""),"Março")</f>
        <v>Março</v>
      </c>
      <c r="C1118" s="6" t="str">
        <f>IFERROR(__xludf.DUMMYFUNCTION("""COMPUTED_VALUE"""),"HOMICÍDIO DOLOSO (exclui FEMINICÍDIO)")</f>
        <v>HOMICÍDIO DOLOSO (exclui FEMINICÍDIO)</v>
      </c>
      <c r="D1118" s="6">
        <f>IFERROR(__xludf.DUMMYFUNCTION("""COMPUTED_VALUE"""),2.0)</f>
        <v>2</v>
      </c>
      <c r="E1118" s="6">
        <f>IFERROR(__xludf.DUMMYFUNCTION("""COMPUTED_VALUE"""),1.0)</f>
        <v>1</v>
      </c>
      <c r="F1118" s="6">
        <f>IFERROR(__xludf.DUMMYFUNCTION("""COMPUTED_VALUE"""),3.0)</f>
        <v>3</v>
      </c>
      <c r="G1118" s="6">
        <f>IFERROR(__xludf.DUMMYFUNCTION("""COMPUTED_VALUE"""),6.0)</f>
        <v>6</v>
      </c>
    </row>
    <row r="1119">
      <c r="A1119" s="6">
        <f>IFERROR(__xludf.DUMMYFUNCTION("""COMPUTED_VALUE"""),2018.0)</f>
        <v>2018</v>
      </c>
      <c r="B1119" s="6" t="str">
        <f>IFERROR(__xludf.DUMMYFUNCTION("""COMPUTED_VALUE"""),"Março")</f>
        <v>Março</v>
      </c>
      <c r="C1119" s="6" t="str">
        <f>IFERROR(__xludf.DUMMYFUNCTION("""COMPUTED_VALUE"""),"FEMINICÍDIO")</f>
        <v>FEMINICÍDIO</v>
      </c>
      <c r="D1119" s="6">
        <f>IFERROR(__xludf.DUMMYFUNCTION("""COMPUTED_VALUE"""),2.0)</f>
        <v>2</v>
      </c>
      <c r="E1119" s="6">
        <f>IFERROR(__xludf.DUMMYFUNCTION("""COMPUTED_VALUE"""),3.0)</f>
        <v>3</v>
      </c>
      <c r="F1119" s="6">
        <f>IFERROR(__xludf.DUMMYFUNCTION("""COMPUTED_VALUE"""),5.0)</f>
        <v>5</v>
      </c>
      <c r="G1119" s="6">
        <f>IFERROR(__xludf.DUMMYFUNCTION("""COMPUTED_VALUE"""),10.0)</f>
        <v>10</v>
      </c>
    </row>
    <row r="1120">
      <c r="A1120" s="6">
        <f>IFERROR(__xludf.DUMMYFUNCTION("""COMPUTED_VALUE"""),2018.0)</f>
        <v>2018</v>
      </c>
      <c r="B1120" s="6" t="str">
        <f>IFERROR(__xludf.DUMMYFUNCTION("""COMPUTED_VALUE"""),"Março")</f>
        <v>Março</v>
      </c>
      <c r="C1120" s="6" t="str">
        <f>IFERROR(__xludf.DUMMYFUNCTION("""COMPUTED_VALUE"""),"HOMICÍDIO CULPOSO")</f>
        <v>HOMICÍDIO CULPOSO</v>
      </c>
      <c r="D1120" s="6">
        <f>IFERROR(__xludf.DUMMYFUNCTION("""COMPUTED_VALUE"""),0.0)</f>
        <v>0</v>
      </c>
      <c r="E1120" s="6">
        <f>IFERROR(__xludf.DUMMYFUNCTION("""COMPUTED_VALUE"""),0.0)</f>
        <v>0</v>
      </c>
      <c r="F1120" s="6">
        <f>IFERROR(__xludf.DUMMYFUNCTION("""COMPUTED_VALUE"""),0.0)</f>
        <v>0</v>
      </c>
      <c r="G1120" s="6">
        <f>IFERROR(__xludf.DUMMYFUNCTION("""COMPUTED_VALUE"""),0.0)</f>
        <v>0</v>
      </c>
    </row>
    <row r="1121">
      <c r="A1121" s="6">
        <f>IFERROR(__xludf.DUMMYFUNCTION("""COMPUTED_VALUE"""),2018.0)</f>
        <v>2018</v>
      </c>
      <c r="B1121" s="6" t="str">
        <f>IFERROR(__xludf.DUMMYFUNCTION("""COMPUTED_VALUE"""),"Março")</f>
        <v>Março</v>
      </c>
      <c r="C1121" s="6" t="str">
        <f>IFERROR(__xludf.DUMMYFUNCTION("""COMPUTED_VALUE"""),"TENTATIVA DE HOMICÍDIO")</f>
        <v>TENTATIVA DE HOMICÍDIO</v>
      </c>
      <c r="D1121" s="6">
        <f>IFERROR(__xludf.DUMMYFUNCTION("""COMPUTED_VALUE"""),3.0)</f>
        <v>3</v>
      </c>
      <c r="E1121" s="6">
        <f>IFERROR(__xludf.DUMMYFUNCTION("""COMPUTED_VALUE"""),2.0)</f>
        <v>2</v>
      </c>
      <c r="F1121" s="6">
        <f>IFERROR(__xludf.DUMMYFUNCTION("""COMPUTED_VALUE"""),14.0)</f>
        <v>14</v>
      </c>
      <c r="G1121" s="6">
        <f>IFERROR(__xludf.DUMMYFUNCTION("""COMPUTED_VALUE"""),19.0)</f>
        <v>19</v>
      </c>
    </row>
    <row r="1122">
      <c r="A1122" s="6">
        <f>IFERROR(__xludf.DUMMYFUNCTION("""COMPUTED_VALUE"""),2018.0)</f>
        <v>2018</v>
      </c>
      <c r="B1122" s="6" t="str">
        <f>IFERROR(__xludf.DUMMYFUNCTION("""COMPUTED_VALUE"""),"Março")</f>
        <v>Março</v>
      </c>
      <c r="C1122" s="6" t="str">
        <f>IFERROR(__xludf.DUMMYFUNCTION("""COMPUTED_VALUE"""),"LESÃO CORPORAL DOLOSA")</f>
        <v>LESÃO CORPORAL DOLOSA</v>
      </c>
      <c r="D1122" s="6">
        <f>IFERROR(__xludf.DUMMYFUNCTION("""COMPUTED_VALUE"""),1124.0)</f>
        <v>1124</v>
      </c>
      <c r="E1122" s="6">
        <f>IFERROR(__xludf.DUMMYFUNCTION("""COMPUTED_VALUE"""),918.0)</f>
        <v>918</v>
      </c>
      <c r="F1122" s="6">
        <f>IFERROR(__xludf.DUMMYFUNCTION("""COMPUTED_VALUE"""),3416.0)</f>
        <v>3416</v>
      </c>
      <c r="G1122" s="6">
        <f>IFERROR(__xludf.DUMMYFUNCTION("""COMPUTED_VALUE"""),5458.0)</f>
        <v>5458</v>
      </c>
    </row>
    <row r="1123">
      <c r="A1123" s="6">
        <f>IFERROR(__xludf.DUMMYFUNCTION("""COMPUTED_VALUE"""),2018.0)</f>
        <v>2018</v>
      </c>
      <c r="B1123" s="6" t="str">
        <f>IFERROR(__xludf.DUMMYFUNCTION("""COMPUTED_VALUE"""),"Março")</f>
        <v>Março</v>
      </c>
      <c r="C1123" s="6" t="str">
        <f>IFERROR(__xludf.DUMMYFUNCTION("""COMPUTED_VALUE"""),"MAUS TRATOS")</f>
        <v>MAUS TRATOS</v>
      </c>
      <c r="D1123" s="6">
        <f>IFERROR(__xludf.DUMMYFUNCTION("""COMPUTED_VALUE"""),4.0)</f>
        <v>4</v>
      </c>
      <c r="E1123" s="6">
        <f>IFERROR(__xludf.DUMMYFUNCTION("""COMPUTED_VALUE"""),2.0)</f>
        <v>2</v>
      </c>
      <c r="F1123" s="6">
        <f>IFERROR(__xludf.DUMMYFUNCTION("""COMPUTED_VALUE"""),21.0)</f>
        <v>21</v>
      </c>
      <c r="G1123" s="6">
        <f>IFERROR(__xludf.DUMMYFUNCTION("""COMPUTED_VALUE"""),27.0)</f>
        <v>27</v>
      </c>
    </row>
    <row r="1124">
      <c r="A1124" s="6">
        <f>IFERROR(__xludf.DUMMYFUNCTION("""COMPUTED_VALUE"""),2018.0)</f>
        <v>2018</v>
      </c>
      <c r="B1124" s="6" t="str">
        <f>IFERROR(__xludf.DUMMYFUNCTION("""COMPUTED_VALUE"""),"Março")</f>
        <v>Março</v>
      </c>
      <c r="C1124" s="6" t="str">
        <f>IFERROR(__xludf.DUMMYFUNCTION("""COMPUTED_VALUE"""),"CALÚNIA - DIFAMAÇÃO - INJÚRIA")</f>
        <v>CALÚNIA - DIFAMAÇÃO - INJÚRIA</v>
      </c>
      <c r="D1124" s="6">
        <f>IFERROR(__xludf.DUMMYFUNCTION("""COMPUTED_VALUE"""),212.0)</f>
        <v>212</v>
      </c>
      <c r="E1124" s="6">
        <f>IFERROR(__xludf.DUMMYFUNCTION("""COMPUTED_VALUE"""),181.0)</f>
        <v>181</v>
      </c>
      <c r="F1124" s="6">
        <f>IFERROR(__xludf.DUMMYFUNCTION("""COMPUTED_VALUE"""),792.0)</f>
        <v>792</v>
      </c>
      <c r="G1124" s="6">
        <f>IFERROR(__xludf.DUMMYFUNCTION("""COMPUTED_VALUE"""),1185.0)</f>
        <v>1185</v>
      </c>
    </row>
    <row r="1125">
      <c r="A1125" s="6">
        <f>IFERROR(__xludf.DUMMYFUNCTION("""COMPUTED_VALUE"""),2018.0)</f>
        <v>2018</v>
      </c>
      <c r="B1125" s="6" t="str">
        <f>IFERROR(__xludf.DUMMYFUNCTION("""COMPUTED_VALUE"""),"Março")</f>
        <v>Março</v>
      </c>
      <c r="C1125" s="6" t="str">
        <f>IFERROR(__xludf.DUMMYFUNCTION("""COMPUTED_VALUE"""),"CONSTRANGIMENTO ILEGAL")</f>
        <v>CONSTRANGIMENTO ILEGAL</v>
      </c>
      <c r="D1125" s="6">
        <f>IFERROR(__xludf.DUMMYFUNCTION("""COMPUTED_VALUE"""),2.0)</f>
        <v>2</v>
      </c>
      <c r="E1125" s="6">
        <f>IFERROR(__xludf.DUMMYFUNCTION("""COMPUTED_VALUE"""),1.0)</f>
        <v>1</v>
      </c>
      <c r="F1125" s="6">
        <f>IFERROR(__xludf.DUMMYFUNCTION("""COMPUTED_VALUE"""),8.0)</f>
        <v>8</v>
      </c>
      <c r="G1125" s="6">
        <f>IFERROR(__xludf.DUMMYFUNCTION("""COMPUTED_VALUE"""),11.0)</f>
        <v>11</v>
      </c>
    </row>
    <row r="1126">
      <c r="A1126" s="6">
        <f>IFERROR(__xludf.DUMMYFUNCTION("""COMPUTED_VALUE"""),2018.0)</f>
        <v>2018</v>
      </c>
      <c r="B1126" s="6" t="str">
        <f>IFERROR(__xludf.DUMMYFUNCTION("""COMPUTED_VALUE"""),"Março")</f>
        <v>Março</v>
      </c>
      <c r="C1126" s="6" t="str">
        <f>IFERROR(__xludf.DUMMYFUNCTION("""COMPUTED_VALUE"""),"AMEAÇA")</f>
        <v>AMEAÇA</v>
      </c>
      <c r="D1126" s="6">
        <f>IFERROR(__xludf.DUMMYFUNCTION("""COMPUTED_VALUE"""),1084.0)</f>
        <v>1084</v>
      </c>
      <c r="E1126" s="6">
        <f>IFERROR(__xludf.DUMMYFUNCTION("""COMPUTED_VALUE"""),942.0)</f>
        <v>942</v>
      </c>
      <c r="F1126" s="6">
        <f>IFERROR(__xludf.DUMMYFUNCTION("""COMPUTED_VALUE"""),3584.0)</f>
        <v>3584</v>
      </c>
      <c r="G1126" s="6">
        <f>IFERROR(__xludf.DUMMYFUNCTION("""COMPUTED_VALUE"""),5610.0)</f>
        <v>5610</v>
      </c>
    </row>
    <row r="1127">
      <c r="A1127" s="6">
        <f>IFERROR(__xludf.DUMMYFUNCTION("""COMPUTED_VALUE"""),2018.0)</f>
        <v>2018</v>
      </c>
      <c r="B1127" s="6" t="str">
        <f>IFERROR(__xludf.DUMMYFUNCTION("""COMPUTED_VALUE"""),"Março")</f>
        <v>Março</v>
      </c>
      <c r="C1127" s="6" t="str">
        <f>IFERROR(__xludf.DUMMYFUNCTION("""COMPUTED_VALUE"""),"INVASÃO DE DOMICÍLIO")</f>
        <v>INVASÃO DE DOMICÍLIO</v>
      </c>
      <c r="D1127" s="6">
        <f>IFERROR(__xludf.DUMMYFUNCTION("""COMPUTED_VALUE"""),2.0)</f>
        <v>2</v>
      </c>
      <c r="E1127" s="6">
        <f>IFERROR(__xludf.DUMMYFUNCTION("""COMPUTED_VALUE"""),3.0)</f>
        <v>3</v>
      </c>
      <c r="F1127" s="6">
        <f>IFERROR(__xludf.DUMMYFUNCTION("""COMPUTED_VALUE"""),15.0)</f>
        <v>15</v>
      </c>
      <c r="G1127" s="6">
        <f>IFERROR(__xludf.DUMMYFUNCTION("""COMPUTED_VALUE"""),20.0)</f>
        <v>20</v>
      </c>
    </row>
    <row r="1128">
      <c r="A1128" s="6">
        <f>IFERROR(__xludf.DUMMYFUNCTION("""COMPUTED_VALUE"""),2018.0)</f>
        <v>2018</v>
      </c>
      <c r="B1128" s="6" t="str">
        <f>IFERROR(__xludf.DUMMYFUNCTION("""COMPUTED_VALUE"""),"Março")</f>
        <v>Março</v>
      </c>
      <c r="C1128" s="6" t="str">
        <f>IFERROR(__xludf.DUMMYFUNCTION("""COMPUTED_VALUE"""),"DANO")</f>
        <v>DANO</v>
      </c>
      <c r="D1128" s="6">
        <f>IFERROR(__xludf.DUMMYFUNCTION("""COMPUTED_VALUE"""),14.0)</f>
        <v>14</v>
      </c>
      <c r="E1128" s="6">
        <f>IFERROR(__xludf.DUMMYFUNCTION("""COMPUTED_VALUE"""),12.0)</f>
        <v>12</v>
      </c>
      <c r="F1128" s="6">
        <f>IFERROR(__xludf.DUMMYFUNCTION("""COMPUTED_VALUE"""),68.0)</f>
        <v>68</v>
      </c>
      <c r="G1128" s="6">
        <f>IFERROR(__xludf.DUMMYFUNCTION("""COMPUTED_VALUE"""),94.0)</f>
        <v>94</v>
      </c>
    </row>
    <row r="1129">
      <c r="A1129" s="6">
        <f>IFERROR(__xludf.DUMMYFUNCTION("""COMPUTED_VALUE"""),2018.0)</f>
        <v>2018</v>
      </c>
      <c r="B1129" s="6" t="str">
        <f>IFERROR(__xludf.DUMMYFUNCTION("""COMPUTED_VALUE"""),"Março")</f>
        <v>Março</v>
      </c>
      <c r="C1129" s="6" t="str">
        <f>IFERROR(__xludf.DUMMYFUNCTION("""COMPUTED_VALUE"""),"ESTUPRO CONSUMADO")</f>
        <v>ESTUPRO CONSUMADO</v>
      </c>
      <c r="D1129" s="6">
        <f>IFERROR(__xludf.DUMMYFUNCTION("""COMPUTED_VALUE"""),11.0)</f>
        <v>11</v>
      </c>
      <c r="E1129" s="6">
        <f>IFERROR(__xludf.DUMMYFUNCTION("""COMPUTED_VALUE"""),8.0)</f>
        <v>8</v>
      </c>
      <c r="F1129" s="6">
        <f>IFERROR(__xludf.DUMMYFUNCTION("""COMPUTED_VALUE"""),21.0)</f>
        <v>21</v>
      </c>
      <c r="G1129" s="6">
        <f>IFERROR(__xludf.DUMMYFUNCTION("""COMPUTED_VALUE"""),40.0)</f>
        <v>40</v>
      </c>
    </row>
    <row r="1130">
      <c r="A1130" s="6">
        <f>IFERROR(__xludf.DUMMYFUNCTION("""COMPUTED_VALUE"""),2018.0)</f>
        <v>2018</v>
      </c>
      <c r="B1130" s="6" t="str">
        <f>IFERROR(__xludf.DUMMYFUNCTION("""COMPUTED_VALUE"""),"Março")</f>
        <v>Março</v>
      </c>
      <c r="C1130" s="6" t="str">
        <f>IFERROR(__xludf.DUMMYFUNCTION("""COMPUTED_VALUE"""),"ESTUPRO TENTADO")</f>
        <v>ESTUPRO TENTADO</v>
      </c>
      <c r="D1130" s="6">
        <f>IFERROR(__xludf.DUMMYFUNCTION("""COMPUTED_VALUE"""),1.0)</f>
        <v>1</v>
      </c>
      <c r="E1130" s="6">
        <f>IFERROR(__xludf.DUMMYFUNCTION("""COMPUTED_VALUE"""),0.0)</f>
        <v>0</v>
      </c>
      <c r="F1130" s="6">
        <f>IFERROR(__xludf.DUMMYFUNCTION("""COMPUTED_VALUE"""),2.0)</f>
        <v>2</v>
      </c>
      <c r="G1130" s="6">
        <f>IFERROR(__xludf.DUMMYFUNCTION("""COMPUTED_VALUE"""),3.0)</f>
        <v>3</v>
      </c>
    </row>
    <row r="1131">
      <c r="A1131" s="6">
        <f>IFERROR(__xludf.DUMMYFUNCTION("""COMPUTED_VALUE"""),2018.0)</f>
        <v>2018</v>
      </c>
      <c r="B1131" s="6" t="str">
        <f>IFERROR(__xludf.DUMMYFUNCTION("""COMPUTED_VALUE"""),"Março")</f>
        <v>Março</v>
      </c>
      <c r="C1131" s="6" t="str">
        <f>IFERROR(__xludf.DUMMYFUNCTION("""COMPUTED_VALUE"""),"ESTUPRO DE VULNERÁVEL CONSUMADO")</f>
        <v>ESTUPRO DE VULNERÁVEL CONSUMADO</v>
      </c>
      <c r="D1131" s="6">
        <f>IFERROR(__xludf.DUMMYFUNCTION("""COMPUTED_VALUE"""),4.0)</f>
        <v>4</v>
      </c>
      <c r="E1131" s="6">
        <f>IFERROR(__xludf.DUMMYFUNCTION("""COMPUTED_VALUE"""),5.0)</f>
        <v>5</v>
      </c>
      <c r="F1131" s="6">
        <f>IFERROR(__xludf.DUMMYFUNCTION("""COMPUTED_VALUE"""),20.0)</f>
        <v>20</v>
      </c>
      <c r="G1131" s="6">
        <f>IFERROR(__xludf.DUMMYFUNCTION("""COMPUTED_VALUE"""),29.0)</f>
        <v>29</v>
      </c>
    </row>
    <row r="1132">
      <c r="A1132" s="6">
        <f>IFERROR(__xludf.DUMMYFUNCTION("""COMPUTED_VALUE"""),2018.0)</f>
        <v>2018</v>
      </c>
      <c r="B1132" s="6" t="str">
        <f>IFERROR(__xludf.DUMMYFUNCTION("""COMPUTED_VALUE"""),"Março")</f>
        <v>Março</v>
      </c>
      <c r="C1132" s="6" t="str">
        <f>IFERROR(__xludf.DUMMYFUNCTION("""COMPUTED_VALUE"""),"OUTROS C/C/ DIGNIDADE SEXUAL")</f>
        <v>OUTROS C/C/ DIGNIDADE SEXUAL</v>
      </c>
      <c r="D1132" s="6">
        <f>IFERROR(__xludf.DUMMYFUNCTION("""COMPUTED_VALUE"""),0.0)</f>
        <v>0</v>
      </c>
      <c r="E1132" s="6">
        <f>IFERROR(__xludf.DUMMYFUNCTION("""COMPUTED_VALUE"""),1.0)</f>
        <v>1</v>
      </c>
      <c r="F1132" s="6">
        <f>IFERROR(__xludf.DUMMYFUNCTION("""COMPUTED_VALUE"""),2.0)</f>
        <v>2</v>
      </c>
      <c r="G1132" s="6">
        <f>IFERROR(__xludf.DUMMYFUNCTION("""COMPUTED_VALUE"""),3.0)</f>
        <v>3</v>
      </c>
    </row>
    <row r="1133">
      <c r="A1133" s="6">
        <f>IFERROR(__xludf.DUMMYFUNCTION("""COMPUTED_VALUE"""),2018.0)</f>
        <v>2018</v>
      </c>
      <c r="B1133" s="6" t="str">
        <f>IFERROR(__xludf.DUMMYFUNCTION("""COMPUTED_VALUE"""),"Abril")</f>
        <v>Abril</v>
      </c>
      <c r="C1133" s="6" t="str">
        <f>IFERROR(__xludf.DUMMYFUNCTION("""COMPUTED_VALUE"""),"HOMICÍDIO DOLOSO (exclui FEMINICÍDIO)")</f>
        <v>HOMICÍDIO DOLOSO (exclui FEMINICÍDIO)</v>
      </c>
      <c r="D1133" s="6">
        <f>IFERROR(__xludf.DUMMYFUNCTION("""COMPUTED_VALUE"""),1.0)</f>
        <v>1</v>
      </c>
      <c r="E1133" s="6">
        <f>IFERROR(__xludf.DUMMYFUNCTION("""COMPUTED_VALUE"""),0.0)</f>
        <v>0</v>
      </c>
      <c r="F1133" s="6">
        <f>IFERROR(__xludf.DUMMYFUNCTION("""COMPUTED_VALUE"""),2.0)</f>
        <v>2</v>
      </c>
      <c r="G1133" s="6">
        <f>IFERROR(__xludf.DUMMYFUNCTION("""COMPUTED_VALUE"""),3.0)</f>
        <v>3</v>
      </c>
    </row>
    <row r="1134">
      <c r="A1134" s="6">
        <f>IFERROR(__xludf.DUMMYFUNCTION("""COMPUTED_VALUE"""),2018.0)</f>
        <v>2018</v>
      </c>
      <c r="B1134" s="6" t="str">
        <f>IFERROR(__xludf.DUMMYFUNCTION("""COMPUTED_VALUE"""),"Abril")</f>
        <v>Abril</v>
      </c>
      <c r="C1134" s="6" t="str">
        <f>IFERROR(__xludf.DUMMYFUNCTION("""COMPUTED_VALUE"""),"FEMINICÍDIO")</f>
        <v>FEMINICÍDIO</v>
      </c>
      <c r="D1134" s="6">
        <f>IFERROR(__xludf.DUMMYFUNCTION("""COMPUTED_VALUE"""),1.0)</f>
        <v>1</v>
      </c>
      <c r="E1134" s="6">
        <f>IFERROR(__xludf.DUMMYFUNCTION("""COMPUTED_VALUE"""),2.0)</f>
        <v>2</v>
      </c>
      <c r="F1134" s="6">
        <f>IFERROR(__xludf.DUMMYFUNCTION("""COMPUTED_VALUE"""),3.0)</f>
        <v>3</v>
      </c>
      <c r="G1134" s="6">
        <f>IFERROR(__xludf.DUMMYFUNCTION("""COMPUTED_VALUE"""),6.0)</f>
        <v>6</v>
      </c>
    </row>
    <row r="1135">
      <c r="A1135" s="6">
        <f>IFERROR(__xludf.DUMMYFUNCTION("""COMPUTED_VALUE"""),2018.0)</f>
        <v>2018</v>
      </c>
      <c r="B1135" s="6" t="str">
        <f>IFERROR(__xludf.DUMMYFUNCTION("""COMPUTED_VALUE"""),"Abril")</f>
        <v>Abril</v>
      </c>
      <c r="C1135" s="6" t="str">
        <f>IFERROR(__xludf.DUMMYFUNCTION("""COMPUTED_VALUE"""),"HOMICÍDIO CULPOSO")</f>
        <v>HOMICÍDIO CULPOSO</v>
      </c>
      <c r="D1135" s="6">
        <f>IFERROR(__xludf.DUMMYFUNCTION("""COMPUTED_VALUE"""),0.0)</f>
        <v>0</v>
      </c>
      <c r="E1135" s="6">
        <f>IFERROR(__xludf.DUMMYFUNCTION("""COMPUTED_VALUE"""),0.0)</f>
        <v>0</v>
      </c>
      <c r="F1135" s="6">
        <f>IFERROR(__xludf.DUMMYFUNCTION("""COMPUTED_VALUE"""),0.0)</f>
        <v>0</v>
      </c>
      <c r="G1135" s="6">
        <f>IFERROR(__xludf.DUMMYFUNCTION("""COMPUTED_VALUE"""),0.0)</f>
        <v>0</v>
      </c>
    </row>
    <row r="1136">
      <c r="A1136" s="6">
        <f>IFERROR(__xludf.DUMMYFUNCTION("""COMPUTED_VALUE"""),2018.0)</f>
        <v>2018</v>
      </c>
      <c r="B1136" s="6" t="str">
        <f>IFERROR(__xludf.DUMMYFUNCTION("""COMPUTED_VALUE"""),"Abril")</f>
        <v>Abril</v>
      </c>
      <c r="C1136" s="6" t="str">
        <f>IFERROR(__xludf.DUMMYFUNCTION("""COMPUTED_VALUE"""),"TENTATIVA DE HOMICÍDIO")</f>
        <v>TENTATIVA DE HOMICÍDIO</v>
      </c>
      <c r="D1136" s="6">
        <f>IFERROR(__xludf.DUMMYFUNCTION("""COMPUTED_VALUE"""),2.0)</f>
        <v>2</v>
      </c>
      <c r="E1136" s="6">
        <f>IFERROR(__xludf.DUMMYFUNCTION("""COMPUTED_VALUE"""),2.0)</f>
        <v>2</v>
      </c>
      <c r="F1136" s="6">
        <f>IFERROR(__xludf.DUMMYFUNCTION("""COMPUTED_VALUE"""),12.0)</f>
        <v>12</v>
      </c>
      <c r="G1136" s="6">
        <f>IFERROR(__xludf.DUMMYFUNCTION("""COMPUTED_VALUE"""),16.0)</f>
        <v>16</v>
      </c>
    </row>
    <row r="1137">
      <c r="A1137" s="6">
        <f>IFERROR(__xludf.DUMMYFUNCTION("""COMPUTED_VALUE"""),2018.0)</f>
        <v>2018</v>
      </c>
      <c r="B1137" s="6" t="str">
        <f>IFERROR(__xludf.DUMMYFUNCTION("""COMPUTED_VALUE"""),"Abril")</f>
        <v>Abril</v>
      </c>
      <c r="C1137" s="6" t="str">
        <f>IFERROR(__xludf.DUMMYFUNCTION("""COMPUTED_VALUE"""),"LESÃO CORPORAL DOLOSA")</f>
        <v>LESÃO CORPORAL DOLOSA</v>
      </c>
      <c r="D1137" s="6">
        <f>IFERROR(__xludf.DUMMYFUNCTION("""COMPUTED_VALUE"""),948.0)</f>
        <v>948</v>
      </c>
      <c r="E1137" s="6">
        <f>IFERROR(__xludf.DUMMYFUNCTION("""COMPUTED_VALUE"""),812.0)</f>
        <v>812</v>
      </c>
      <c r="F1137" s="6">
        <f>IFERROR(__xludf.DUMMYFUNCTION("""COMPUTED_VALUE"""),2914.0)</f>
        <v>2914</v>
      </c>
      <c r="G1137" s="6">
        <f>IFERROR(__xludf.DUMMYFUNCTION("""COMPUTED_VALUE"""),4674.0)</f>
        <v>4674</v>
      </c>
    </row>
    <row r="1138">
      <c r="A1138" s="6">
        <f>IFERROR(__xludf.DUMMYFUNCTION("""COMPUTED_VALUE"""),2018.0)</f>
        <v>2018</v>
      </c>
      <c r="B1138" s="6" t="str">
        <f>IFERROR(__xludf.DUMMYFUNCTION("""COMPUTED_VALUE"""),"Abril")</f>
        <v>Abril</v>
      </c>
      <c r="C1138" s="6" t="str">
        <f>IFERROR(__xludf.DUMMYFUNCTION("""COMPUTED_VALUE"""),"MAUS TRATOS")</f>
        <v>MAUS TRATOS</v>
      </c>
      <c r="D1138" s="6">
        <f>IFERROR(__xludf.DUMMYFUNCTION("""COMPUTED_VALUE"""),3.0)</f>
        <v>3</v>
      </c>
      <c r="E1138" s="6">
        <f>IFERROR(__xludf.DUMMYFUNCTION("""COMPUTED_VALUE"""),2.0)</f>
        <v>2</v>
      </c>
      <c r="F1138" s="6">
        <f>IFERROR(__xludf.DUMMYFUNCTION("""COMPUTED_VALUE"""),16.0)</f>
        <v>16</v>
      </c>
      <c r="G1138" s="6">
        <f>IFERROR(__xludf.DUMMYFUNCTION("""COMPUTED_VALUE"""),21.0)</f>
        <v>21</v>
      </c>
    </row>
    <row r="1139">
      <c r="A1139" s="6">
        <f>IFERROR(__xludf.DUMMYFUNCTION("""COMPUTED_VALUE"""),2018.0)</f>
        <v>2018</v>
      </c>
      <c r="B1139" s="6" t="str">
        <f>IFERROR(__xludf.DUMMYFUNCTION("""COMPUTED_VALUE"""),"Abril")</f>
        <v>Abril</v>
      </c>
      <c r="C1139" s="6" t="str">
        <f>IFERROR(__xludf.DUMMYFUNCTION("""COMPUTED_VALUE"""),"CALÚNIA - DIFAMAÇÃO - INJÚRIA")</f>
        <v>CALÚNIA - DIFAMAÇÃO - INJÚRIA</v>
      </c>
      <c r="D1139" s="6">
        <f>IFERROR(__xludf.DUMMYFUNCTION("""COMPUTED_VALUE"""),187.0)</f>
        <v>187</v>
      </c>
      <c r="E1139" s="6">
        <f>IFERROR(__xludf.DUMMYFUNCTION("""COMPUTED_VALUE"""),159.0)</f>
        <v>159</v>
      </c>
      <c r="F1139" s="6">
        <f>IFERROR(__xludf.DUMMYFUNCTION("""COMPUTED_VALUE"""),694.0)</f>
        <v>694</v>
      </c>
      <c r="G1139" s="6">
        <f>IFERROR(__xludf.DUMMYFUNCTION("""COMPUTED_VALUE"""),1040.0)</f>
        <v>1040</v>
      </c>
    </row>
    <row r="1140">
      <c r="A1140" s="6">
        <f>IFERROR(__xludf.DUMMYFUNCTION("""COMPUTED_VALUE"""),2018.0)</f>
        <v>2018</v>
      </c>
      <c r="B1140" s="6" t="str">
        <f>IFERROR(__xludf.DUMMYFUNCTION("""COMPUTED_VALUE"""),"Abril")</f>
        <v>Abril</v>
      </c>
      <c r="C1140" s="6" t="str">
        <f>IFERROR(__xludf.DUMMYFUNCTION("""COMPUTED_VALUE"""),"CONSTRANGIMENTO ILEGAL")</f>
        <v>CONSTRANGIMENTO ILEGAL</v>
      </c>
      <c r="D1140" s="6">
        <f>IFERROR(__xludf.DUMMYFUNCTION("""COMPUTED_VALUE"""),1.0)</f>
        <v>1</v>
      </c>
      <c r="E1140" s="6">
        <f>IFERROR(__xludf.DUMMYFUNCTION("""COMPUTED_VALUE"""),0.0)</f>
        <v>0</v>
      </c>
      <c r="F1140" s="6">
        <f>IFERROR(__xludf.DUMMYFUNCTION("""COMPUTED_VALUE"""),6.0)</f>
        <v>6</v>
      </c>
      <c r="G1140" s="6">
        <f>IFERROR(__xludf.DUMMYFUNCTION("""COMPUTED_VALUE"""),7.0)</f>
        <v>7</v>
      </c>
    </row>
    <row r="1141">
      <c r="A1141" s="6">
        <f>IFERROR(__xludf.DUMMYFUNCTION("""COMPUTED_VALUE"""),2018.0)</f>
        <v>2018</v>
      </c>
      <c r="B1141" s="6" t="str">
        <f>IFERROR(__xludf.DUMMYFUNCTION("""COMPUTED_VALUE"""),"Abril")</f>
        <v>Abril</v>
      </c>
      <c r="C1141" s="6" t="str">
        <f>IFERROR(__xludf.DUMMYFUNCTION("""COMPUTED_VALUE"""),"AMEAÇA")</f>
        <v>AMEAÇA</v>
      </c>
      <c r="D1141" s="6">
        <f>IFERROR(__xludf.DUMMYFUNCTION("""COMPUTED_VALUE"""),872.0)</f>
        <v>872</v>
      </c>
      <c r="E1141" s="6">
        <f>IFERROR(__xludf.DUMMYFUNCTION("""COMPUTED_VALUE"""),804.0)</f>
        <v>804</v>
      </c>
      <c r="F1141" s="6">
        <f>IFERROR(__xludf.DUMMYFUNCTION("""COMPUTED_VALUE"""),2984.0)</f>
        <v>2984</v>
      </c>
      <c r="G1141" s="6">
        <f>IFERROR(__xludf.DUMMYFUNCTION("""COMPUTED_VALUE"""),4660.0)</f>
        <v>4660</v>
      </c>
    </row>
    <row r="1142">
      <c r="A1142" s="6">
        <f>IFERROR(__xludf.DUMMYFUNCTION("""COMPUTED_VALUE"""),2018.0)</f>
        <v>2018</v>
      </c>
      <c r="B1142" s="6" t="str">
        <f>IFERROR(__xludf.DUMMYFUNCTION("""COMPUTED_VALUE"""),"Abril")</f>
        <v>Abril</v>
      </c>
      <c r="C1142" s="6" t="str">
        <f>IFERROR(__xludf.DUMMYFUNCTION("""COMPUTED_VALUE"""),"INVASÃO DE DOMICÍLIO")</f>
        <v>INVASÃO DE DOMICÍLIO</v>
      </c>
      <c r="D1142" s="6">
        <f>IFERROR(__xludf.DUMMYFUNCTION("""COMPUTED_VALUE"""),1.0)</f>
        <v>1</v>
      </c>
      <c r="E1142" s="6">
        <f>IFERROR(__xludf.DUMMYFUNCTION("""COMPUTED_VALUE"""),2.0)</f>
        <v>2</v>
      </c>
      <c r="F1142" s="6">
        <f>IFERROR(__xludf.DUMMYFUNCTION("""COMPUTED_VALUE"""),13.0)</f>
        <v>13</v>
      </c>
      <c r="G1142" s="6">
        <f>IFERROR(__xludf.DUMMYFUNCTION("""COMPUTED_VALUE"""),16.0)</f>
        <v>16</v>
      </c>
    </row>
    <row r="1143">
      <c r="A1143" s="6">
        <f>IFERROR(__xludf.DUMMYFUNCTION("""COMPUTED_VALUE"""),2018.0)</f>
        <v>2018</v>
      </c>
      <c r="B1143" s="6" t="str">
        <f>IFERROR(__xludf.DUMMYFUNCTION("""COMPUTED_VALUE"""),"Abril")</f>
        <v>Abril</v>
      </c>
      <c r="C1143" s="6" t="str">
        <f>IFERROR(__xludf.DUMMYFUNCTION("""COMPUTED_VALUE"""),"DANO")</f>
        <v>DANO</v>
      </c>
      <c r="D1143" s="6">
        <f>IFERROR(__xludf.DUMMYFUNCTION("""COMPUTED_VALUE"""),11.0)</f>
        <v>11</v>
      </c>
      <c r="E1143" s="6">
        <f>IFERROR(__xludf.DUMMYFUNCTION("""COMPUTED_VALUE"""),10.0)</f>
        <v>10</v>
      </c>
      <c r="F1143" s="6">
        <f>IFERROR(__xludf.DUMMYFUNCTION("""COMPUTED_VALUE"""),54.0)</f>
        <v>54</v>
      </c>
      <c r="G1143" s="6">
        <f>IFERROR(__xludf.DUMMYFUNCTION("""COMPUTED_VALUE"""),75.0)</f>
        <v>75</v>
      </c>
    </row>
    <row r="1144">
      <c r="A1144" s="6">
        <f>IFERROR(__xludf.DUMMYFUNCTION("""COMPUTED_VALUE"""),2018.0)</f>
        <v>2018</v>
      </c>
      <c r="B1144" s="6" t="str">
        <f>IFERROR(__xludf.DUMMYFUNCTION("""COMPUTED_VALUE"""),"Abril")</f>
        <v>Abril</v>
      </c>
      <c r="C1144" s="6" t="str">
        <f>IFERROR(__xludf.DUMMYFUNCTION("""COMPUTED_VALUE"""),"ESTUPRO CONSUMADO")</f>
        <v>ESTUPRO CONSUMADO</v>
      </c>
      <c r="D1144" s="6">
        <f>IFERROR(__xludf.DUMMYFUNCTION("""COMPUTED_VALUE"""),10.0)</f>
        <v>10</v>
      </c>
      <c r="E1144" s="6">
        <f>IFERROR(__xludf.DUMMYFUNCTION("""COMPUTED_VALUE"""),7.0)</f>
        <v>7</v>
      </c>
      <c r="F1144" s="6">
        <f>IFERROR(__xludf.DUMMYFUNCTION("""COMPUTED_VALUE"""),17.0)</f>
        <v>17</v>
      </c>
      <c r="G1144" s="6">
        <f>IFERROR(__xludf.DUMMYFUNCTION("""COMPUTED_VALUE"""),34.0)</f>
        <v>34</v>
      </c>
    </row>
    <row r="1145">
      <c r="A1145" s="6">
        <f>IFERROR(__xludf.DUMMYFUNCTION("""COMPUTED_VALUE"""),2018.0)</f>
        <v>2018</v>
      </c>
      <c r="B1145" s="6" t="str">
        <f>IFERROR(__xludf.DUMMYFUNCTION("""COMPUTED_VALUE"""),"Abril")</f>
        <v>Abril</v>
      </c>
      <c r="C1145" s="6" t="str">
        <f>IFERROR(__xludf.DUMMYFUNCTION("""COMPUTED_VALUE"""),"ESTUPRO TENTADO")</f>
        <v>ESTUPRO TENTADO</v>
      </c>
      <c r="D1145" s="6">
        <f>IFERROR(__xludf.DUMMYFUNCTION("""COMPUTED_VALUE"""),0.0)</f>
        <v>0</v>
      </c>
      <c r="E1145" s="6">
        <f>IFERROR(__xludf.DUMMYFUNCTION("""COMPUTED_VALUE"""),0.0)</f>
        <v>0</v>
      </c>
      <c r="F1145" s="6">
        <f>IFERROR(__xludf.DUMMYFUNCTION("""COMPUTED_VALUE"""),1.0)</f>
        <v>1</v>
      </c>
      <c r="G1145" s="6">
        <f>IFERROR(__xludf.DUMMYFUNCTION("""COMPUTED_VALUE"""),1.0)</f>
        <v>1</v>
      </c>
    </row>
    <row r="1146">
      <c r="A1146" s="6">
        <f>IFERROR(__xludf.DUMMYFUNCTION("""COMPUTED_VALUE"""),2018.0)</f>
        <v>2018</v>
      </c>
      <c r="B1146" s="6" t="str">
        <f>IFERROR(__xludf.DUMMYFUNCTION("""COMPUTED_VALUE"""),"Abril")</f>
        <v>Abril</v>
      </c>
      <c r="C1146" s="6" t="str">
        <f>IFERROR(__xludf.DUMMYFUNCTION("""COMPUTED_VALUE"""),"ESTUPRO DE VULNERÁVEL CONSUMADO")</f>
        <v>ESTUPRO DE VULNERÁVEL CONSUMADO</v>
      </c>
      <c r="D1146" s="6">
        <f>IFERROR(__xludf.DUMMYFUNCTION("""COMPUTED_VALUE"""),3.0)</f>
        <v>3</v>
      </c>
      <c r="E1146" s="6">
        <f>IFERROR(__xludf.DUMMYFUNCTION("""COMPUTED_VALUE"""),4.0)</f>
        <v>4</v>
      </c>
      <c r="F1146" s="6">
        <f>IFERROR(__xludf.DUMMYFUNCTION("""COMPUTED_VALUE"""),17.0)</f>
        <v>17</v>
      </c>
      <c r="G1146" s="6">
        <f>IFERROR(__xludf.DUMMYFUNCTION("""COMPUTED_VALUE"""),24.0)</f>
        <v>24</v>
      </c>
    </row>
    <row r="1147">
      <c r="A1147" s="6">
        <f>IFERROR(__xludf.DUMMYFUNCTION("""COMPUTED_VALUE"""),2018.0)</f>
        <v>2018</v>
      </c>
      <c r="B1147" s="6" t="str">
        <f>IFERROR(__xludf.DUMMYFUNCTION("""COMPUTED_VALUE"""),"Abril")</f>
        <v>Abril</v>
      </c>
      <c r="C1147" s="6" t="str">
        <f>IFERROR(__xludf.DUMMYFUNCTION("""COMPUTED_VALUE"""),"OUTROS C/C/ DIGNIDADE SEXUAL")</f>
        <v>OUTROS C/C/ DIGNIDADE SEXUAL</v>
      </c>
      <c r="D1147" s="6">
        <f>IFERROR(__xludf.DUMMYFUNCTION("""COMPUTED_VALUE"""),0.0)</f>
        <v>0</v>
      </c>
      <c r="E1147" s="6">
        <f>IFERROR(__xludf.DUMMYFUNCTION("""COMPUTED_VALUE"""),0.0)</f>
        <v>0</v>
      </c>
      <c r="F1147" s="6">
        <f>IFERROR(__xludf.DUMMYFUNCTION("""COMPUTED_VALUE"""),2.0)</f>
        <v>2</v>
      </c>
      <c r="G1147" s="6">
        <f>IFERROR(__xludf.DUMMYFUNCTION("""COMPUTED_VALUE"""),2.0)</f>
        <v>2</v>
      </c>
    </row>
    <row r="1148">
      <c r="A1148" s="6">
        <f>IFERROR(__xludf.DUMMYFUNCTION("""COMPUTED_VALUE"""),2018.0)</f>
        <v>2018</v>
      </c>
      <c r="B1148" s="6" t="str">
        <f>IFERROR(__xludf.DUMMYFUNCTION("""COMPUTED_VALUE"""),"Maio")</f>
        <v>Maio</v>
      </c>
      <c r="C1148" s="6" t="str">
        <f>IFERROR(__xludf.DUMMYFUNCTION("""COMPUTED_VALUE"""),"HOMICÍDIO DOLOSO (exclui FEMINICÍDIO)")</f>
        <v>HOMICÍDIO DOLOSO (exclui FEMINICÍDIO)</v>
      </c>
      <c r="D1148" s="6">
        <f>IFERROR(__xludf.DUMMYFUNCTION("""COMPUTED_VALUE"""),1.0)</f>
        <v>1</v>
      </c>
      <c r="E1148" s="6">
        <f>IFERROR(__xludf.DUMMYFUNCTION("""COMPUTED_VALUE"""),0.0)</f>
        <v>0</v>
      </c>
      <c r="F1148" s="6">
        <f>IFERROR(__xludf.DUMMYFUNCTION("""COMPUTED_VALUE"""),1.0)</f>
        <v>1</v>
      </c>
      <c r="G1148" s="6">
        <f>IFERROR(__xludf.DUMMYFUNCTION("""COMPUTED_VALUE"""),2.0)</f>
        <v>2</v>
      </c>
    </row>
    <row r="1149">
      <c r="A1149" s="6">
        <f>IFERROR(__xludf.DUMMYFUNCTION("""COMPUTED_VALUE"""),2018.0)</f>
        <v>2018</v>
      </c>
      <c r="B1149" s="6" t="str">
        <f>IFERROR(__xludf.DUMMYFUNCTION("""COMPUTED_VALUE"""),"Maio")</f>
        <v>Maio</v>
      </c>
      <c r="C1149" s="6" t="str">
        <f>IFERROR(__xludf.DUMMYFUNCTION("""COMPUTED_VALUE"""),"FEMINICÍDIO")</f>
        <v>FEMINICÍDIO</v>
      </c>
      <c r="D1149" s="6">
        <f>IFERROR(__xludf.DUMMYFUNCTION("""COMPUTED_VALUE"""),2.0)</f>
        <v>2</v>
      </c>
      <c r="E1149" s="6">
        <f>IFERROR(__xludf.DUMMYFUNCTION("""COMPUTED_VALUE"""),2.0)</f>
        <v>2</v>
      </c>
      <c r="F1149" s="6">
        <f>IFERROR(__xludf.DUMMYFUNCTION("""COMPUTED_VALUE"""),2.0)</f>
        <v>2</v>
      </c>
      <c r="G1149" s="6">
        <f>IFERROR(__xludf.DUMMYFUNCTION("""COMPUTED_VALUE"""),6.0)</f>
        <v>6</v>
      </c>
    </row>
    <row r="1150">
      <c r="A1150" s="6">
        <f>IFERROR(__xludf.DUMMYFUNCTION("""COMPUTED_VALUE"""),2018.0)</f>
        <v>2018</v>
      </c>
      <c r="B1150" s="6" t="str">
        <f>IFERROR(__xludf.DUMMYFUNCTION("""COMPUTED_VALUE"""),"Maio")</f>
        <v>Maio</v>
      </c>
      <c r="C1150" s="6" t="str">
        <f>IFERROR(__xludf.DUMMYFUNCTION("""COMPUTED_VALUE"""),"HOMICÍDIO CULPOSO")</f>
        <v>HOMICÍDIO CULPOSO</v>
      </c>
      <c r="D1150" s="6">
        <f>IFERROR(__xludf.DUMMYFUNCTION("""COMPUTED_VALUE"""),0.0)</f>
        <v>0</v>
      </c>
      <c r="E1150" s="6">
        <f>IFERROR(__xludf.DUMMYFUNCTION("""COMPUTED_VALUE"""),0.0)</f>
        <v>0</v>
      </c>
      <c r="F1150" s="6">
        <f>IFERROR(__xludf.DUMMYFUNCTION("""COMPUTED_VALUE"""),0.0)</f>
        <v>0</v>
      </c>
      <c r="G1150" s="6">
        <f>IFERROR(__xludf.DUMMYFUNCTION("""COMPUTED_VALUE"""),0.0)</f>
        <v>0</v>
      </c>
    </row>
    <row r="1151">
      <c r="A1151" s="6">
        <f>IFERROR(__xludf.DUMMYFUNCTION("""COMPUTED_VALUE"""),2018.0)</f>
        <v>2018</v>
      </c>
      <c r="B1151" s="6" t="str">
        <f>IFERROR(__xludf.DUMMYFUNCTION("""COMPUTED_VALUE"""),"Maio")</f>
        <v>Maio</v>
      </c>
      <c r="C1151" s="6" t="str">
        <f>IFERROR(__xludf.DUMMYFUNCTION("""COMPUTED_VALUE"""),"TENTATIVA DE HOMICÍDIO")</f>
        <v>TENTATIVA DE HOMICÍDIO</v>
      </c>
      <c r="D1151" s="6">
        <f>IFERROR(__xludf.DUMMYFUNCTION("""COMPUTED_VALUE"""),1.0)</f>
        <v>1</v>
      </c>
      <c r="E1151" s="6">
        <f>IFERROR(__xludf.DUMMYFUNCTION("""COMPUTED_VALUE"""),1.0)</f>
        <v>1</v>
      </c>
      <c r="F1151" s="6">
        <f>IFERROR(__xludf.DUMMYFUNCTION("""COMPUTED_VALUE"""),11.0)</f>
        <v>11</v>
      </c>
      <c r="G1151" s="6">
        <f>IFERROR(__xludf.DUMMYFUNCTION("""COMPUTED_VALUE"""),13.0)</f>
        <v>13</v>
      </c>
    </row>
    <row r="1152">
      <c r="A1152" s="6">
        <f>IFERROR(__xludf.DUMMYFUNCTION("""COMPUTED_VALUE"""),2018.0)</f>
        <v>2018</v>
      </c>
      <c r="B1152" s="6" t="str">
        <f>IFERROR(__xludf.DUMMYFUNCTION("""COMPUTED_VALUE"""),"Maio")</f>
        <v>Maio</v>
      </c>
      <c r="C1152" s="6" t="str">
        <f>IFERROR(__xludf.DUMMYFUNCTION("""COMPUTED_VALUE"""),"LESÃO CORPORAL DOLOSA")</f>
        <v>LESÃO CORPORAL DOLOSA</v>
      </c>
      <c r="D1152" s="6">
        <f>IFERROR(__xludf.DUMMYFUNCTION("""COMPUTED_VALUE"""),912.0)</f>
        <v>912</v>
      </c>
      <c r="E1152" s="6">
        <f>IFERROR(__xludf.DUMMYFUNCTION("""COMPUTED_VALUE"""),784.0)</f>
        <v>784</v>
      </c>
      <c r="F1152" s="6">
        <f>IFERROR(__xludf.DUMMYFUNCTION("""COMPUTED_VALUE"""),2814.0)</f>
        <v>2814</v>
      </c>
      <c r="G1152" s="6">
        <f>IFERROR(__xludf.DUMMYFUNCTION("""COMPUTED_VALUE"""),4510.0)</f>
        <v>4510</v>
      </c>
    </row>
    <row r="1153">
      <c r="A1153" s="6">
        <f>IFERROR(__xludf.DUMMYFUNCTION("""COMPUTED_VALUE"""),2018.0)</f>
        <v>2018</v>
      </c>
      <c r="B1153" s="6" t="str">
        <f>IFERROR(__xludf.DUMMYFUNCTION("""COMPUTED_VALUE"""),"Maio")</f>
        <v>Maio</v>
      </c>
      <c r="C1153" s="6" t="str">
        <f>IFERROR(__xludf.DUMMYFUNCTION("""COMPUTED_VALUE"""),"MAUS TRATOS")</f>
        <v>MAUS TRATOS</v>
      </c>
      <c r="D1153" s="6">
        <f>IFERROR(__xludf.DUMMYFUNCTION("""COMPUTED_VALUE"""),2.0)</f>
        <v>2</v>
      </c>
      <c r="E1153" s="6">
        <f>IFERROR(__xludf.DUMMYFUNCTION("""COMPUTED_VALUE"""),2.0)</f>
        <v>2</v>
      </c>
      <c r="F1153" s="6">
        <f>IFERROR(__xludf.DUMMYFUNCTION("""COMPUTED_VALUE"""),14.0)</f>
        <v>14</v>
      </c>
      <c r="G1153" s="6">
        <f>IFERROR(__xludf.DUMMYFUNCTION("""COMPUTED_VALUE"""),18.0)</f>
        <v>18</v>
      </c>
    </row>
    <row r="1154">
      <c r="A1154" s="6">
        <f>IFERROR(__xludf.DUMMYFUNCTION("""COMPUTED_VALUE"""),2018.0)</f>
        <v>2018</v>
      </c>
      <c r="B1154" s="6" t="str">
        <f>IFERROR(__xludf.DUMMYFUNCTION("""COMPUTED_VALUE"""),"Maio")</f>
        <v>Maio</v>
      </c>
      <c r="C1154" s="6" t="str">
        <f>IFERROR(__xludf.DUMMYFUNCTION("""COMPUTED_VALUE"""),"CALÚNIA - DIFAMAÇÃO - INJÚRIA")</f>
        <v>CALÚNIA - DIFAMAÇÃO - INJÚRIA</v>
      </c>
      <c r="D1154" s="6">
        <f>IFERROR(__xludf.DUMMYFUNCTION("""COMPUTED_VALUE"""),178.0)</f>
        <v>178</v>
      </c>
      <c r="E1154" s="6">
        <f>IFERROR(__xludf.DUMMYFUNCTION("""COMPUTED_VALUE"""),151.0)</f>
        <v>151</v>
      </c>
      <c r="F1154" s="6">
        <f>IFERROR(__xludf.DUMMYFUNCTION("""COMPUTED_VALUE"""),654.0)</f>
        <v>654</v>
      </c>
      <c r="G1154" s="6">
        <f>IFERROR(__xludf.DUMMYFUNCTION("""COMPUTED_VALUE"""),983.0)</f>
        <v>983</v>
      </c>
    </row>
    <row r="1155">
      <c r="A1155" s="6">
        <f>IFERROR(__xludf.DUMMYFUNCTION("""COMPUTED_VALUE"""),2018.0)</f>
        <v>2018</v>
      </c>
      <c r="B1155" s="6" t="str">
        <f>IFERROR(__xludf.DUMMYFUNCTION("""COMPUTED_VALUE"""),"Maio")</f>
        <v>Maio</v>
      </c>
      <c r="C1155" s="6" t="str">
        <f>IFERROR(__xludf.DUMMYFUNCTION("""COMPUTED_VALUE"""),"CONSTRANGIMENTO ILEGAL")</f>
        <v>CONSTRANGIMENTO ILEGAL</v>
      </c>
      <c r="D1155" s="6">
        <f>IFERROR(__xludf.DUMMYFUNCTION("""COMPUTED_VALUE"""),1.0)</f>
        <v>1</v>
      </c>
      <c r="E1155" s="6">
        <f>IFERROR(__xludf.DUMMYFUNCTION("""COMPUTED_VALUE"""),0.0)</f>
        <v>0</v>
      </c>
      <c r="F1155" s="6">
        <f>IFERROR(__xludf.DUMMYFUNCTION("""COMPUTED_VALUE"""),5.0)</f>
        <v>5</v>
      </c>
      <c r="G1155" s="6">
        <f>IFERROR(__xludf.DUMMYFUNCTION("""COMPUTED_VALUE"""),6.0)</f>
        <v>6</v>
      </c>
    </row>
    <row r="1156">
      <c r="A1156" s="6">
        <f>IFERROR(__xludf.DUMMYFUNCTION("""COMPUTED_VALUE"""),2018.0)</f>
        <v>2018</v>
      </c>
      <c r="B1156" s="6" t="str">
        <f>IFERROR(__xludf.DUMMYFUNCTION("""COMPUTED_VALUE"""),"Maio")</f>
        <v>Maio</v>
      </c>
      <c r="C1156" s="6" t="str">
        <f>IFERROR(__xludf.DUMMYFUNCTION("""COMPUTED_VALUE"""),"AMEAÇA")</f>
        <v>AMEAÇA</v>
      </c>
      <c r="D1156" s="6">
        <f>IFERROR(__xludf.DUMMYFUNCTION("""COMPUTED_VALUE"""),842.0)</f>
        <v>842</v>
      </c>
      <c r="E1156" s="6">
        <f>IFERROR(__xludf.DUMMYFUNCTION("""COMPUTED_VALUE"""),771.0)</f>
        <v>771</v>
      </c>
      <c r="F1156" s="6">
        <f>IFERROR(__xludf.DUMMYFUNCTION("""COMPUTED_VALUE"""),2884.0)</f>
        <v>2884</v>
      </c>
      <c r="G1156" s="6">
        <f>IFERROR(__xludf.DUMMYFUNCTION("""COMPUTED_VALUE"""),4497.0)</f>
        <v>4497</v>
      </c>
    </row>
    <row r="1157">
      <c r="A1157" s="6">
        <f>IFERROR(__xludf.DUMMYFUNCTION("""COMPUTED_VALUE"""),2018.0)</f>
        <v>2018</v>
      </c>
      <c r="B1157" s="6" t="str">
        <f>IFERROR(__xludf.DUMMYFUNCTION("""COMPUTED_VALUE"""),"Maio")</f>
        <v>Maio</v>
      </c>
      <c r="C1157" s="6" t="str">
        <f>IFERROR(__xludf.DUMMYFUNCTION("""COMPUTED_VALUE"""),"INVASÃO DE DOMICÍLIO")</f>
        <v>INVASÃO DE DOMICÍLIO</v>
      </c>
      <c r="D1157" s="6">
        <f>IFERROR(__xludf.DUMMYFUNCTION("""COMPUTED_VALUE"""),1.0)</f>
        <v>1</v>
      </c>
      <c r="E1157" s="6">
        <f>IFERROR(__xludf.DUMMYFUNCTION("""COMPUTED_VALUE"""),1.0)</f>
        <v>1</v>
      </c>
      <c r="F1157" s="6">
        <f>IFERROR(__xludf.DUMMYFUNCTION("""COMPUTED_VALUE"""),11.0)</f>
        <v>11</v>
      </c>
      <c r="G1157" s="6">
        <f>IFERROR(__xludf.DUMMYFUNCTION("""COMPUTED_VALUE"""),13.0)</f>
        <v>13</v>
      </c>
    </row>
    <row r="1158">
      <c r="A1158" s="6">
        <f>IFERROR(__xludf.DUMMYFUNCTION("""COMPUTED_VALUE"""),2018.0)</f>
        <v>2018</v>
      </c>
      <c r="B1158" s="6" t="str">
        <f>IFERROR(__xludf.DUMMYFUNCTION("""COMPUTED_VALUE"""),"Maio")</f>
        <v>Maio</v>
      </c>
      <c r="C1158" s="6" t="str">
        <f>IFERROR(__xludf.DUMMYFUNCTION("""COMPUTED_VALUE"""),"DANO")</f>
        <v>DANO</v>
      </c>
      <c r="D1158" s="6">
        <f>IFERROR(__xludf.DUMMYFUNCTION("""COMPUTED_VALUE"""),9.0)</f>
        <v>9</v>
      </c>
      <c r="E1158" s="6">
        <f>IFERROR(__xludf.DUMMYFUNCTION("""COMPUTED_VALUE"""),9.0)</f>
        <v>9</v>
      </c>
      <c r="F1158" s="6">
        <f>IFERROR(__xludf.DUMMYFUNCTION("""COMPUTED_VALUE"""),51.0)</f>
        <v>51</v>
      </c>
      <c r="G1158" s="6">
        <f>IFERROR(__xludf.DUMMYFUNCTION("""COMPUTED_VALUE"""),69.0)</f>
        <v>69</v>
      </c>
    </row>
    <row r="1159">
      <c r="A1159" s="6">
        <f>IFERROR(__xludf.DUMMYFUNCTION("""COMPUTED_VALUE"""),2018.0)</f>
        <v>2018</v>
      </c>
      <c r="B1159" s="6" t="str">
        <f>IFERROR(__xludf.DUMMYFUNCTION("""COMPUTED_VALUE"""),"Maio")</f>
        <v>Maio</v>
      </c>
      <c r="C1159" s="6" t="str">
        <f>IFERROR(__xludf.DUMMYFUNCTION("""COMPUTED_VALUE"""),"ESTUPRO CONSUMADO")</f>
        <v>ESTUPRO CONSUMADO</v>
      </c>
      <c r="D1159" s="6">
        <f>IFERROR(__xludf.DUMMYFUNCTION("""COMPUTED_VALUE"""),9.0)</f>
        <v>9</v>
      </c>
      <c r="E1159" s="6">
        <f>IFERROR(__xludf.DUMMYFUNCTION("""COMPUTED_VALUE"""),6.0)</f>
        <v>6</v>
      </c>
      <c r="F1159" s="6">
        <f>IFERROR(__xludf.DUMMYFUNCTION("""COMPUTED_VALUE"""),16.0)</f>
        <v>16</v>
      </c>
      <c r="G1159" s="6">
        <f>IFERROR(__xludf.DUMMYFUNCTION("""COMPUTED_VALUE"""),31.0)</f>
        <v>31</v>
      </c>
    </row>
    <row r="1160">
      <c r="A1160" s="6">
        <f>IFERROR(__xludf.DUMMYFUNCTION("""COMPUTED_VALUE"""),2018.0)</f>
        <v>2018</v>
      </c>
      <c r="B1160" s="6" t="str">
        <f>IFERROR(__xludf.DUMMYFUNCTION("""COMPUTED_VALUE"""),"Maio")</f>
        <v>Maio</v>
      </c>
      <c r="C1160" s="6" t="str">
        <f>IFERROR(__xludf.DUMMYFUNCTION("""COMPUTED_VALUE"""),"ESTUPRO TENTADO")</f>
        <v>ESTUPRO TENTADO</v>
      </c>
      <c r="D1160" s="6">
        <f>IFERROR(__xludf.DUMMYFUNCTION("""COMPUTED_VALUE"""),0.0)</f>
        <v>0</v>
      </c>
      <c r="E1160" s="6">
        <f>IFERROR(__xludf.DUMMYFUNCTION("""COMPUTED_VALUE"""),0.0)</f>
        <v>0</v>
      </c>
      <c r="F1160" s="6">
        <f>IFERROR(__xludf.DUMMYFUNCTION("""COMPUTED_VALUE"""),1.0)</f>
        <v>1</v>
      </c>
      <c r="G1160" s="6">
        <f>IFERROR(__xludf.DUMMYFUNCTION("""COMPUTED_VALUE"""),1.0)</f>
        <v>1</v>
      </c>
    </row>
    <row r="1161">
      <c r="A1161" s="6">
        <f>IFERROR(__xludf.DUMMYFUNCTION("""COMPUTED_VALUE"""),2018.0)</f>
        <v>2018</v>
      </c>
      <c r="B1161" s="6" t="str">
        <f>IFERROR(__xludf.DUMMYFUNCTION("""COMPUTED_VALUE"""),"Maio")</f>
        <v>Maio</v>
      </c>
      <c r="C1161" s="6" t="str">
        <f>IFERROR(__xludf.DUMMYFUNCTION("""COMPUTED_VALUE"""),"ESTUPRO DE VULNERÁVEL CONSUMADO")</f>
        <v>ESTUPRO DE VULNERÁVEL CONSUMADO</v>
      </c>
      <c r="D1161" s="6">
        <f>IFERROR(__xludf.DUMMYFUNCTION("""COMPUTED_VALUE"""),2.0)</f>
        <v>2</v>
      </c>
      <c r="E1161" s="6">
        <f>IFERROR(__xludf.DUMMYFUNCTION("""COMPUTED_VALUE"""),3.0)</f>
        <v>3</v>
      </c>
      <c r="F1161" s="6">
        <f>IFERROR(__xludf.DUMMYFUNCTION("""COMPUTED_VALUE"""),15.0)</f>
        <v>15</v>
      </c>
      <c r="G1161" s="6">
        <f>IFERROR(__xludf.DUMMYFUNCTION("""COMPUTED_VALUE"""),20.0)</f>
        <v>20</v>
      </c>
    </row>
    <row r="1162">
      <c r="A1162" s="6">
        <f>IFERROR(__xludf.DUMMYFUNCTION("""COMPUTED_VALUE"""),2018.0)</f>
        <v>2018</v>
      </c>
      <c r="B1162" s="6" t="str">
        <f>IFERROR(__xludf.DUMMYFUNCTION("""COMPUTED_VALUE"""),"Maio")</f>
        <v>Maio</v>
      </c>
      <c r="C1162" s="6" t="str">
        <f>IFERROR(__xludf.DUMMYFUNCTION("""COMPUTED_VALUE"""),"OUTROS C/C/ DIGNIDADE SEXUAL")</f>
        <v>OUTROS C/C/ DIGNIDADE SEXUAL</v>
      </c>
      <c r="D1162" s="6">
        <f>IFERROR(__xludf.DUMMYFUNCTION("""COMPUTED_VALUE"""),0.0)</f>
        <v>0</v>
      </c>
      <c r="E1162" s="6">
        <f>IFERROR(__xludf.DUMMYFUNCTION("""COMPUTED_VALUE"""),0.0)</f>
        <v>0</v>
      </c>
      <c r="F1162" s="6">
        <f>IFERROR(__xludf.DUMMYFUNCTION("""COMPUTED_VALUE"""),1.0)</f>
        <v>1</v>
      </c>
      <c r="G1162" s="6">
        <f>IFERROR(__xludf.DUMMYFUNCTION("""COMPUTED_VALUE"""),1.0)</f>
        <v>1</v>
      </c>
    </row>
    <row r="1163">
      <c r="A1163" s="6">
        <f>IFERROR(__xludf.DUMMYFUNCTION("""COMPUTED_VALUE"""),2018.0)</f>
        <v>2018</v>
      </c>
      <c r="B1163" s="6" t="str">
        <f>IFERROR(__xludf.DUMMYFUNCTION("""COMPUTED_VALUE"""),"Junho")</f>
        <v>Junho</v>
      </c>
      <c r="C1163" s="6" t="str">
        <f>IFERROR(__xludf.DUMMYFUNCTION("""COMPUTED_VALUE"""),"HOMICÍDIO DOLOSO (exclui FEMINICÍDIO)")</f>
        <v>HOMICÍDIO DOLOSO (exclui FEMINICÍDIO)</v>
      </c>
      <c r="D1163" s="6">
        <f>IFERROR(__xludf.DUMMYFUNCTION("""COMPUTED_VALUE"""),2.0)</f>
        <v>2</v>
      </c>
      <c r="E1163" s="6">
        <f>IFERROR(__xludf.DUMMYFUNCTION("""COMPUTED_VALUE"""),1.0)</f>
        <v>1</v>
      </c>
      <c r="F1163" s="6">
        <f>IFERROR(__xludf.DUMMYFUNCTION("""COMPUTED_VALUE"""),3.0)</f>
        <v>3</v>
      </c>
      <c r="G1163" s="6">
        <f>IFERROR(__xludf.DUMMYFUNCTION("""COMPUTED_VALUE"""),6.0)</f>
        <v>6</v>
      </c>
    </row>
    <row r="1164">
      <c r="A1164" s="6">
        <f>IFERROR(__xludf.DUMMYFUNCTION("""COMPUTED_VALUE"""),2018.0)</f>
        <v>2018</v>
      </c>
      <c r="B1164" s="6" t="str">
        <f>IFERROR(__xludf.DUMMYFUNCTION("""COMPUTED_VALUE"""),"Junho")</f>
        <v>Junho</v>
      </c>
      <c r="C1164" s="6" t="str">
        <f>IFERROR(__xludf.DUMMYFUNCTION("""COMPUTED_VALUE"""),"FEMINICÍDIO")</f>
        <v>FEMINICÍDIO</v>
      </c>
      <c r="D1164" s="6">
        <f>IFERROR(__xludf.DUMMYFUNCTION("""COMPUTED_VALUE"""),2.0)</f>
        <v>2</v>
      </c>
      <c r="E1164" s="6">
        <f>IFERROR(__xludf.DUMMYFUNCTION("""COMPUTED_VALUE"""),2.0)</f>
        <v>2</v>
      </c>
      <c r="F1164" s="6">
        <f>IFERROR(__xludf.DUMMYFUNCTION("""COMPUTED_VALUE"""),3.0)</f>
        <v>3</v>
      </c>
      <c r="G1164" s="6">
        <f>IFERROR(__xludf.DUMMYFUNCTION("""COMPUTED_VALUE"""),7.0)</f>
        <v>7</v>
      </c>
    </row>
    <row r="1165">
      <c r="A1165" s="6">
        <f>IFERROR(__xludf.DUMMYFUNCTION("""COMPUTED_VALUE"""),2018.0)</f>
        <v>2018</v>
      </c>
      <c r="B1165" s="6" t="str">
        <f>IFERROR(__xludf.DUMMYFUNCTION("""COMPUTED_VALUE"""),"Junho")</f>
        <v>Junho</v>
      </c>
      <c r="C1165" s="6" t="str">
        <f>IFERROR(__xludf.DUMMYFUNCTION("""COMPUTED_VALUE"""),"HOMICÍDIO CULPOSO")</f>
        <v>HOMICÍDIO CULPOSO</v>
      </c>
      <c r="D1165" s="6">
        <f>IFERROR(__xludf.DUMMYFUNCTION("""COMPUTED_VALUE"""),0.0)</f>
        <v>0</v>
      </c>
      <c r="E1165" s="6">
        <f>IFERROR(__xludf.DUMMYFUNCTION("""COMPUTED_VALUE"""),0.0)</f>
        <v>0</v>
      </c>
      <c r="F1165" s="6">
        <f>IFERROR(__xludf.DUMMYFUNCTION("""COMPUTED_VALUE"""),0.0)</f>
        <v>0</v>
      </c>
      <c r="G1165" s="6">
        <f>IFERROR(__xludf.DUMMYFUNCTION("""COMPUTED_VALUE"""),0.0)</f>
        <v>0</v>
      </c>
    </row>
    <row r="1166">
      <c r="A1166" s="6">
        <f>IFERROR(__xludf.DUMMYFUNCTION("""COMPUTED_VALUE"""),2018.0)</f>
        <v>2018</v>
      </c>
      <c r="B1166" s="6" t="str">
        <f>IFERROR(__xludf.DUMMYFUNCTION("""COMPUTED_VALUE"""),"Junho")</f>
        <v>Junho</v>
      </c>
      <c r="C1166" s="6" t="str">
        <f>IFERROR(__xludf.DUMMYFUNCTION("""COMPUTED_VALUE"""),"TENTATIVA DE HOMICÍDIO")</f>
        <v>TENTATIVA DE HOMICÍDIO</v>
      </c>
      <c r="D1166" s="6">
        <f>IFERROR(__xludf.DUMMYFUNCTION("""COMPUTED_VALUE"""),2.0)</f>
        <v>2</v>
      </c>
      <c r="E1166" s="6">
        <f>IFERROR(__xludf.DUMMYFUNCTION("""COMPUTED_VALUE"""),2.0)</f>
        <v>2</v>
      </c>
      <c r="F1166" s="6">
        <f>IFERROR(__xludf.DUMMYFUNCTION("""COMPUTED_VALUE"""),13.0)</f>
        <v>13</v>
      </c>
      <c r="G1166" s="6">
        <f>IFERROR(__xludf.DUMMYFUNCTION("""COMPUTED_VALUE"""),17.0)</f>
        <v>17</v>
      </c>
    </row>
    <row r="1167">
      <c r="A1167" s="6">
        <f>IFERROR(__xludf.DUMMYFUNCTION("""COMPUTED_VALUE"""),2018.0)</f>
        <v>2018</v>
      </c>
      <c r="B1167" s="6" t="str">
        <f>IFERROR(__xludf.DUMMYFUNCTION("""COMPUTED_VALUE"""),"Junho")</f>
        <v>Junho</v>
      </c>
      <c r="C1167" s="6" t="str">
        <f>IFERROR(__xludf.DUMMYFUNCTION("""COMPUTED_VALUE"""),"LESÃO CORPORAL DOLOSA")</f>
        <v>LESÃO CORPORAL DOLOSA</v>
      </c>
      <c r="D1167" s="6">
        <f>IFERROR(__xludf.DUMMYFUNCTION("""COMPUTED_VALUE"""),1014.0)</f>
        <v>1014</v>
      </c>
      <c r="E1167" s="6">
        <f>IFERROR(__xludf.DUMMYFUNCTION("""COMPUTED_VALUE"""),864.0)</f>
        <v>864</v>
      </c>
      <c r="F1167" s="6">
        <f>IFERROR(__xludf.DUMMYFUNCTION("""COMPUTED_VALUE"""),3118.0)</f>
        <v>3118</v>
      </c>
      <c r="G1167" s="6">
        <f>IFERROR(__xludf.DUMMYFUNCTION("""COMPUTED_VALUE"""),4996.0)</f>
        <v>4996</v>
      </c>
    </row>
    <row r="1168">
      <c r="A1168" s="6">
        <f>IFERROR(__xludf.DUMMYFUNCTION("""COMPUTED_VALUE"""),2018.0)</f>
        <v>2018</v>
      </c>
      <c r="B1168" s="6" t="str">
        <f>IFERROR(__xludf.DUMMYFUNCTION("""COMPUTED_VALUE"""),"Junho")</f>
        <v>Junho</v>
      </c>
      <c r="C1168" s="6" t="str">
        <f>IFERROR(__xludf.DUMMYFUNCTION("""COMPUTED_VALUE"""),"MAUS TRATOS")</f>
        <v>MAUS TRATOS</v>
      </c>
      <c r="D1168" s="6">
        <f>IFERROR(__xludf.DUMMYFUNCTION("""COMPUTED_VALUE"""),3.0)</f>
        <v>3</v>
      </c>
      <c r="E1168" s="6">
        <f>IFERROR(__xludf.DUMMYFUNCTION("""COMPUTED_VALUE"""),2.0)</f>
        <v>2</v>
      </c>
      <c r="F1168" s="6">
        <f>IFERROR(__xludf.DUMMYFUNCTION("""COMPUTED_VALUE"""),18.0)</f>
        <v>18</v>
      </c>
      <c r="G1168" s="6">
        <f>IFERROR(__xludf.DUMMYFUNCTION("""COMPUTED_VALUE"""),23.0)</f>
        <v>23</v>
      </c>
    </row>
    <row r="1169">
      <c r="A1169" s="6">
        <f>IFERROR(__xludf.DUMMYFUNCTION("""COMPUTED_VALUE"""),2018.0)</f>
        <v>2018</v>
      </c>
      <c r="B1169" s="6" t="str">
        <f>IFERROR(__xludf.DUMMYFUNCTION("""COMPUTED_VALUE"""),"Junho")</f>
        <v>Junho</v>
      </c>
      <c r="C1169" s="6" t="str">
        <f>IFERROR(__xludf.DUMMYFUNCTION("""COMPUTED_VALUE"""),"CALÚNIA - DIFAMAÇÃO - INJÚRIA")</f>
        <v>CALÚNIA - DIFAMAÇÃO - INJÚRIA</v>
      </c>
      <c r="D1169" s="6">
        <f>IFERROR(__xludf.DUMMYFUNCTION("""COMPUTED_VALUE"""),198.0)</f>
        <v>198</v>
      </c>
      <c r="E1169" s="6">
        <f>IFERROR(__xludf.DUMMYFUNCTION("""COMPUTED_VALUE"""),168.0)</f>
        <v>168</v>
      </c>
      <c r="F1169" s="6">
        <f>IFERROR(__xludf.DUMMYFUNCTION("""COMPUTED_VALUE"""),724.0)</f>
        <v>724</v>
      </c>
      <c r="G1169" s="6">
        <f>IFERROR(__xludf.DUMMYFUNCTION("""COMPUTED_VALUE"""),1090.0)</f>
        <v>1090</v>
      </c>
    </row>
    <row r="1170">
      <c r="A1170" s="6">
        <f>IFERROR(__xludf.DUMMYFUNCTION("""COMPUTED_VALUE"""),2018.0)</f>
        <v>2018</v>
      </c>
      <c r="B1170" s="6" t="str">
        <f>IFERROR(__xludf.DUMMYFUNCTION("""COMPUTED_VALUE"""),"Junho")</f>
        <v>Junho</v>
      </c>
      <c r="C1170" s="6" t="str">
        <f>IFERROR(__xludf.DUMMYFUNCTION("""COMPUTED_VALUE"""),"CONSTRANGIMENTO ILEGAL")</f>
        <v>CONSTRANGIMENTO ILEGAL</v>
      </c>
      <c r="D1170" s="6">
        <f>IFERROR(__xludf.DUMMYFUNCTION("""COMPUTED_VALUE"""),1.0)</f>
        <v>1</v>
      </c>
      <c r="E1170" s="6">
        <f>IFERROR(__xludf.DUMMYFUNCTION("""COMPUTED_VALUE"""),1.0)</f>
        <v>1</v>
      </c>
      <c r="F1170" s="6">
        <f>IFERROR(__xludf.DUMMYFUNCTION("""COMPUTED_VALUE"""),7.0)</f>
        <v>7</v>
      </c>
      <c r="G1170" s="6">
        <f>IFERROR(__xludf.DUMMYFUNCTION("""COMPUTED_VALUE"""),9.0)</f>
        <v>9</v>
      </c>
    </row>
    <row r="1171">
      <c r="A1171" s="6">
        <f>IFERROR(__xludf.DUMMYFUNCTION("""COMPUTED_VALUE"""),2018.0)</f>
        <v>2018</v>
      </c>
      <c r="B1171" s="6" t="str">
        <f>IFERROR(__xludf.DUMMYFUNCTION("""COMPUTED_VALUE"""),"Junho")</f>
        <v>Junho</v>
      </c>
      <c r="C1171" s="6" t="str">
        <f>IFERROR(__xludf.DUMMYFUNCTION("""COMPUTED_VALUE"""),"AMEAÇA")</f>
        <v>AMEAÇA</v>
      </c>
      <c r="D1171" s="6">
        <f>IFERROR(__xludf.DUMMYFUNCTION("""COMPUTED_VALUE"""),948.0)</f>
        <v>948</v>
      </c>
      <c r="E1171" s="6">
        <f>IFERROR(__xludf.DUMMYFUNCTION("""COMPUTED_VALUE"""),852.0)</f>
        <v>852</v>
      </c>
      <c r="F1171" s="6">
        <f>IFERROR(__xludf.DUMMYFUNCTION("""COMPUTED_VALUE"""),3214.0)</f>
        <v>3214</v>
      </c>
      <c r="G1171" s="6">
        <f>IFERROR(__xludf.DUMMYFUNCTION("""COMPUTED_VALUE"""),5014.0)</f>
        <v>5014</v>
      </c>
    </row>
    <row r="1172">
      <c r="A1172" s="6">
        <f>IFERROR(__xludf.DUMMYFUNCTION("""COMPUTED_VALUE"""),2018.0)</f>
        <v>2018</v>
      </c>
      <c r="B1172" s="6" t="str">
        <f>IFERROR(__xludf.DUMMYFUNCTION("""COMPUTED_VALUE"""),"Junho")</f>
        <v>Junho</v>
      </c>
      <c r="C1172" s="6" t="str">
        <f>IFERROR(__xludf.DUMMYFUNCTION("""COMPUTED_VALUE"""),"INVASÃO DE DOMICÍLIO")</f>
        <v>INVASÃO DE DOMICÍLIO</v>
      </c>
      <c r="D1172" s="6">
        <f>IFERROR(__xludf.DUMMYFUNCTION("""COMPUTED_VALUE"""),1.0)</f>
        <v>1</v>
      </c>
      <c r="E1172" s="6">
        <f>IFERROR(__xludf.DUMMYFUNCTION("""COMPUTED_VALUE"""),2.0)</f>
        <v>2</v>
      </c>
      <c r="F1172" s="6">
        <f>IFERROR(__xludf.DUMMYFUNCTION("""COMPUTED_VALUE"""),13.0)</f>
        <v>13</v>
      </c>
      <c r="G1172" s="6">
        <f>IFERROR(__xludf.DUMMYFUNCTION("""COMPUTED_VALUE"""),16.0)</f>
        <v>16</v>
      </c>
    </row>
    <row r="1173">
      <c r="A1173" s="6">
        <f>IFERROR(__xludf.DUMMYFUNCTION("""COMPUTED_VALUE"""),2018.0)</f>
        <v>2018</v>
      </c>
      <c r="B1173" s="6" t="str">
        <f>IFERROR(__xludf.DUMMYFUNCTION("""COMPUTED_VALUE"""),"Junho")</f>
        <v>Junho</v>
      </c>
      <c r="C1173" s="6" t="str">
        <f>IFERROR(__xludf.DUMMYFUNCTION("""COMPUTED_VALUE"""),"DANO")</f>
        <v>DANO</v>
      </c>
      <c r="D1173" s="6">
        <f>IFERROR(__xludf.DUMMYFUNCTION("""COMPUTED_VALUE"""),11.0)</f>
        <v>11</v>
      </c>
      <c r="E1173" s="6">
        <f>IFERROR(__xludf.DUMMYFUNCTION("""COMPUTED_VALUE"""),11.0)</f>
        <v>11</v>
      </c>
      <c r="F1173" s="6">
        <f>IFERROR(__xludf.DUMMYFUNCTION("""COMPUTED_VALUE"""),62.0)</f>
        <v>62</v>
      </c>
      <c r="G1173" s="6">
        <f>IFERROR(__xludf.DUMMYFUNCTION("""COMPUTED_VALUE"""),84.0)</f>
        <v>84</v>
      </c>
    </row>
    <row r="1174">
      <c r="A1174" s="6">
        <f>IFERROR(__xludf.DUMMYFUNCTION("""COMPUTED_VALUE"""),2018.0)</f>
        <v>2018</v>
      </c>
      <c r="B1174" s="6" t="str">
        <f>IFERROR(__xludf.DUMMYFUNCTION("""COMPUTED_VALUE"""),"Junho")</f>
        <v>Junho</v>
      </c>
      <c r="C1174" s="6" t="str">
        <f>IFERROR(__xludf.DUMMYFUNCTION("""COMPUTED_VALUE"""),"ESTUPRO CONSUMADO")</f>
        <v>ESTUPRO CONSUMADO</v>
      </c>
      <c r="D1174" s="6">
        <f>IFERROR(__xludf.DUMMYFUNCTION("""COMPUTED_VALUE"""),10.0)</f>
        <v>10</v>
      </c>
      <c r="E1174" s="6">
        <f>IFERROR(__xludf.DUMMYFUNCTION("""COMPUTED_VALUE"""),7.0)</f>
        <v>7</v>
      </c>
      <c r="F1174" s="6">
        <f>IFERROR(__xludf.DUMMYFUNCTION("""COMPUTED_VALUE"""),19.0)</f>
        <v>19</v>
      </c>
      <c r="G1174" s="6">
        <f>IFERROR(__xludf.DUMMYFUNCTION("""COMPUTED_VALUE"""),36.0)</f>
        <v>36</v>
      </c>
    </row>
    <row r="1175">
      <c r="A1175" s="6">
        <f>IFERROR(__xludf.DUMMYFUNCTION("""COMPUTED_VALUE"""),2018.0)</f>
        <v>2018</v>
      </c>
      <c r="B1175" s="6" t="str">
        <f>IFERROR(__xludf.DUMMYFUNCTION("""COMPUTED_VALUE"""),"Junho")</f>
        <v>Junho</v>
      </c>
      <c r="C1175" s="6" t="str">
        <f>IFERROR(__xludf.DUMMYFUNCTION("""COMPUTED_VALUE"""),"ESTUPRO TENTADO")</f>
        <v>ESTUPRO TENTADO</v>
      </c>
      <c r="D1175" s="6">
        <f>IFERROR(__xludf.DUMMYFUNCTION("""COMPUTED_VALUE"""),1.0)</f>
        <v>1</v>
      </c>
      <c r="E1175" s="6">
        <f>IFERROR(__xludf.DUMMYFUNCTION("""COMPUTED_VALUE"""),0.0)</f>
        <v>0</v>
      </c>
      <c r="F1175" s="6">
        <f>IFERROR(__xludf.DUMMYFUNCTION("""COMPUTED_VALUE"""),1.0)</f>
        <v>1</v>
      </c>
      <c r="G1175" s="6">
        <f>IFERROR(__xludf.DUMMYFUNCTION("""COMPUTED_VALUE"""),2.0)</f>
        <v>2</v>
      </c>
    </row>
    <row r="1176">
      <c r="A1176" s="6">
        <f>IFERROR(__xludf.DUMMYFUNCTION("""COMPUTED_VALUE"""),2018.0)</f>
        <v>2018</v>
      </c>
      <c r="B1176" s="6" t="str">
        <f>IFERROR(__xludf.DUMMYFUNCTION("""COMPUTED_VALUE"""),"Junho")</f>
        <v>Junho</v>
      </c>
      <c r="C1176" s="6" t="str">
        <f>IFERROR(__xludf.DUMMYFUNCTION("""COMPUTED_VALUE"""),"ESTUPRO DE VULNERÁVEL CONSUMADO")</f>
        <v>ESTUPRO DE VULNERÁVEL CONSUMADO</v>
      </c>
      <c r="D1176" s="6">
        <f>IFERROR(__xludf.DUMMYFUNCTION("""COMPUTED_VALUE"""),3.0)</f>
        <v>3</v>
      </c>
      <c r="E1176" s="6">
        <f>IFERROR(__xludf.DUMMYFUNCTION("""COMPUTED_VALUE"""),4.0)</f>
        <v>4</v>
      </c>
      <c r="F1176" s="6">
        <f>IFERROR(__xludf.DUMMYFUNCTION("""COMPUTED_VALUE"""),18.0)</f>
        <v>18</v>
      </c>
      <c r="G1176" s="6">
        <f>IFERROR(__xludf.DUMMYFUNCTION("""COMPUTED_VALUE"""),25.0)</f>
        <v>25</v>
      </c>
    </row>
    <row r="1177">
      <c r="A1177" s="6">
        <f>IFERROR(__xludf.DUMMYFUNCTION("""COMPUTED_VALUE"""),2018.0)</f>
        <v>2018</v>
      </c>
      <c r="B1177" s="6" t="str">
        <f>IFERROR(__xludf.DUMMYFUNCTION("""COMPUTED_VALUE"""),"Junho")</f>
        <v>Junho</v>
      </c>
      <c r="C1177" s="6" t="str">
        <f>IFERROR(__xludf.DUMMYFUNCTION("""COMPUTED_VALUE"""),"OUTROS C/C/ DIGNIDADE SEXUAL")</f>
        <v>OUTROS C/C/ DIGNIDADE SEXUAL</v>
      </c>
      <c r="D1177" s="6">
        <f>IFERROR(__xludf.DUMMYFUNCTION("""COMPUTED_VALUE"""),0.0)</f>
        <v>0</v>
      </c>
      <c r="E1177" s="6">
        <f>IFERROR(__xludf.DUMMYFUNCTION("""COMPUTED_VALUE"""),1.0)</f>
        <v>1</v>
      </c>
      <c r="F1177" s="6">
        <f>IFERROR(__xludf.DUMMYFUNCTION("""COMPUTED_VALUE"""),2.0)</f>
        <v>2</v>
      </c>
      <c r="G1177" s="6">
        <f>IFERROR(__xludf.DUMMYFUNCTION("""COMPUTED_VALUE"""),3.0)</f>
        <v>3</v>
      </c>
    </row>
    <row r="1178">
      <c r="A1178" s="6">
        <f>IFERROR(__xludf.DUMMYFUNCTION("""COMPUTED_VALUE"""),2018.0)</f>
        <v>2018</v>
      </c>
      <c r="B1178" s="6" t="str">
        <f>IFERROR(__xludf.DUMMYFUNCTION("""COMPUTED_VALUE"""),"Julho")</f>
        <v>Julho</v>
      </c>
      <c r="C1178" s="6" t="str">
        <f>IFERROR(__xludf.DUMMYFUNCTION("""COMPUTED_VALUE"""),"HOMICÍDIO DOLOSO (exclui FEMINICÍDIO)")</f>
        <v>HOMICÍDIO DOLOSO (exclui FEMINICÍDIO)</v>
      </c>
      <c r="D1178" s="6">
        <f>IFERROR(__xludf.DUMMYFUNCTION("""COMPUTED_VALUE"""),1.0)</f>
        <v>1</v>
      </c>
      <c r="E1178" s="6">
        <f>IFERROR(__xludf.DUMMYFUNCTION("""COMPUTED_VALUE"""),0.0)</f>
        <v>0</v>
      </c>
      <c r="F1178" s="6">
        <f>IFERROR(__xludf.DUMMYFUNCTION("""COMPUTED_VALUE"""),2.0)</f>
        <v>2</v>
      </c>
      <c r="G1178" s="6">
        <f>IFERROR(__xludf.DUMMYFUNCTION("""COMPUTED_VALUE"""),3.0)</f>
        <v>3</v>
      </c>
    </row>
    <row r="1179">
      <c r="A1179" s="6">
        <f>IFERROR(__xludf.DUMMYFUNCTION("""COMPUTED_VALUE"""),2018.0)</f>
        <v>2018</v>
      </c>
      <c r="B1179" s="6" t="str">
        <f>IFERROR(__xludf.DUMMYFUNCTION("""COMPUTED_VALUE"""),"Julho")</f>
        <v>Julho</v>
      </c>
      <c r="C1179" s="6" t="str">
        <f>IFERROR(__xludf.DUMMYFUNCTION("""COMPUTED_VALUE"""),"FEMINICÍDIO")</f>
        <v>FEMINICÍDIO</v>
      </c>
      <c r="D1179" s="6">
        <f>IFERROR(__xludf.DUMMYFUNCTION("""COMPUTED_VALUE"""),1.0)</f>
        <v>1</v>
      </c>
      <c r="E1179" s="6">
        <f>IFERROR(__xludf.DUMMYFUNCTION("""COMPUTED_VALUE"""),2.0)</f>
        <v>2</v>
      </c>
      <c r="F1179" s="6">
        <f>IFERROR(__xludf.DUMMYFUNCTION("""COMPUTED_VALUE"""),3.0)</f>
        <v>3</v>
      </c>
      <c r="G1179" s="6">
        <f>IFERROR(__xludf.DUMMYFUNCTION("""COMPUTED_VALUE"""),6.0)</f>
        <v>6</v>
      </c>
    </row>
    <row r="1180">
      <c r="A1180" s="6">
        <f>IFERROR(__xludf.DUMMYFUNCTION("""COMPUTED_VALUE"""),2018.0)</f>
        <v>2018</v>
      </c>
      <c r="B1180" s="6" t="str">
        <f>IFERROR(__xludf.DUMMYFUNCTION("""COMPUTED_VALUE"""),"Julho")</f>
        <v>Julho</v>
      </c>
      <c r="C1180" s="6" t="str">
        <f>IFERROR(__xludf.DUMMYFUNCTION("""COMPUTED_VALUE"""),"HOMICÍDIO CULPOSO")</f>
        <v>HOMICÍDIO CULPOSO</v>
      </c>
      <c r="D1180" s="6">
        <f>IFERROR(__xludf.DUMMYFUNCTION("""COMPUTED_VALUE"""),0.0)</f>
        <v>0</v>
      </c>
      <c r="E1180" s="6">
        <f>IFERROR(__xludf.DUMMYFUNCTION("""COMPUTED_VALUE"""),0.0)</f>
        <v>0</v>
      </c>
      <c r="F1180" s="6">
        <f>IFERROR(__xludf.DUMMYFUNCTION("""COMPUTED_VALUE"""),0.0)</f>
        <v>0</v>
      </c>
      <c r="G1180" s="6">
        <f>IFERROR(__xludf.DUMMYFUNCTION("""COMPUTED_VALUE"""),0.0)</f>
        <v>0</v>
      </c>
    </row>
    <row r="1181">
      <c r="A1181" s="6">
        <f>IFERROR(__xludf.DUMMYFUNCTION("""COMPUTED_VALUE"""),2018.0)</f>
        <v>2018</v>
      </c>
      <c r="B1181" s="6" t="str">
        <f>IFERROR(__xludf.DUMMYFUNCTION("""COMPUTED_VALUE"""),"Julho")</f>
        <v>Julho</v>
      </c>
      <c r="C1181" s="6" t="str">
        <f>IFERROR(__xludf.DUMMYFUNCTION("""COMPUTED_VALUE"""),"TENTATIVA DE HOMICÍDIO")</f>
        <v>TENTATIVA DE HOMICÍDIO</v>
      </c>
      <c r="D1181" s="6">
        <f>IFERROR(__xludf.DUMMYFUNCTION("""COMPUTED_VALUE"""),1.0)</f>
        <v>1</v>
      </c>
      <c r="E1181" s="6">
        <f>IFERROR(__xludf.DUMMYFUNCTION("""COMPUTED_VALUE"""),2.0)</f>
        <v>2</v>
      </c>
      <c r="F1181" s="6">
        <f>IFERROR(__xludf.DUMMYFUNCTION("""COMPUTED_VALUE"""),11.0)</f>
        <v>11</v>
      </c>
      <c r="G1181" s="6">
        <f>IFERROR(__xludf.DUMMYFUNCTION("""COMPUTED_VALUE"""),14.0)</f>
        <v>14</v>
      </c>
    </row>
    <row r="1182">
      <c r="A1182" s="6">
        <f>IFERROR(__xludf.DUMMYFUNCTION("""COMPUTED_VALUE"""),2018.0)</f>
        <v>2018</v>
      </c>
      <c r="B1182" s="6" t="str">
        <f>IFERROR(__xludf.DUMMYFUNCTION("""COMPUTED_VALUE"""),"Julho")</f>
        <v>Julho</v>
      </c>
      <c r="C1182" s="6" t="str">
        <f>IFERROR(__xludf.DUMMYFUNCTION("""COMPUTED_VALUE"""),"LESÃO CORPORAL DOLOSA")</f>
        <v>LESÃO CORPORAL DOLOSA</v>
      </c>
      <c r="D1182" s="6">
        <f>IFERROR(__xludf.DUMMYFUNCTION("""COMPUTED_VALUE"""),842.0)</f>
        <v>842</v>
      </c>
      <c r="E1182" s="6">
        <f>IFERROR(__xludf.DUMMYFUNCTION("""COMPUTED_VALUE"""),741.0)</f>
        <v>741</v>
      </c>
      <c r="F1182" s="6">
        <f>IFERROR(__xludf.DUMMYFUNCTION("""COMPUTED_VALUE"""),2831.0)</f>
        <v>2831</v>
      </c>
      <c r="G1182" s="6">
        <f>IFERROR(__xludf.DUMMYFUNCTION("""COMPUTED_VALUE"""),4414.0)</f>
        <v>4414</v>
      </c>
    </row>
    <row r="1183">
      <c r="A1183" s="6">
        <f>IFERROR(__xludf.DUMMYFUNCTION("""COMPUTED_VALUE"""),2018.0)</f>
        <v>2018</v>
      </c>
      <c r="B1183" s="6" t="str">
        <f>IFERROR(__xludf.DUMMYFUNCTION("""COMPUTED_VALUE"""),"Julho")</f>
        <v>Julho</v>
      </c>
      <c r="C1183" s="6" t="str">
        <f>IFERROR(__xludf.DUMMYFUNCTION("""COMPUTED_VALUE"""),"MAUS TRATOS")</f>
        <v>MAUS TRATOS</v>
      </c>
      <c r="D1183" s="6">
        <f>IFERROR(__xludf.DUMMYFUNCTION("""COMPUTED_VALUE"""),2.0)</f>
        <v>2</v>
      </c>
      <c r="E1183" s="6">
        <f>IFERROR(__xludf.DUMMYFUNCTION("""COMPUTED_VALUE"""),2.0)</f>
        <v>2</v>
      </c>
      <c r="F1183" s="6">
        <f>IFERROR(__xludf.DUMMYFUNCTION("""COMPUTED_VALUE"""),15.0)</f>
        <v>15</v>
      </c>
      <c r="G1183" s="6">
        <f>IFERROR(__xludf.DUMMYFUNCTION("""COMPUTED_VALUE"""),19.0)</f>
        <v>19</v>
      </c>
    </row>
    <row r="1184">
      <c r="A1184" s="6">
        <f>IFERROR(__xludf.DUMMYFUNCTION("""COMPUTED_VALUE"""),2018.0)</f>
        <v>2018</v>
      </c>
      <c r="B1184" s="6" t="str">
        <f>IFERROR(__xludf.DUMMYFUNCTION("""COMPUTED_VALUE"""),"Julho")</f>
        <v>Julho</v>
      </c>
      <c r="C1184" s="6" t="str">
        <f>IFERROR(__xludf.DUMMYFUNCTION("""COMPUTED_VALUE"""),"CALÚNIA - DIFAMAÇÃO - INJÚRIA")</f>
        <v>CALÚNIA - DIFAMAÇÃO - INJÚRIA</v>
      </c>
      <c r="D1184" s="6">
        <f>IFERROR(__xludf.DUMMYFUNCTION("""COMPUTED_VALUE"""),172.0)</f>
        <v>172</v>
      </c>
      <c r="E1184" s="6">
        <f>IFERROR(__xludf.DUMMYFUNCTION("""COMPUTED_VALUE"""),151.0)</f>
        <v>151</v>
      </c>
      <c r="F1184" s="6">
        <f>IFERROR(__xludf.DUMMYFUNCTION("""COMPUTED_VALUE"""),649.0)</f>
        <v>649</v>
      </c>
      <c r="G1184" s="6">
        <f>IFERROR(__xludf.DUMMYFUNCTION("""COMPUTED_VALUE"""),972.0)</f>
        <v>972</v>
      </c>
    </row>
    <row r="1185">
      <c r="A1185" s="6">
        <f>IFERROR(__xludf.DUMMYFUNCTION("""COMPUTED_VALUE"""),2018.0)</f>
        <v>2018</v>
      </c>
      <c r="B1185" s="6" t="str">
        <f>IFERROR(__xludf.DUMMYFUNCTION("""COMPUTED_VALUE"""),"Julho")</f>
        <v>Julho</v>
      </c>
      <c r="C1185" s="6" t="str">
        <f>IFERROR(__xludf.DUMMYFUNCTION("""COMPUTED_VALUE"""),"CONSTRANGIMENTO ILEGAL")</f>
        <v>CONSTRANGIMENTO ILEGAL</v>
      </c>
      <c r="D1185" s="6">
        <f>IFERROR(__xludf.DUMMYFUNCTION("""COMPUTED_VALUE"""),1.0)</f>
        <v>1</v>
      </c>
      <c r="E1185" s="6">
        <f>IFERROR(__xludf.DUMMYFUNCTION("""COMPUTED_VALUE"""),0.0)</f>
        <v>0</v>
      </c>
      <c r="F1185" s="6">
        <f>IFERROR(__xludf.DUMMYFUNCTION("""COMPUTED_VALUE"""),5.0)</f>
        <v>5</v>
      </c>
      <c r="G1185" s="6">
        <f>IFERROR(__xludf.DUMMYFUNCTION("""COMPUTED_VALUE"""),6.0)</f>
        <v>6</v>
      </c>
    </row>
    <row r="1186">
      <c r="A1186" s="6">
        <f>IFERROR(__xludf.DUMMYFUNCTION("""COMPUTED_VALUE"""),2018.0)</f>
        <v>2018</v>
      </c>
      <c r="B1186" s="6" t="str">
        <f>IFERROR(__xludf.DUMMYFUNCTION("""COMPUTED_VALUE"""),"Julho")</f>
        <v>Julho</v>
      </c>
      <c r="C1186" s="6" t="str">
        <f>IFERROR(__xludf.DUMMYFUNCTION("""COMPUTED_VALUE"""),"AMEAÇA")</f>
        <v>AMEAÇA</v>
      </c>
      <c r="D1186" s="6">
        <f>IFERROR(__xludf.DUMMYFUNCTION("""COMPUTED_VALUE"""),811.0)</f>
        <v>811</v>
      </c>
      <c r="E1186" s="6">
        <f>IFERROR(__xludf.DUMMYFUNCTION("""COMPUTED_VALUE"""),743.0)</f>
        <v>743</v>
      </c>
      <c r="F1186" s="6">
        <f>IFERROR(__xludf.DUMMYFUNCTION("""COMPUTED_VALUE"""),2894.0)</f>
        <v>2894</v>
      </c>
      <c r="G1186" s="6">
        <f>IFERROR(__xludf.DUMMYFUNCTION("""COMPUTED_VALUE"""),4448.0)</f>
        <v>4448</v>
      </c>
    </row>
    <row r="1187">
      <c r="A1187" s="6">
        <f>IFERROR(__xludf.DUMMYFUNCTION("""COMPUTED_VALUE"""),2018.0)</f>
        <v>2018</v>
      </c>
      <c r="B1187" s="6" t="str">
        <f>IFERROR(__xludf.DUMMYFUNCTION("""COMPUTED_VALUE"""),"Julho")</f>
        <v>Julho</v>
      </c>
      <c r="C1187" s="6" t="str">
        <f>IFERROR(__xludf.DUMMYFUNCTION("""COMPUTED_VALUE"""),"INVASÃO DE DOMICÍLIO")</f>
        <v>INVASÃO DE DOMICÍLIO</v>
      </c>
      <c r="D1187" s="6">
        <f>IFERROR(__xludf.DUMMYFUNCTION("""COMPUTED_VALUE"""),1.0)</f>
        <v>1</v>
      </c>
      <c r="E1187" s="6">
        <f>IFERROR(__xludf.DUMMYFUNCTION("""COMPUTED_VALUE"""),2.0)</f>
        <v>2</v>
      </c>
      <c r="F1187" s="6">
        <f>IFERROR(__xludf.DUMMYFUNCTION("""COMPUTED_VALUE"""),12.0)</f>
        <v>12</v>
      </c>
      <c r="G1187" s="6">
        <f>IFERROR(__xludf.DUMMYFUNCTION("""COMPUTED_VALUE"""),15.0)</f>
        <v>15</v>
      </c>
    </row>
    <row r="1188">
      <c r="A1188" s="6">
        <f>IFERROR(__xludf.DUMMYFUNCTION("""COMPUTED_VALUE"""),2018.0)</f>
        <v>2018</v>
      </c>
      <c r="B1188" s="6" t="str">
        <f>IFERROR(__xludf.DUMMYFUNCTION("""COMPUTED_VALUE"""),"Julho")</f>
        <v>Julho</v>
      </c>
      <c r="C1188" s="6" t="str">
        <f>IFERROR(__xludf.DUMMYFUNCTION("""COMPUTED_VALUE"""),"DANO")</f>
        <v>DANO</v>
      </c>
      <c r="D1188" s="6">
        <f>IFERROR(__xludf.DUMMYFUNCTION("""COMPUTED_VALUE"""),9.0)</f>
        <v>9</v>
      </c>
      <c r="E1188" s="6">
        <f>IFERROR(__xludf.DUMMYFUNCTION("""COMPUTED_VALUE"""),9.0)</f>
        <v>9</v>
      </c>
      <c r="F1188" s="6">
        <f>IFERROR(__xludf.DUMMYFUNCTION("""COMPUTED_VALUE"""),51.0)</f>
        <v>51</v>
      </c>
      <c r="G1188" s="6">
        <f>IFERROR(__xludf.DUMMYFUNCTION("""COMPUTED_VALUE"""),69.0)</f>
        <v>69</v>
      </c>
    </row>
    <row r="1189">
      <c r="A1189" s="6">
        <f>IFERROR(__xludf.DUMMYFUNCTION("""COMPUTED_VALUE"""),2018.0)</f>
        <v>2018</v>
      </c>
      <c r="B1189" s="6" t="str">
        <f>IFERROR(__xludf.DUMMYFUNCTION("""COMPUTED_VALUE"""),"Julho")</f>
        <v>Julho</v>
      </c>
      <c r="C1189" s="6" t="str">
        <f>IFERROR(__xludf.DUMMYFUNCTION("""COMPUTED_VALUE"""),"ESTUPRO CONSUMADO")</f>
        <v>ESTUPRO CONSUMADO</v>
      </c>
      <c r="D1189" s="6">
        <f>IFERROR(__xludf.DUMMYFUNCTION("""COMPUTED_VALUE"""),9.0)</f>
        <v>9</v>
      </c>
      <c r="E1189" s="6">
        <f>IFERROR(__xludf.DUMMYFUNCTION("""COMPUTED_VALUE"""),6.0)</f>
        <v>6</v>
      </c>
      <c r="F1189" s="6">
        <f>IFERROR(__xludf.DUMMYFUNCTION("""COMPUTED_VALUE"""),17.0)</f>
        <v>17</v>
      </c>
      <c r="G1189" s="6">
        <f>IFERROR(__xludf.DUMMYFUNCTION("""COMPUTED_VALUE"""),32.0)</f>
        <v>32</v>
      </c>
    </row>
    <row r="1190">
      <c r="A1190" s="6">
        <f>IFERROR(__xludf.DUMMYFUNCTION("""COMPUTED_VALUE"""),2018.0)</f>
        <v>2018</v>
      </c>
      <c r="B1190" s="6" t="str">
        <f>IFERROR(__xludf.DUMMYFUNCTION("""COMPUTED_VALUE"""),"Julho")</f>
        <v>Julho</v>
      </c>
      <c r="C1190" s="6" t="str">
        <f>IFERROR(__xludf.DUMMYFUNCTION("""COMPUTED_VALUE"""),"ESTUPRO TENTADO")</f>
        <v>ESTUPRO TENTADO</v>
      </c>
      <c r="D1190" s="6">
        <f>IFERROR(__xludf.DUMMYFUNCTION("""COMPUTED_VALUE"""),0.0)</f>
        <v>0</v>
      </c>
      <c r="E1190" s="6">
        <f>IFERROR(__xludf.DUMMYFUNCTION("""COMPUTED_VALUE"""),0.0)</f>
        <v>0</v>
      </c>
      <c r="F1190" s="6">
        <f>IFERROR(__xludf.DUMMYFUNCTION("""COMPUTED_VALUE"""),1.0)</f>
        <v>1</v>
      </c>
      <c r="G1190" s="6">
        <f>IFERROR(__xludf.DUMMYFUNCTION("""COMPUTED_VALUE"""),1.0)</f>
        <v>1</v>
      </c>
    </row>
    <row r="1191">
      <c r="A1191" s="6">
        <f>IFERROR(__xludf.DUMMYFUNCTION("""COMPUTED_VALUE"""),2018.0)</f>
        <v>2018</v>
      </c>
      <c r="B1191" s="6" t="str">
        <f>IFERROR(__xludf.DUMMYFUNCTION("""COMPUTED_VALUE"""),"Julho")</f>
        <v>Julho</v>
      </c>
      <c r="C1191" s="6" t="str">
        <f>IFERROR(__xludf.DUMMYFUNCTION("""COMPUTED_VALUE"""),"ESTUPRO DE VULNERÁVEL CONSUMADO")</f>
        <v>ESTUPRO DE VULNERÁVEL CONSUMADO</v>
      </c>
      <c r="D1191" s="6">
        <f>IFERROR(__xludf.DUMMYFUNCTION("""COMPUTED_VALUE"""),3.0)</f>
        <v>3</v>
      </c>
      <c r="E1191" s="6">
        <f>IFERROR(__xludf.DUMMYFUNCTION("""COMPUTED_VALUE"""),4.0)</f>
        <v>4</v>
      </c>
      <c r="F1191" s="6">
        <f>IFERROR(__xludf.DUMMYFUNCTION("""COMPUTED_VALUE"""),16.0)</f>
        <v>16</v>
      </c>
      <c r="G1191" s="6">
        <f>IFERROR(__xludf.DUMMYFUNCTION("""COMPUTED_VALUE"""),23.0)</f>
        <v>23</v>
      </c>
    </row>
    <row r="1192">
      <c r="A1192" s="6">
        <f>IFERROR(__xludf.DUMMYFUNCTION("""COMPUTED_VALUE"""),2018.0)</f>
        <v>2018</v>
      </c>
      <c r="B1192" s="6" t="str">
        <f>IFERROR(__xludf.DUMMYFUNCTION("""COMPUTED_VALUE"""),"Julho")</f>
        <v>Julho</v>
      </c>
      <c r="C1192" s="6" t="str">
        <f>IFERROR(__xludf.DUMMYFUNCTION("""COMPUTED_VALUE"""),"OUTROS C/C/ DIGNIDADE SEXUAL")</f>
        <v>OUTROS C/C/ DIGNIDADE SEXUAL</v>
      </c>
      <c r="D1192" s="6">
        <f>IFERROR(__xludf.DUMMYFUNCTION("""COMPUTED_VALUE"""),0.0)</f>
        <v>0</v>
      </c>
      <c r="E1192" s="6">
        <f>IFERROR(__xludf.DUMMYFUNCTION("""COMPUTED_VALUE"""),0.0)</f>
        <v>0</v>
      </c>
      <c r="F1192" s="6">
        <f>IFERROR(__xludf.DUMMYFUNCTION("""COMPUTED_VALUE"""),2.0)</f>
        <v>2</v>
      </c>
      <c r="G1192" s="6">
        <f>IFERROR(__xludf.DUMMYFUNCTION("""COMPUTED_VALUE"""),2.0)</f>
        <v>2</v>
      </c>
    </row>
    <row r="1193">
      <c r="A1193" s="6">
        <f>IFERROR(__xludf.DUMMYFUNCTION("""COMPUTED_VALUE"""),2018.0)</f>
        <v>2018</v>
      </c>
      <c r="B1193" s="6" t="str">
        <f>IFERROR(__xludf.DUMMYFUNCTION("""COMPUTED_VALUE"""),"Agosto")</f>
        <v>Agosto</v>
      </c>
      <c r="C1193" s="6" t="str">
        <f>IFERROR(__xludf.DUMMYFUNCTION("""COMPUTED_VALUE"""),"HOMICÍDIO DOLOSO (exclui FEMINICÍDIO)")</f>
        <v>HOMICÍDIO DOLOSO (exclui FEMINICÍDIO)</v>
      </c>
      <c r="D1193" s="6">
        <f>IFERROR(__xludf.DUMMYFUNCTION("""COMPUTED_VALUE"""),2.0)</f>
        <v>2</v>
      </c>
      <c r="E1193" s="6">
        <f>IFERROR(__xludf.DUMMYFUNCTION("""COMPUTED_VALUE"""),0.0)</f>
        <v>0</v>
      </c>
      <c r="F1193" s="6">
        <f>IFERROR(__xludf.DUMMYFUNCTION("""COMPUTED_VALUE"""),1.0)</f>
        <v>1</v>
      </c>
      <c r="G1193" s="6">
        <f>IFERROR(__xludf.DUMMYFUNCTION("""COMPUTED_VALUE"""),3.0)</f>
        <v>3</v>
      </c>
    </row>
    <row r="1194">
      <c r="A1194" s="6">
        <f>IFERROR(__xludf.DUMMYFUNCTION("""COMPUTED_VALUE"""),2018.0)</f>
        <v>2018</v>
      </c>
      <c r="B1194" s="6" t="str">
        <f>IFERROR(__xludf.DUMMYFUNCTION("""COMPUTED_VALUE"""),"Agosto")</f>
        <v>Agosto</v>
      </c>
      <c r="C1194" s="6" t="str">
        <f>IFERROR(__xludf.DUMMYFUNCTION("""COMPUTED_VALUE"""),"FEMINICÍDIO")</f>
        <v>FEMINICÍDIO</v>
      </c>
      <c r="D1194" s="6">
        <f>IFERROR(__xludf.DUMMYFUNCTION("""COMPUTED_VALUE"""),2.0)</f>
        <v>2</v>
      </c>
      <c r="E1194" s="6">
        <f>IFERROR(__xludf.DUMMYFUNCTION("""COMPUTED_VALUE"""),2.0)</f>
        <v>2</v>
      </c>
      <c r="F1194" s="6">
        <f>IFERROR(__xludf.DUMMYFUNCTION("""COMPUTED_VALUE"""),4.0)</f>
        <v>4</v>
      </c>
      <c r="G1194" s="6">
        <f>IFERROR(__xludf.DUMMYFUNCTION("""COMPUTED_VALUE"""),8.0)</f>
        <v>8</v>
      </c>
    </row>
    <row r="1195">
      <c r="A1195" s="6">
        <f>IFERROR(__xludf.DUMMYFUNCTION("""COMPUTED_VALUE"""),2018.0)</f>
        <v>2018</v>
      </c>
      <c r="B1195" s="6" t="str">
        <f>IFERROR(__xludf.DUMMYFUNCTION("""COMPUTED_VALUE"""),"Agosto")</f>
        <v>Agosto</v>
      </c>
      <c r="C1195" s="6" t="str">
        <f>IFERROR(__xludf.DUMMYFUNCTION("""COMPUTED_VALUE"""),"HOMICÍDIO CULPOSO")</f>
        <v>HOMICÍDIO CULPOSO</v>
      </c>
      <c r="D1195" s="6">
        <f>IFERROR(__xludf.DUMMYFUNCTION("""COMPUTED_VALUE"""),0.0)</f>
        <v>0</v>
      </c>
      <c r="E1195" s="6">
        <f>IFERROR(__xludf.DUMMYFUNCTION("""COMPUTED_VALUE"""),0.0)</f>
        <v>0</v>
      </c>
      <c r="F1195" s="6">
        <f>IFERROR(__xludf.DUMMYFUNCTION("""COMPUTED_VALUE"""),0.0)</f>
        <v>0</v>
      </c>
      <c r="G1195" s="6">
        <f>IFERROR(__xludf.DUMMYFUNCTION("""COMPUTED_VALUE"""),0.0)</f>
        <v>0</v>
      </c>
    </row>
    <row r="1196">
      <c r="A1196" s="6">
        <f>IFERROR(__xludf.DUMMYFUNCTION("""COMPUTED_VALUE"""),2018.0)</f>
        <v>2018</v>
      </c>
      <c r="B1196" s="6" t="str">
        <f>IFERROR(__xludf.DUMMYFUNCTION("""COMPUTED_VALUE"""),"Agosto")</f>
        <v>Agosto</v>
      </c>
      <c r="C1196" s="6" t="str">
        <f>IFERROR(__xludf.DUMMYFUNCTION("""COMPUTED_VALUE"""),"TENTATIVA DE HOMICÍDIO")</f>
        <v>TENTATIVA DE HOMICÍDIO</v>
      </c>
      <c r="D1196" s="6">
        <f>IFERROR(__xludf.DUMMYFUNCTION("""COMPUTED_VALUE"""),2.0)</f>
        <v>2</v>
      </c>
      <c r="E1196" s="6">
        <f>IFERROR(__xludf.DUMMYFUNCTION("""COMPUTED_VALUE"""),3.0)</f>
        <v>3</v>
      </c>
      <c r="F1196" s="6">
        <f>IFERROR(__xludf.DUMMYFUNCTION("""COMPUTED_VALUE"""),12.0)</f>
        <v>12</v>
      </c>
      <c r="G1196" s="6">
        <f>IFERROR(__xludf.DUMMYFUNCTION("""COMPUTED_VALUE"""),17.0)</f>
        <v>17</v>
      </c>
    </row>
    <row r="1197">
      <c r="A1197" s="6">
        <f>IFERROR(__xludf.DUMMYFUNCTION("""COMPUTED_VALUE"""),2018.0)</f>
        <v>2018</v>
      </c>
      <c r="B1197" s="6" t="str">
        <f>IFERROR(__xludf.DUMMYFUNCTION("""COMPUTED_VALUE"""),"Agosto")</f>
        <v>Agosto</v>
      </c>
      <c r="C1197" s="6" t="str">
        <f>IFERROR(__xludf.DUMMYFUNCTION("""COMPUTED_VALUE"""),"LESÃO CORPORAL DOLOSA")</f>
        <v>LESÃO CORPORAL DOLOSA</v>
      </c>
      <c r="D1197" s="6">
        <f>IFERROR(__xludf.DUMMYFUNCTION("""COMPUTED_VALUE"""),913.0)</f>
        <v>913</v>
      </c>
      <c r="E1197" s="6">
        <f>IFERROR(__xludf.DUMMYFUNCTION("""COMPUTED_VALUE"""),805.0)</f>
        <v>805</v>
      </c>
      <c r="F1197" s="6">
        <f>IFERROR(__xludf.DUMMYFUNCTION("""COMPUTED_VALUE"""),2914.0)</f>
        <v>2914</v>
      </c>
      <c r="G1197" s="6">
        <f>IFERROR(__xludf.DUMMYFUNCTION("""COMPUTED_VALUE"""),4632.0)</f>
        <v>4632</v>
      </c>
    </row>
    <row r="1198">
      <c r="A1198" s="6">
        <f>IFERROR(__xludf.DUMMYFUNCTION("""COMPUTED_VALUE"""),2018.0)</f>
        <v>2018</v>
      </c>
      <c r="B1198" s="6" t="str">
        <f>IFERROR(__xludf.DUMMYFUNCTION("""COMPUTED_VALUE"""),"Agosto")</f>
        <v>Agosto</v>
      </c>
      <c r="C1198" s="6" t="str">
        <f>IFERROR(__xludf.DUMMYFUNCTION("""COMPUTED_VALUE"""),"MAUS TRATOS")</f>
        <v>MAUS TRATOS</v>
      </c>
      <c r="D1198" s="6">
        <f>IFERROR(__xludf.DUMMYFUNCTION("""COMPUTED_VALUE"""),3.0)</f>
        <v>3</v>
      </c>
      <c r="E1198" s="6">
        <f>IFERROR(__xludf.DUMMYFUNCTION("""COMPUTED_VALUE"""),2.0)</f>
        <v>2</v>
      </c>
      <c r="F1198" s="6">
        <f>IFERROR(__xludf.DUMMYFUNCTION("""COMPUTED_VALUE"""),17.0)</f>
        <v>17</v>
      </c>
      <c r="G1198" s="6">
        <f>IFERROR(__xludf.DUMMYFUNCTION("""COMPUTED_VALUE"""),22.0)</f>
        <v>22</v>
      </c>
    </row>
    <row r="1199">
      <c r="A1199" s="6">
        <f>IFERROR(__xludf.DUMMYFUNCTION("""COMPUTED_VALUE"""),2018.0)</f>
        <v>2018</v>
      </c>
      <c r="B1199" s="6" t="str">
        <f>IFERROR(__xludf.DUMMYFUNCTION("""COMPUTED_VALUE"""),"Agosto")</f>
        <v>Agosto</v>
      </c>
      <c r="C1199" s="6" t="str">
        <f>IFERROR(__xludf.DUMMYFUNCTION("""COMPUTED_VALUE"""),"CALÚNIA - DIFAMAÇÃO - INJÚRIA")</f>
        <v>CALÚNIA - DIFAMAÇÃO - INJÚRIA</v>
      </c>
      <c r="D1199" s="6">
        <f>IFERROR(__xludf.DUMMYFUNCTION("""COMPUTED_VALUE"""),191.0)</f>
        <v>191</v>
      </c>
      <c r="E1199" s="6">
        <f>IFERROR(__xludf.DUMMYFUNCTION("""COMPUTED_VALUE"""),168.0)</f>
        <v>168</v>
      </c>
      <c r="F1199" s="6">
        <f>IFERROR(__xludf.DUMMYFUNCTION("""COMPUTED_VALUE"""),702.0)</f>
        <v>702</v>
      </c>
      <c r="G1199" s="6">
        <f>IFERROR(__xludf.DUMMYFUNCTION("""COMPUTED_VALUE"""),1061.0)</f>
        <v>1061</v>
      </c>
    </row>
    <row r="1200">
      <c r="A1200" s="6">
        <f>IFERROR(__xludf.DUMMYFUNCTION("""COMPUTED_VALUE"""),2018.0)</f>
        <v>2018</v>
      </c>
      <c r="B1200" s="6" t="str">
        <f>IFERROR(__xludf.DUMMYFUNCTION("""COMPUTED_VALUE"""),"Agosto")</f>
        <v>Agosto</v>
      </c>
      <c r="C1200" s="6" t="str">
        <f>IFERROR(__xludf.DUMMYFUNCTION("""COMPUTED_VALUE"""),"CONSTRANGIMENTO ILEGAL")</f>
        <v>CONSTRANGIMENTO ILEGAL</v>
      </c>
      <c r="D1200" s="6">
        <f>IFERROR(__xludf.DUMMYFUNCTION("""COMPUTED_VALUE"""),1.0)</f>
        <v>1</v>
      </c>
      <c r="E1200" s="6">
        <f>IFERROR(__xludf.DUMMYFUNCTION("""COMPUTED_VALUE"""),0.0)</f>
        <v>0</v>
      </c>
      <c r="F1200" s="6">
        <f>IFERROR(__xludf.DUMMYFUNCTION("""COMPUTED_VALUE"""),6.0)</f>
        <v>6</v>
      </c>
      <c r="G1200" s="6">
        <f>IFERROR(__xludf.DUMMYFUNCTION("""COMPUTED_VALUE"""),7.0)</f>
        <v>7</v>
      </c>
    </row>
    <row r="1201">
      <c r="A1201" s="6">
        <f>IFERROR(__xludf.DUMMYFUNCTION("""COMPUTED_VALUE"""),2018.0)</f>
        <v>2018</v>
      </c>
      <c r="B1201" s="6" t="str">
        <f>IFERROR(__xludf.DUMMYFUNCTION("""COMPUTED_VALUE"""),"Agosto")</f>
        <v>Agosto</v>
      </c>
      <c r="C1201" s="6" t="str">
        <f>IFERROR(__xludf.DUMMYFUNCTION("""COMPUTED_VALUE"""),"AMEAÇA")</f>
        <v>AMEAÇA</v>
      </c>
      <c r="D1201" s="6">
        <f>IFERROR(__xludf.DUMMYFUNCTION("""COMPUTED_VALUE"""),884.0)</f>
        <v>884</v>
      </c>
      <c r="E1201" s="6">
        <f>IFERROR(__xludf.DUMMYFUNCTION("""COMPUTED_VALUE"""),812.0)</f>
        <v>812</v>
      </c>
      <c r="F1201" s="6">
        <f>IFERROR(__xludf.DUMMYFUNCTION("""COMPUTED_VALUE"""),3012.0)</f>
        <v>3012</v>
      </c>
      <c r="G1201" s="6">
        <f>IFERROR(__xludf.DUMMYFUNCTION("""COMPUTED_VALUE"""),4708.0)</f>
        <v>4708</v>
      </c>
    </row>
    <row r="1202">
      <c r="A1202" s="6">
        <f>IFERROR(__xludf.DUMMYFUNCTION("""COMPUTED_VALUE"""),2018.0)</f>
        <v>2018</v>
      </c>
      <c r="B1202" s="6" t="str">
        <f>IFERROR(__xludf.DUMMYFUNCTION("""COMPUTED_VALUE"""),"Agosto")</f>
        <v>Agosto</v>
      </c>
      <c r="C1202" s="6" t="str">
        <f>IFERROR(__xludf.DUMMYFUNCTION("""COMPUTED_VALUE"""),"INVASÃO DE DOMICÍLIO")</f>
        <v>INVASÃO DE DOMICÍLIO</v>
      </c>
      <c r="D1202" s="6">
        <f>IFERROR(__xludf.DUMMYFUNCTION("""COMPUTED_VALUE"""),1.0)</f>
        <v>1</v>
      </c>
      <c r="E1202" s="6">
        <f>IFERROR(__xludf.DUMMYFUNCTION("""COMPUTED_VALUE"""),2.0)</f>
        <v>2</v>
      </c>
      <c r="F1202" s="6">
        <f>IFERROR(__xludf.DUMMYFUNCTION("""COMPUTED_VALUE"""),13.0)</f>
        <v>13</v>
      </c>
      <c r="G1202" s="6">
        <f>IFERROR(__xludf.DUMMYFUNCTION("""COMPUTED_VALUE"""),16.0)</f>
        <v>16</v>
      </c>
    </row>
    <row r="1203">
      <c r="A1203" s="6">
        <f>IFERROR(__xludf.DUMMYFUNCTION("""COMPUTED_VALUE"""),2018.0)</f>
        <v>2018</v>
      </c>
      <c r="B1203" s="6" t="str">
        <f>IFERROR(__xludf.DUMMYFUNCTION("""COMPUTED_VALUE"""),"Agosto")</f>
        <v>Agosto</v>
      </c>
      <c r="C1203" s="6" t="str">
        <f>IFERROR(__xludf.DUMMYFUNCTION("""COMPUTED_VALUE"""),"DANO")</f>
        <v>DANO</v>
      </c>
      <c r="D1203" s="6">
        <f>IFERROR(__xludf.DUMMYFUNCTION("""COMPUTED_VALUE"""),11.0)</f>
        <v>11</v>
      </c>
      <c r="E1203" s="6">
        <f>IFERROR(__xludf.DUMMYFUNCTION("""COMPUTED_VALUE"""),10.0)</f>
        <v>10</v>
      </c>
      <c r="F1203" s="6">
        <f>IFERROR(__xludf.DUMMYFUNCTION("""COMPUTED_VALUE"""),56.0)</f>
        <v>56</v>
      </c>
      <c r="G1203" s="6">
        <f>IFERROR(__xludf.DUMMYFUNCTION("""COMPUTED_VALUE"""),77.0)</f>
        <v>77</v>
      </c>
    </row>
    <row r="1204">
      <c r="A1204" s="6">
        <f>IFERROR(__xludf.DUMMYFUNCTION("""COMPUTED_VALUE"""),2018.0)</f>
        <v>2018</v>
      </c>
      <c r="B1204" s="6" t="str">
        <f>IFERROR(__xludf.DUMMYFUNCTION("""COMPUTED_VALUE"""),"Agosto")</f>
        <v>Agosto</v>
      </c>
      <c r="C1204" s="6" t="str">
        <f>IFERROR(__xludf.DUMMYFUNCTION("""COMPUTED_VALUE"""),"ESTUPRO CONSUMADO")</f>
        <v>ESTUPRO CONSUMADO</v>
      </c>
      <c r="D1204" s="6">
        <f>IFERROR(__xludf.DUMMYFUNCTION("""COMPUTED_VALUE"""),10.0)</f>
        <v>10</v>
      </c>
      <c r="E1204" s="6">
        <f>IFERROR(__xludf.DUMMYFUNCTION("""COMPUTED_VALUE"""),7.0)</f>
        <v>7</v>
      </c>
      <c r="F1204" s="6">
        <f>IFERROR(__xludf.DUMMYFUNCTION("""COMPUTED_VALUE"""),18.0)</f>
        <v>18</v>
      </c>
      <c r="G1204" s="6">
        <f>IFERROR(__xludf.DUMMYFUNCTION("""COMPUTED_VALUE"""),35.0)</f>
        <v>35</v>
      </c>
    </row>
    <row r="1205">
      <c r="A1205" s="6">
        <f>IFERROR(__xludf.DUMMYFUNCTION("""COMPUTED_VALUE"""),2018.0)</f>
        <v>2018</v>
      </c>
      <c r="B1205" s="6" t="str">
        <f>IFERROR(__xludf.DUMMYFUNCTION("""COMPUTED_VALUE"""),"Agosto")</f>
        <v>Agosto</v>
      </c>
      <c r="C1205" s="6" t="str">
        <f>IFERROR(__xludf.DUMMYFUNCTION("""COMPUTED_VALUE"""),"ESTUPRO TENTADO")</f>
        <v>ESTUPRO TENTADO</v>
      </c>
      <c r="D1205" s="6">
        <f>IFERROR(__xludf.DUMMYFUNCTION("""COMPUTED_VALUE"""),0.0)</f>
        <v>0</v>
      </c>
      <c r="E1205" s="6">
        <f>IFERROR(__xludf.DUMMYFUNCTION("""COMPUTED_VALUE"""),0.0)</f>
        <v>0</v>
      </c>
      <c r="F1205" s="6">
        <f>IFERROR(__xludf.DUMMYFUNCTION("""COMPUTED_VALUE"""),1.0)</f>
        <v>1</v>
      </c>
      <c r="G1205" s="6">
        <f>IFERROR(__xludf.DUMMYFUNCTION("""COMPUTED_VALUE"""),1.0)</f>
        <v>1</v>
      </c>
    </row>
    <row r="1206">
      <c r="A1206" s="6">
        <f>IFERROR(__xludf.DUMMYFUNCTION("""COMPUTED_VALUE"""),2018.0)</f>
        <v>2018</v>
      </c>
      <c r="B1206" s="6" t="str">
        <f>IFERROR(__xludf.DUMMYFUNCTION("""COMPUTED_VALUE"""),"Agosto")</f>
        <v>Agosto</v>
      </c>
      <c r="C1206" s="6" t="str">
        <f>IFERROR(__xludf.DUMMYFUNCTION("""COMPUTED_VALUE"""),"ESTUPRO DE VULNERÁVEL CONSUMADO")</f>
        <v>ESTUPRO DE VULNERÁVEL CONSUMADO</v>
      </c>
      <c r="D1206" s="6">
        <f>IFERROR(__xludf.DUMMYFUNCTION("""COMPUTED_VALUE"""),3.0)</f>
        <v>3</v>
      </c>
      <c r="E1206" s="6">
        <f>IFERROR(__xludf.DUMMYFUNCTION("""COMPUTED_VALUE"""),4.0)</f>
        <v>4</v>
      </c>
      <c r="F1206" s="6">
        <f>IFERROR(__xludf.DUMMYFUNCTION("""COMPUTED_VALUE"""),18.0)</f>
        <v>18</v>
      </c>
      <c r="G1206" s="6">
        <f>IFERROR(__xludf.DUMMYFUNCTION("""COMPUTED_VALUE"""),25.0)</f>
        <v>25</v>
      </c>
    </row>
    <row r="1207">
      <c r="A1207" s="6">
        <f>IFERROR(__xludf.DUMMYFUNCTION("""COMPUTED_VALUE"""),2018.0)</f>
        <v>2018</v>
      </c>
      <c r="B1207" s="6" t="str">
        <f>IFERROR(__xludf.DUMMYFUNCTION("""COMPUTED_VALUE"""),"Agosto")</f>
        <v>Agosto</v>
      </c>
      <c r="C1207" s="6" t="str">
        <f>IFERROR(__xludf.DUMMYFUNCTION("""COMPUTED_VALUE"""),"OUTROS C/C/ DIGNIDADE SEXUAL")</f>
        <v>OUTROS C/C/ DIGNIDADE SEXUAL</v>
      </c>
      <c r="D1207" s="6">
        <f>IFERROR(__xludf.DUMMYFUNCTION("""COMPUTED_VALUE"""),0.0)</f>
        <v>0</v>
      </c>
      <c r="E1207" s="6">
        <f>IFERROR(__xludf.DUMMYFUNCTION("""COMPUTED_VALUE"""),0.0)</f>
        <v>0</v>
      </c>
      <c r="F1207" s="6">
        <f>IFERROR(__xludf.DUMMYFUNCTION("""COMPUTED_VALUE"""),2.0)</f>
        <v>2</v>
      </c>
      <c r="G1207" s="6">
        <f>IFERROR(__xludf.DUMMYFUNCTION("""COMPUTED_VALUE"""),2.0)</f>
        <v>2</v>
      </c>
    </row>
    <row r="1208">
      <c r="A1208" s="6">
        <f>IFERROR(__xludf.DUMMYFUNCTION("""COMPUTED_VALUE"""),2018.0)</f>
        <v>2018</v>
      </c>
      <c r="B1208" s="6" t="str">
        <f>IFERROR(__xludf.DUMMYFUNCTION("""COMPUTED_VALUE"""),"Setembro")</f>
        <v>Setembro</v>
      </c>
      <c r="C1208" s="6" t="str">
        <f>IFERROR(__xludf.DUMMYFUNCTION("""COMPUTED_VALUE"""),"HOMICÍDIO DOLOSO (exclui FEMINICÍDIO)")</f>
        <v>HOMICÍDIO DOLOSO (exclui FEMINICÍDIO)</v>
      </c>
      <c r="D1208" s="6">
        <f>IFERROR(__xludf.DUMMYFUNCTION("""COMPUTED_VALUE"""),1.0)</f>
        <v>1</v>
      </c>
      <c r="E1208" s="6">
        <f>IFERROR(__xludf.DUMMYFUNCTION("""COMPUTED_VALUE"""),1.0)</f>
        <v>1</v>
      </c>
      <c r="F1208" s="6">
        <f>IFERROR(__xludf.DUMMYFUNCTION("""COMPUTED_VALUE"""),2.0)</f>
        <v>2</v>
      </c>
      <c r="G1208" s="6">
        <f>IFERROR(__xludf.DUMMYFUNCTION("""COMPUTED_VALUE"""),4.0)</f>
        <v>4</v>
      </c>
    </row>
    <row r="1209">
      <c r="A1209" s="6">
        <f>IFERROR(__xludf.DUMMYFUNCTION("""COMPUTED_VALUE"""),2018.0)</f>
        <v>2018</v>
      </c>
      <c r="B1209" s="6" t="str">
        <f>IFERROR(__xludf.DUMMYFUNCTION("""COMPUTED_VALUE"""),"Setembro")</f>
        <v>Setembro</v>
      </c>
      <c r="C1209" s="6" t="str">
        <f>IFERROR(__xludf.DUMMYFUNCTION("""COMPUTED_VALUE"""),"FEMINICÍDIO")</f>
        <v>FEMINICÍDIO</v>
      </c>
      <c r="D1209" s="6">
        <f>IFERROR(__xludf.DUMMYFUNCTION("""COMPUTED_VALUE"""),1.0)</f>
        <v>1</v>
      </c>
      <c r="E1209" s="6">
        <f>IFERROR(__xludf.DUMMYFUNCTION("""COMPUTED_VALUE"""),2.0)</f>
        <v>2</v>
      </c>
      <c r="F1209" s="6">
        <f>IFERROR(__xludf.DUMMYFUNCTION("""COMPUTED_VALUE"""),2.0)</f>
        <v>2</v>
      </c>
      <c r="G1209" s="6">
        <f>IFERROR(__xludf.DUMMYFUNCTION("""COMPUTED_VALUE"""),5.0)</f>
        <v>5</v>
      </c>
    </row>
    <row r="1210">
      <c r="A1210" s="6">
        <f>IFERROR(__xludf.DUMMYFUNCTION("""COMPUTED_VALUE"""),2018.0)</f>
        <v>2018</v>
      </c>
      <c r="B1210" s="6" t="str">
        <f>IFERROR(__xludf.DUMMYFUNCTION("""COMPUTED_VALUE"""),"Setembro")</f>
        <v>Setembro</v>
      </c>
      <c r="C1210" s="6" t="str">
        <f>IFERROR(__xludf.DUMMYFUNCTION("""COMPUTED_VALUE"""),"HOMICÍDIO CULPOSO")</f>
        <v>HOMICÍDIO CULPOSO</v>
      </c>
      <c r="D1210" s="6">
        <f>IFERROR(__xludf.DUMMYFUNCTION("""COMPUTED_VALUE"""),0.0)</f>
        <v>0</v>
      </c>
      <c r="E1210" s="6">
        <f>IFERROR(__xludf.DUMMYFUNCTION("""COMPUTED_VALUE"""),0.0)</f>
        <v>0</v>
      </c>
      <c r="F1210" s="6">
        <f>IFERROR(__xludf.DUMMYFUNCTION("""COMPUTED_VALUE"""),0.0)</f>
        <v>0</v>
      </c>
      <c r="G1210" s="6">
        <f>IFERROR(__xludf.DUMMYFUNCTION("""COMPUTED_VALUE"""),0.0)</f>
        <v>0</v>
      </c>
    </row>
    <row r="1211">
      <c r="A1211" s="6">
        <f>IFERROR(__xludf.DUMMYFUNCTION("""COMPUTED_VALUE"""),2018.0)</f>
        <v>2018</v>
      </c>
      <c r="B1211" s="6" t="str">
        <f>IFERROR(__xludf.DUMMYFUNCTION("""COMPUTED_VALUE"""),"Setembro")</f>
        <v>Setembro</v>
      </c>
      <c r="C1211" s="6" t="str">
        <f>IFERROR(__xludf.DUMMYFUNCTION("""COMPUTED_VALUE"""),"TENTATIVA DE HOMICÍDIO")</f>
        <v>TENTATIVA DE HOMICÍDIO</v>
      </c>
      <c r="D1211" s="6">
        <f>IFERROR(__xludf.DUMMYFUNCTION("""COMPUTED_VALUE"""),2.0)</f>
        <v>2</v>
      </c>
      <c r="E1211" s="6">
        <f>IFERROR(__xludf.DUMMYFUNCTION("""COMPUTED_VALUE"""),2.0)</f>
        <v>2</v>
      </c>
      <c r="F1211" s="6">
        <f>IFERROR(__xludf.DUMMYFUNCTION("""COMPUTED_VALUE"""),12.0)</f>
        <v>12</v>
      </c>
      <c r="G1211" s="6">
        <f>IFERROR(__xludf.DUMMYFUNCTION("""COMPUTED_VALUE"""),16.0)</f>
        <v>16</v>
      </c>
    </row>
    <row r="1212">
      <c r="A1212" s="6">
        <f>IFERROR(__xludf.DUMMYFUNCTION("""COMPUTED_VALUE"""),2018.0)</f>
        <v>2018</v>
      </c>
      <c r="B1212" s="6" t="str">
        <f>IFERROR(__xludf.DUMMYFUNCTION("""COMPUTED_VALUE"""),"Setembro")</f>
        <v>Setembro</v>
      </c>
      <c r="C1212" s="6" t="str">
        <f>IFERROR(__xludf.DUMMYFUNCTION("""COMPUTED_VALUE"""),"LESÃO CORPORAL DOLOSA")</f>
        <v>LESÃO CORPORAL DOLOSA</v>
      </c>
      <c r="D1212" s="6">
        <f>IFERROR(__xludf.DUMMYFUNCTION("""COMPUTED_VALUE"""),948.0)</f>
        <v>948</v>
      </c>
      <c r="E1212" s="6">
        <f>IFERROR(__xludf.DUMMYFUNCTION("""COMPUTED_VALUE"""),812.0)</f>
        <v>812</v>
      </c>
      <c r="F1212" s="6">
        <f>IFERROR(__xludf.DUMMYFUNCTION("""COMPUTED_VALUE"""),2914.0)</f>
        <v>2914</v>
      </c>
      <c r="G1212" s="6">
        <f>IFERROR(__xludf.DUMMYFUNCTION("""COMPUTED_VALUE"""),4674.0)</f>
        <v>4674</v>
      </c>
    </row>
    <row r="1213">
      <c r="A1213" s="6">
        <f>IFERROR(__xludf.DUMMYFUNCTION("""COMPUTED_VALUE"""),2018.0)</f>
        <v>2018</v>
      </c>
      <c r="B1213" s="6" t="str">
        <f>IFERROR(__xludf.DUMMYFUNCTION("""COMPUTED_VALUE"""),"Setembro")</f>
        <v>Setembro</v>
      </c>
      <c r="C1213" s="6" t="str">
        <f>IFERROR(__xludf.DUMMYFUNCTION("""COMPUTED_VALUE"""),"MAUS TRATOS")</f>
        <v>MAUS TRATOS</v>
      </c>
      <c r="D1213" s="6">
        <f>IFERROR(__xludf.DUMMYFUNCTION("""COMPUTED_VALUE"""),3.0)</f>
        <v>3</v>
      </c>
      <c r="E1213" s="6">
        <f>IFERROR(__xludf.DUMMYFUNCTION("""COMPUTED_VALUE"""),2.0)</f>
        <v>2</v>
      </c>
      <c r="F1213" s="6">
        <f>IFERROR(__xludf.DUMMYFUNCTION("""COMPUTED_VALUE"""),16.0)</f>
        <v>16</v>
      </c>
      <c r="G1213" s="6">
        <f>IFERROR(__xludf.DUMMYFUNCTION("""COMPUTED_VALUE"""),21.0)</f>
        <v>21</v>
      </c>
    </row>
    <row r="1214">
      <c r="A1214" s="6">
        <f>IFERROR(__xludf.DUMMYFUNCTION("""COMPUTED_VALUE"""),2018.0)</f>
        <v>2018</v>
      </c>
      <c r="B1214" s="6" t="str">
        <f>IFERROR(__xludf.DUMMYFUNCTION("""COMPUTED_VALUE"""),"Setembro")</f>
        <v>Setembro</v>
      </c>
      <c r="C1214" s="6" t="str">
        <f>IFERROR(__xludf.DUMMYFUNCTION("""COMPUTED_VALUE"""),"CALÚNIA - DIFAMAÇÃO - INJÚRIA")</f>
        <v>CALÚNIA - DIFAMAÇÃO - INJÚRIA</v>
      </c>
      <c r="D1214" s="6">
        <f>IFERROR(__xludf.DUMMYFUNCTION("""COMPUTED_VALUE"""),187.0)</f>
        <v>187</v>
      </c>
      <c r="E1214" s="6">
        <f>IFERROR(__xludf.DUMMYFUNCTION("""COMPUTED_VALUE"""),159.0)</f>
        <v>159</v>
      </c>
      <c r="F1214" s="6">
        <f>IFERROR(__xludf.DUMMYFUNCTION("""COMPUTED_VALUE"""),694.0)</f>
        <v>694</v>
      </c>
      <c r="G1214" s="6">
        <f>IFERROR(__xludf.DUMMYFUNCTION("""COMPUTED_VALUE"""),1040.0)</f>
        <v>1040</v>
      </c>
    </row>
    <row r="1215">
      <c r="A1215" s="6">
        <f>IFERROR(__xludf.DUMMYFUNCTION("""COMPUTED_VALUE"""),2018.0)</f>
        <v>2018</v>
      </c>
      <c r="B1215" s="6" t="str">
        <f>IFERROR(__xludf.DUMMYFUNCTION("""COMPUTED_VALUE"""),"Setembro")</f>
        <v>Setembro</v>
      </c>
      <c r="C1215" s="6" t="str">
        <f>IFERROR(__xludf.DUMMYFUNCTION("""COMPUTED_VALUE"""),"CONSTRANGIMENTO ILEGAL")</f>
        <v>CONSTRANGIMENTO ILEGAL</v>
      </c>
      <c r="D1215" s="6">
        <f>IFERROR(__xludf.DUMMYFUNCTION("""COMPUTED_VALUE"""),1.0)</f>
        <v>1</v>
      </c>
      <c r="E1215" s="6">
        <f>IFERROR(__xludf.DUMMYFUNCTION("""COMPUTED_VALUE"""),0.0)</f>
        <v>0</v>
      </c>
      <c r="F1215" s="6">
        <f>IFERROR(__xludf.DUMMYFUNCTION("""COMPUTED_VALUE"""),6.0)</f>
        <v>6</v>
      </c>
      <c r="G1215" s="6">
        <f>IFERROR(__xludf.DUMMYFUNCTION("""COMPUTED_VALUE"""),7.0)</f>
        <v>7</v>
      </c>
    </row>
    <row r="1216">
      <c r="A1216" s="6">
        <f>IFERROR(__xludf.DUMMYFUNCTION("""COMPUTED_VALUE"""),2018.0)</f>
        <v>2018</v>
      </c>
      <c r="B1216" s="6" t="str">
        <f>IFERROR(__xludf.DUMMYFUNCTION("""COMPUTED_VALUE"""),"Setembro")</f>
        <v>Setembro</v>
      </c>
      <c r="C1216" s="6" t="str">
        <f>IFERROR(__xludf.DUMMYFUNCTION("""COMPUTED_VALUE"""),"AMEAÇA")</f>
        <v>AMEAÇA</v>
      </c>
      <c r="D1216" s="6">
        <f>IFERROR(__xludf.DUMMYFUNCTION("""COMPUTED_VALUE"""),872.0)</f>
        <v>872</v>
      </c>
      <c r="E1216" s="6">
        <f>IFERROR(__xludf.DUMMYFUNCTION("""COMPUTED_VALUE"""),804.0)</f>
        <v>804</v>
      </c>
      <c r="F1216" s="6">
        <f>IFERROR(__xludf.DUMMYFUNCTION("""COMPUTED_VALUE"""),2984.0)</f>
        <v>2984</v>
      </c>
      <c r="G1216" s="6">
        <f>IFERROR(__xludf.DUMMYFUNCTION("""COMPUTED_VALUE"""),4660.0)</f>
        <v>4660</v>
      </c>
    </row>
    <row r="1217">
      <c r="A1217" s="6">
        <f>IFERROR(__xludf.DUMMYFUNCTION("""COMPUTED_VALUE"""),2018.0)</f>
        <v>2018</v>
      </c>
      <c r="B1217" s="6" t="str">
        <f>IFERROR(__xludf.DUMMYFUNCTION("""COMPUTED_VALUE"""),"Setembro")</f>
        <v>Setembro</v>
      </c>
      <c r="C1217" s="6" t="str">
        <f>IFERROR(__xludf.DUMMYFUNCTION("""COMPUTED_VALUE"""),"INVASÃO DE DOMICÍLIO")</f>
        <v>INVASÃO DE DOMICÍLIO</v>
      </c>
      <c r="D1217" s="6">
        <f>IFERROR(__xludf.DUMMYFUNCTION("""COMPUTED_VALUE"""),1.0)</f>
        <v>1</v>
      </c>
      <c r="E1217" s="6">
        <f>IFERROR(__xludf.DUMMYFUNCTION("""COMPUTED_VALUE"""),2.0)</f>
        <v>2</v>
      </c>
      <c r="F1217" s="6">
        <f>IFERROR(__xludf.DUMMYFUNCTION("""COMPUTED_VALUE"""),13.0)</f>
        <v>13</v>
      </c>
      <c r="G1217" s="6">
        <f>IFERROR(__xludf.DUMMYFUNCTION("""COMPUTED_VALUE"""),16.0)</f>
        <v>16</v>
      </c>
    </row>
    <row r="1218">
      <c r="A1218" s="6">
        <f>IFERROR(__xludf.DUMMYFUNCTION("""COMPUTED_VALUE"""),2018.0)</f>
        <v>2018</v>
      </c>
      <c r="B1218" s="6" t="str">
        <f>IFERROR(__xludf.DUMMYFUNCTION("""COMPUTED_VALUE"""),"Setembro")</f>
        <v>Setembro</v>
      </c>
      <c r="C1218" s="6" t="str">
        <f>IFERROR(__xludf.DUMMYFUNCTION("""COMPUTED_VALUE"""),"DANO")</f>
        <v>DANO</v>
      </c>
      <c r="D1218" s="6">
        <f>IFERROR(__xludf.DUMMYFUNCTION("""COMPUTED_VALUE"""),11.0)</f>
        <v>11</v>
      </c>
      <c r="E1218" s="6">
        <f>IFERROR(__xludf.DUMMYFUNCTION("""COMPUTED_VALUE"""),10.0)</f>
        <v>10</v>
      </c>
      <c r="F1218" s="6">
        <f>IFERROR(__xludf.DUMMYFUNCTION("""COMPUTED_VALUE"""),54.0)</f>
        <v>54</v>
      </c>
      <c r="G1218" s="6">
        <f>IFERROR(__xludf.DUMMYFUNCTION("""COMPUTED_VALUE"""),75.0)</f>
        <v>75</v>
      </c>
    </row>
    <row r="1219">
      <c r="A1219" s="6">
        <f>IFERROR(__xludf.DUMMYFUNCTION("""COMPUTED_VALUE"""),2018.0)</f>
        <v>2018</v>
      </c>
      <c r="B1219" s="6" t="str">
        <f>IFERROR(__xludf.DUMMYFUNCTION("""COMPUTED_VALUE"""),"Setembro")</f>
        <v>Setembro</v>
      </c>
      <c r="C1219" s="6" t="str">
        <f>IFERROR(__xludf.DUMMYFUNCTION("""COMPUTED_VALUE"""),"ESTUPRO CONSUMADO")</f>
        <v>ESTUPRO CONSUMADO</v>
      </c>
      <c r="D1219" s="6">
        <f>IFERROR(__xludf.DUMMYFUNCTION("""COMPUTED_VALUE"""),10.0)</f>
        <v>10</v>
      </c>
      <c r="E1219" s="6">
        <f>IFERROR(__xludf.DUMMYFUNCTION("""COMPUTED_VALUE"""),7.0)</f>
        <v>7</v>
      </c>
      <c r="F1219" s="6">
        <f>IFERROR(__xludf.DUMMYFUNCTION("""COMPUTED_VALUE"""),17.0)</f>
        <v>17</v>
      </c>
      <c r="G1219" s="6">
        <f>IFERROR(__xludf.DUMMYFUNCTION("""COMPUTED_VALUE"""),34.0)</f>
        <v>34</v>
      </c>
    </row>
    <row r="1220">
      <c r="A1220" s="6">
        <f>IFERROR(__xludf.DUMMYFUNCTION("""COMPUTED_VALUE"""),2018.0)</f>
        <v>2018</v>
      </c>
      <c r="B1220" s="6" t="str">
        <f>IFERROR(__xludf.DUMMYFUNCTION("""COMPUTED_VALUE"""),"Setembro")</f>
        <v>Setembro</v>
      </c>
      <c r="C1220" s="6" t="str">
        <f>IFERROR(__xludf.DUMMYFUNCTION("""COMPUTED_VALUE"""),"ESTUPRO TENTADO")</f>
        <v>ESTUPRO TENTADO</v>
      </c>
      <c r="D1220" s="6">
        <f>IFERROR(__xludf.DUMMYFUNCTION("""COMPUTED_VALUE"""),0.0)</f>
        <v>0</v>
      </c>
      <c r="E1220" s="6">
        <f>IFERROR(__xludf.DUMMYFUNCTION("""COMPUTED_VALUE"""),0.0)</f>
        <v>0</v>
      </c>
      <c r="F1220" s="6">
        <f>IFERROR(__xludf.DUMMYFUNCTION("""COMPUTED_VALUE"""),1.0)</f>
        <v>1</v>
      </c>
      <c r="G1220" s="6">
        <f>IFERROR(__xludf.DUMMYFUNCTION("""COMPUTED_VALUE"""),1.0)</f>
        <v>1</v>
      </c>
    </row>
    <row r="1221">
      <c r="A1221" s="6">
        <f>IFERROR(__xludf.DUMMYFUNCTION("""COMPUTED_VALUE"""),2018.0)</f>
        <v>2018</v>
      </c>
      <c r="B1221" s="6" t="str">
        <f>IFERROR(__xludf.DUMMYFUNCTION("""COMPUTED_VALUE"""),"Setembro")</f>
        <v>Setembro</v>
      </c>
      <c r="C1221" s="6" t="str">
        <f>IFERROR(__xludf.DUMMYFUNCTION("""COMPUTED_VALUE"""),"ESTUPRO DE VULNERÁVEL CONSUMADO")</f>
        <v>ESTUPRO DE VULNERÁVEL CONSUMADO</v>
      </c>
      <c r="D1221" s="6">
        <f>IFERROR(__xludf.DUMMYFUNCTION("""COMPUTED_VALUE"""),3.0)</f>
        <v>3</v>
      </c>
      <c r="E1221" s="6">
        <f>IFERROR(__xludf.DUMMYFUNCTION("""COMPUTED_VALUE"""),4.0)</f>
        <v>4</v>
      </c>
      <c r="F1221" s="6">
        <f>IFERROR(__xludf.DUMMYFUNCTION("""COMPUTED_VALUE"""),17.0)</f>
        <v>17</v>
      </c>
      <c r="G1221" s="6">
        <f>IFERROR(__xludf.DUMMYFUNCTION("""COMPUTED_VALUE"""),24.0)</f>
        <v>24</v>
      </c>
    </row>
    <row r="1222">
      <c r="A1222" s="6">
        <f>IFERROR(__xludf.DUMMYFUNCTION("""COMPUTED_VALUE"""),2018.0)</f>
        <v>2018</v>
      </c>
      <c r="B1222" s="6" t="str">
        <f>IFERROR(__xludf.DUMMYFUNCTION("""COMPUTED_VALUE"""),"Setembro")</f>
        <v>Setembro</v>
      </c>
      <c r="C1222" s="6" t="str">
        <f>IFERROR(__xludf.DUMMYFUNCTION("""COMPUTED_VALUE"""),"OUTROS C/C/ DIGNIDADE SEXUAL")</f>
        <v>OUTROS C/C/ DIGNIDADE SEXUAL</v>
      </c>
      <c r="D1222" s="6">
        <f>IFERROR(__xludf.DUMMYFUNCTION("""COMPUTED_VALUE"""),0.0)</f>
        <v>0</v>
      </c>
      <c r="E1222" s="6">
        <f>IFERROR(__xludf.DUMMYFUNCTION("""COMPUTED_VALUE"""),0.0)</f>
        <v>0</v>
      </c>
      <c r="F1222" s="6">
        <f>IFERROR(__xludf.DUMMYFUNCTION("""COMPUTED_VALUE"""),2.0)</f>
        <v>2</v>
      </c>
      <c r="G1222" s="6">
        <f>IFERROR(__xludf.DUMMYFUNCTION("""COMPUTED_VALUE"""),2.0)</f>
        <v>2</v>
      </c>
    </row>
    <row r="1223">
      <c r="A1223" s="6">
        <f>IFERROR(__xludf.DUMMYFUNCTION("""COMPUTED_VALUE"""),2018.0)</f>
        <v>2018</v>
      </c>
      <c r="B1223" s="6" t="str">
        <f>IFERROR(__xludf.DUMMYFUNCTION("""COMPUTED_VALUE"""),"Outubro")</f>
        <v>Outubro</v>
      </c>
      <c r="C1223" s="6" t="str">
        <f>IFERROR(__xludf.DUMMYFUNCTION("""COMPUTED_VALUE"""),"HOMICÍDIO DOLOSO (exclui FEMINICÍDIO)")</f>
        <v>HOMICÍDIO DOLOSO (exclui FEMINICÍDIO)</v>
      </c>
      <c r="D1223" s="6">
        <f>IFERROR(__xludf.DUMMYFUNCTION("""COMPUTED_VALUE"""),1.0)</f>
        <v>1</v>
      </c>
      <c r="E1223" s="6">
        <f>IFERROR(__xludf.DUMMYFUNCTION("""COMPUTED_VALUE"""),0.0)</f>
        <v>0</v>
      </c>
      <c r="F1223" s="6">
        <f>IFERROR(__xludf.DUMMYFUNCTION("""COMPUTED_VALUE"""),2.0)</f>
        <v>2</v>
      </c>
      <c r="G1223" s="6">
        <f>IFERROR(__xludf.DUMMYFUNCTION("""COMPUTED_VALUE"""),3.0)</f>
        <v>3</v>
      </c>
    </row>
    <row r="1224">
      <c r="A1224" s="6">
        <f>IFERROR(__xludf.DUMMYFUNCTION("""COMPUTED_VALUE"""),2018.0)</f>
        <v>2018</v>
      </c>
      <c r="B1224" s="6" t="str">
        <f>IFERROR(__xludf.DUMMYFUNCTION("""COMPUTED_VALUE"""),"Outubro")</f>
        <v>Outubro</v>
      </c>
      <c r="C1224" s="6" t="str">
        <f>IFERROR(__xludf.DUMMYFUNCTION("""COMPUTED_VALUE"""),"FEMINICÍDIO")</f>
        <v>FEMINICÍDIO</v>
      </c>
      <c r="D1224" s="6">
        <f>IFERROR(__xludf.DUMMYFUNCTION("""COMPUTED_VALUE"""),2.0)</f>
        <v>2</v>
      </c>
      <c r="E1224" s="6">
        <f>IFERROR(__xludf.DUMMYFUNCTION("""COMPUTED_VALUE"""),2.0)</f>
        <v>2</v>
      </c>
      <c r="F1224" s="6">
        <f>IFERROR(__xludf.DUMMYFUNCTION("""COMPUTED_VALUE"""),3.0)</f>
        <v>3</v>
      </c>
      <c r="G1224" s="6">
        <f>IFERROR(__xludf.DUMMYFUNCTION("""COMPUTED_VALUE"""),7.0)</f>
        <v>7</v>
      </c>
    </row>
    <row r="1225">
      <c r="A1225" s="6">
        <f>IFERROR(__xludf.DUMMYFUNCTION("""COMPUTED_VALUE"""),2018.0)</f>
        <v>2018</v>
      </c>
      <c r="B1225" s="6" t="str">
        <f>IFERROR(__xludf.DUMMYFUNCTION("""COMPUTED_VALUE"""),"Outubro")</f>
        <v>Outubro</v>
      </c>
      <c r="C1225" s="6" t="str">
        <f>IFERROR(__xludf.DUMMYFUNCTION("""COMPUTED_VALUE"""),"HOMICÍDIO CULPOSO")</f>
        <v>HOMICÍDIO CULPOSO</v>
      </c>
      <c r="D1225" s="6">
        <f>IFERROR(__xludf.DUMMYFUNCTION("""COMPUTED_VALUE"""),0.0)</f>
        <v>0</v>
      </c>
      <c r="E1225" s="6">
        <f>IFERROR(__xludf.DUMMYFUNCTION("""COMPUTED_VALUE"""),0.0)</f>
        <v>0</v>
      </c>
      <c r="F1225" s="6">
        <f>IFERROR(__xludf.DUMMYFUNCTION("""COMPUTED_VALUE"""),0.0)</f>
        <v>0</v>
      </c>
      <c r="G1225" s="6">
        <f>IFERROR(__xludf.DUMMYFUNCTION("""COMPUTED_VALUE"""),0.0)</f>
        <v>0</v>
      </c>
    </row>
    <row r="1226">
      <c r="A1226" s="6">
        <f>IFERROR(__xludf.DUMMYFUNCTION("""COMPUTED_VALUE"""),2018.0)</f>
        <v>2018</v>
      </c>
      <c r="B1226" s="6" t="str">
        <f>IFERROR(__xludf.DUMMYFUNCTION("""COMPUTED_VALUE"""),"Outubro")</f>
        <v>Outubro</v>
      </c>
      <c r="C1226" s="6" t="str">
        <f>IFERROR(__xludf.DUMMYFUNCTION("""COMPUTED_VALUE"""),"TENTATIVA DE HOMICÍDIO")</f>
        <v>TENTATIVA DE HOMICÍDIO</v>
      </c>
      <c r="D1226" s="6">
        <f>IFERROR(__xludf.DUMMYFUNCTION("""COMPUTED_VALUE"""),1.0)</f>
        <v>1</v>
      </c>
      <c r="E1226" s="6">
        <f>IFERROR(__xludf.DUMMYFUNCTION("""COMPUTED_VALUE"""),1.0)</f>
        <v>1</v>
      </c>
      <c r="F1226" s="6">
        <f>IFERROR(__xludf.DUMMYFUNCTION("""COMPUTED_VALUE"""),11.0)</f>
        <v>11</v>
      </c>
      <c r="G1226" s="6">
        <f>IFERROR(__xludf.DUMMYFUNCTION("""COMPUTED_VALUE"""),13.0)</f>
        <v>13</v>
      </c>
    </row>
    <row r="1227">
      <c r="A1227" s="6">
        <f>IFERROR(__xludf.DUMMYFUNCTION("""COMPUTED_VALUE"""),2018.0)</f>
        <v>2018</v>
      </c>
      <c r="B1227" s="6" t="str">
        <f>IFERROR(__xludf.DUMMYFUNCTION("""COMPUTED_VALUE"""),"Outubro")</f>
        <v>Outubro</v>
      </c>
      <c r="C1227" s="6" t="str">
        <f>IFERROR(__xludf.DUMMYFUNCTION("""COMPUTED_VALUE"""),"LESÃO CORPORAL DOLOSA")</f>
        <v>LESÃO CORPORAL DOLOSA</v>
      </c>
      <c r="D1227" s="6">
        <f>IFERROR(__xludf.DUMMYFUNCTION("""COMPUTED_VALUE"""),912.0)</f>
        <v>912</v>
      </c>
      <c r="E1227" s="6">
        <f>IFERROR(__xludf.DUMMYFUNCTION("""COMPUTED_VALUE"""),784.0)</f>
        <v>784</v>
      </c>
      <c r="F1227" s="6">
        <f>IFERROR(__xludf.DUMMYFUNCTION("""COMPUTED_VALUE"""),2814.0)</f>
        <v>2814</v>
      </c>
      <c r="G1227" s="6">
        <f>IFERROR(__xludf.DUMMYFUNCTION("""COMPUTED_VALUE"""),4510.0)</f>
        <v>4510</v>
      </c>
    </row>
    <row r="1228">
      <c r="A1228" s="6">
        <f>IFERROR(__xludf.DUMMYFUNCTION("""COMPUTED_VALUE"""),2018.0)</f>
        <v>2018</v>
      </c>
      <c r="B1228" s="6" t="str">
        <f>IFERROR(__xludf.DUMMYFUNCTION("""COMPUTED_VALUE"""),"Outubro")</f>
        <v>Outubro</v>
      </c>
      <c r="C1228" s="6" t="str">
        <f>IFERROR(__xludf.DUMMYFUNCTION("""COMPUTED_VALUE"""),"MAUS TRATOS")</f>
        <v>MAUS TRATOS</v>
      </c>
      <c r="D1228" s="6">
        <f>IFERROR(__xludf.DUMMYFUNCTION("""COMPUTED_VALUE"""),2.0)</f>
        <v>2</v>
      </c>
      <c r="E1228" s="6">
        <f>IFERROR(__xludf.DUMMYFUNCTION("""COMPUTED_VALUE"""),2.0)</f>
        <v>2</v>
      </c>
      <c r="F1228" s="6">
        <f>IFERROR(__xludf.DUMMYFUNCTION("""COMPUTED_VALUE"""),14.0)</f>
        <v>14</v>
      </c>
      <c r="G1228" s="6">
        <f>IFERROR(__xludf.DUMMYFUNCTION("""COMPUTED_VALUE"""),18.0)</f>
        <v>18</v>
      </c>
    </row>
    <row r="1229">
      <c r="A1229" s="6">
        <f>IFERROR(__xludf.DUMMYFUNCTION("""COMPUTED_VALUE"""),2018.0)</f>
        <v>2018</v>
      </c>
      <c r="B1229" s="6" t="str">
        <f>IFERROR(__xludf.DUMMYFUNCTION("""COMPUTED_VALUE"""),"Outubro")</f>
        <v>Outubro</v>
      </c>
      <c r="C1229" s="6" t="str">
        <f>IFERROR(__xludf.DUMMYFUNCTION("""COMPUTED_VALUE"""),"CALÚNIA - DIFAMAÇÃO - INJÚRIA")</f>
        <v>CALÚNIA - DIFAMAÇÃO - INJÚRIA</v>
      </c>
      <c r="D1229" s="6">
        <f>IFERROR(__xludf.DUMMYFUNCTION("""COMPUTED_VALUE"""),178.0)</f>
        <v>178</v>
      </c>
      <c r="E1229" s="6">
        <f>IFERROR(__xludf.DUMMYFUNCTION("""COMPUTED_VALUE"""),151.0)</f>
        <v>151</v>
      </c>
      <c r="F1229" s="6">
        <f>IFERROR(__xludf.DUMMYFUNCTION("""COMPUTED_VALUE"""),654.0)</f>
        <v>654</v>
      </c>
      <c r="G1229" s="6">
        <f>IFERROR(__xludf.DUMMYFUNCTION("""COMPUTED_VALUE"""),983.0)</f>
        <v>983</v>
      </c>
    </row>
    <row r="1230">
      <c r="A1230" s="6">
        <f>IFERROR(__xludf.DUMMYFUNCTION("""COMPUTED_VALUE"""),2018.0)</f>
        <v>2018</v>
      </c>
      <c r="B1230" s="6" t="str">
        <f>IFERROR(__xludf.DUMMYFUNCTION("""COMPUTED_VALUE"""),"Outubro")</f>
        <v>Outubro</v>
      </c>
      <c r="C1230" s="6" t="str">
        <f>IFERROR(__xludf.DUMMYFUNCTION("""COMPUTED_VALUE"""),"CONSTRANGIMENTO ILEGAL")</f>
        <v>CONSTRANGIMENTO ILEGAL</v>
      </c>
      <c r="D1230" s="6">
        <f>IFERROR(__xludf.DUMMYFUNCTION("""COMPUTED_VALUE"""),1.0)</f>
        <v>1</v>
      </c>
      <c r="E1230" s="6">
        <f>IFERROR(__xludf.DUMMYFUNCTION("""COMPUTED_VALUE"""),0.0)</f>
        <v>0</v>
      </c>
      <c r="F1230" s="6">
        <f>IFERROR(__xludf.DUMMYFUNCTION("""COMPUTED_VALUE"""),5.0)</f>
        <v>5</v>
      </c>
      <c r="G1230" s="6">
        <f>IFERROR(__xludf.DUMMYFUNCTION("""COMPUTED_VALUE"""),6.0)</f>
        <v>6</v>
      </c>
    </row>
    <row r="1231">
      <c r="A1231" s="6">
        <f>IFERROR(__xludf.DUMMYFUNCTION("""COMPUTED_VALUE"""),2018.0)</f>
        <v>2018</v>
      </c>
      <c r="B1231" s="6" t="str">
        <f>IFERROR(__xludf.DUMMYFUNCTION("""COMPUTED_VALUE"""),"Outubro")</f>
        <v>Outubro</v>
      </c>
      <c r="C1231" s="6" t="str">
        <f>IFERROR(__xludf.DUMMYFUNCTION("""COMPUTED_VALUE"""),"AMEAÇA")</f>
        <v>AMEAÇA</v>
      </c>
      <c r="D1231" s="6">
        <f>IFERROR(__xludf.DUMMYFUNCTION("""COMPUTED_VALUE"""),842.0)</f>
        <v>842</v>
      </c>
      <c r="E1231" s="6">
        <f>IFERROR(__xludf.DUMMYFUNCTION("""COMPUTED_VALUE"""),771.0)</f>
        <v>771</v>
      </c>
      <c r="F1231" s="6">
        <f>IFERROR(__xludf.DUMMYFUNCTION("""COMPUTED_VALUE"""),2884.0)</f>
        <v>2884</v>
      </c>
      <c r="G1231" s="6">
        <f>IFERROR(__xludf.DUMMYFUNCTION("""COMPUTED_VALUE"""),4497.0)</f>
        <v>4497</v>
      </c>
    </row>
    <row r="1232">
      <c r="A1232" s="6">
        <f>IFERROR(__xludf.DUMMYFUNCTION("""COMPUTED_VALUE"""),2018.0)</f>
        <v>2018</v>
      </c>
      <c r="B1232" s="6" t="str">
        <f>IFERROR(__xludf.DUMMYFUNCTION("""COMPUTED_VALUE"""),"Outubro")</f>
        <v>Outubro</v>
      </c>
      <c r="C1232" s="6" t="str">
        <f>IFERROR(__xludf.DUMMYFUNCTION("""COMPUTED_VALUE"""),"INVASÃO DE DOMICÍLIO")</f>
        <v>INVASÃO DE DOMICÍLIO</v>
      </c>
      <c r="D1232" s="6">
        <f>IFERROR(__xludf.DUMMYFUNCTION("""COMPUTED_VALUE"""),1.0)</f>
        <v>1</v>
      </c>
      <c r="E1232" s="6">
        <f>IFERROR(__xludf.DUMMYFUNCTION("""COMPUTED_VALUE"""),1.0)</f>
        <v>1</v>
      </c>
      <c r="F1232" s="6">
        <f>IFERROR(__xludf.DUMMYFUNCTION("""COMPUTED_VALUE"""),11.0)</f>
        <v>11</v>
      </c>
      <c r="G1232" s="6">
        <f>IFERROR(__xludf.DUMMYFUNCTION("""COMPUTED_VALUE"""),13.0)</f>
        <v>13</v>
      </c>
    </row>
    <row r="1233">
      <c r="A1233" s="6">
        <f>IFERROR(__xludf.DUMMYFUNCTION("""COMPUTED_VALUE"""),2018.0)</f>
        <v>2018</v>
      </c>
      <c r="B1233" s="6" t="str">
        <f>IFERROR(__xludf.DUMMYFUNCTION("""COMPUTED_VALUE"""),"Outubro")</f>
        <v>Outubro</v>
      </c>
      <c r="C1233" s="6" t="str">
        <f>IFERROR(__xludf.DUMMYFUNCTION("""COMPUTED_VALUE"""),"DANO")</f>
        <v>DANO</v>
      </c>
      <c r="D1233" s="6">
        <f>IFERROR(__xludf.DUMMYFUNCTION("""COMPUTED_VALUE"""),9.0)</f>
        <v>9</v>
      </c>
      <c r="E1233" s="6">
        <f>IFERROR(__xludf.DUMMYFUNCTION("""COMPUTED_VALUE"""),9.0)</f>
        <v>9</v>
      </c>
      <c r="F1233" s="6">
        <f>IFERROR(__xludf.DUMMYFUNCTION("""COMPUTED_VALUE"""),51.0)</f>
        <v>51</v>
      </c>
      <c r="G1233" s="6">
        <f>IFERROR(__xludf.DUMMYFUNCTION("""COMPUTED_VALUE"""),69.0)</f>
        <v>69</v>
      </c>
    </row>
    <row r="1234">
      <c r="A1234" s="6">
        <f>IFERROR(__xludf.DUMMYFUNCTION("""COMPUTED_VALUE"""),2018.0)</f>
        <v>2018</v>
      </c>
      <c r="B1234" s="6" t="str">
        <f>IFERROR(__xludf.DUMMYFUNCTION("""COMPUTED_VALUE"""),"Outubro")</f>
        <v>Outubro</v>
      </c>
      <c r="C1234" s="6" t="str">
        <f>IFERROR(__xludf.DUMMYFUNCTION("""COMPUTED_VALUE"""),"ESTUPRO CONSUMADO")</f>
        <v>ESTUPRO CONSUMADO</v>
      </c>
      <c r="D1234" s="6">
        <f>IFERROR(__xludf.DUMMYFUNCTION("""COMPUTED_VALUE"""),9.0)</f>
        <v>9</v>
      </c>
      <c r="E1234" s="6">
        <f>IFERROR(__xludf.DUMMYFUNCTION("""COMPUTED_VALUE"""),6.0)</f>
        <v>6</v>
      </c>
      <c r="F1234" s="6">
        <f>IFERROR(__xludf.DUMMYFUNCTION("""COMPUTED_VALUE"""),16.0)</f>
        <v>16</v>
      </c>
      <c r="G1234" s="6">
        <f>IFERROR(__xludf.DUMMYFUNCTION("""COMPUTED_VALUE"""),31.0)</f>
        <v>31</v>
      </c>
    </row>
    <row r="1235">
      <c r="A1235" s="6">
        <f>IFERROR(__xludf.DUMMYFUNCTION("""COMPUTED_VALUE"""),2018.0)</f>
        <v>2018</v>
      </c>
      <c r="B1235" s="6" t="str">
        <f>IFERROR(__xludf.DUMMYFUNCTION("""COMPUTED_VALUE"""),"Outubro")</f>
        <v>Outubro</v>
      </c>
      <c r="C1235" s="6" t="str">
        <f>IFERROR(__xludf.DUMMYFUNCTION("""COMPUTED_VALUE"""),"ESTUPRO TENTADO")</f>
        <v>ESTUPRO TENTADO</v>
      </c>
      <c r="D1235" s="6">
        <f>IFERROR(__xludf.DUMMYFUNCTION("""COMPUTED_VALUE"""),0.0)</f>
        <v>0</v>
      </c>
      <c r="E1235" s="6">
        <f>IFERROR(__xludf.DUMMYFUNCTION("""COMPUTED_VALUE"""),0.0)</f>
        <v>0</v>
      </c>
      <c r="F1235" s="6">
        <f>IFERROR(__xludf.DUMMYFUNCTION("""COMPUTED_VALUE"""),1.0)</f>
        <v>1</v>
      </c>
      <c r="G1235" s="6">
        <f>IFERROR(__xludf.DUMMYFUNCTION("""COMPUTED_VALUE"""),1.0)</f>
        <v>1</v>
      </c>
    </row>
    <row r="1236">
      <c r="A1236" s="6">
        <f>IFERROR(__xludf.DUMMYFUNCTION("""COMPUTED_VALUE"""),2018.0)</f>
        <v>2018</v>
      </c>
      <c r="B1236" s="6" t="str">
        <f>IFERROR(__xludf.DUMMYFUNCTION("""COMPUTED_VALUE"""),"Outubro")</f>
        <v>Outubro</v>
      </c>
      <c r="C1236" s="6" t="str">
        <f>IFERROR(__xludf.DUMMYFUNCTION("""COMPUTED_VALUE"""),"ESTUPRO DE VULNERÁVEL CONSUMADO")</f>
        <v>ESTUPRO DE VULNERÁVEL CONSUMADO</v>
      </c>
      <c r="D1236" s="6">
        <f>IFERROR(__xludf.DUMMYFUNCTION("""COMPUTED_VALUE"""),2.0)</f>
        <v>2</v>
      </c>
      <c r="E1236" s="6">
        <f>IFERROR(__xludf.DUMMYFUNCTION("""COMPUTED_VALUE"""),3.0)</f>
        <v>3</v>
      </c>
      <c r="F1236" s="6">
        <f>IFERROR(__xludf.DUMMYFUNCTION("""COMPUTED_VALUE"""),15.0)</f>
        <v>15</v>
      </c>
      <c r="G1236" s="6">
        <f>IFERROR(__xludf.DUMMYFUNCTION("""COMPUTED_VALUE"""),20.0)</f>
        <v>20</v>
      </c>
    </row>
    <row r="1237">
      <c r="A1237" s="6">
        <f>IFERROR(__xludf.DUMMYFUNCTION("""COMPUTED_VALUE"""),2018.0)</f>
        <v>2018</v>
      </c>
      <c r="B1237" s="6" t="str">
        <f>IFERROR(__xludf.DUMMYFUNCTION("""COMPUTED_VALUE"""),"Outubro")</f>
        <v>Outubro</v>
      </c>
      <c r="C1237" s="6" t="str">
        <f>IFERROR(__xludf.DUMMYFUNCTION("""COMPUTED_VALUE"""),"OUTROS C/C/ DIGNIDADE SEXUAL")</f>
        <v>OUTROS C/C/ DIGNIDADE SEXUAL</v>
      </c>
      <c r="D1237" s="6">
        <f>IFERROR(__xludf.DUMMYFUNCTION("""COMPUTED_VALUE"""),0.0)</f>
        <v>0</v>
      </c>
      <c r="E1237" s="6">
        <f>IFERROR(__xludf.DUMMYFUNCTION("""COMPUTED_VALUE"""),0.0)</f>
        <v>0</v>
      </c>
      <c r="F1237" s="6">
        <f>IFERROR(__xludf.DUMMYFUNCTION("""COMPUTED_VALUE"""),1.0)</f>
        <v>1</v>
      </c>
      <c r="G1237" s="6">
        <f>IFERROR(__xludf.DUMMYFUNCTION("""COMPUTED_VALUE"""),1.0)</f>
        <v>1</v>
      </c>
    </row>
    <row r="1238">
      <c r="A1238" s="6">
        <f>IFERROR(__xludf.DUMMYFUNCTION("""COMPUTED_VALUE"""),2018.0)</f>
        <v>2018</v>
      </c>
      <c r="B1238" s="6" t="str">
        <f>IFERROR(__xludf.DUMMYFUNCTION("""COMPUTED_VALUE"""),"Novembro")</f>
        <v>Novembro</v>
      </c>
      <c r="C1238" s="6" t="str">
        <f>IFERROR(__xludf.DUMMYFUNCTION("""COMPUTED_VALUE"""),"HOMICÍDIO DOLOSO (exclui FEMINICÍDIO)")</f>
        <v>HOMICÍDIO DOLOSO (exclui FEMINICÍDIO)</v>
      </c>
      <c r="D1238" s="6">
        <f>IFERROR(__xludf.DUMMYFUNCTION("""COMPUTED_VALUE"""),1.0)</f>
        <v>1</v>
      </c>
      <c r="E1238" s="6">
        <f>IFERROR(__xludf.DUMMYFUNCTION("""COMPUTED_VALUE"""),0.0)</f>
        <v>0</v>
      </c>
      <c r="F1238" s="6">
        <f>IFERROR(__xludf.DUMMYFUNCTION("""COMPUTED_VALUE"""),2.0)</f>
        <v>2</v>
      </c>
      <c r="G1238" s="6">
        <f>IFERROR(__xludf.DUMMYFUNCTION("""COMPUTED_VALUE"""),3.0)</f>
        <v>3</v>
      </c>
    </row>
    <row r="1239">
      <c r="A1239" s="6">
        <f>IFERROR(__xludf.DUMMYFUNCTION("""COMPUTED_VALUE"""),2018.0)</f>
        <v>2018</v>
      </c>
      <c r="B1239" s="6" t="str">
        <f>IFERROR(__xludf.DUMMYFUNCTION("""COMPUTED_VALUE"""),"Novembro")</f>
        <v>Novembro</v>
      </c>
      <c r="C1239" s="6" t="str">
        <f>IFERROR(__xludf.DUMMYFUNCTION("""COMPUTED_VALUE"""),"FEMINICÍDIO")</f>
        <v>FEMINICÍDIO</v>
      </c>
      <c r="D1239" s="6">
        <f>IFERROR(__xludf.DUMMYFUNCTION("""COMPUTED_VALUE"""),1.0)</f>
        <v>1</v>
      </c>
      <c r="E1239" s="6">
        <f>IFERROR(__xludf.DUMMYFUNCTION("""COMPUTED_VALUE"""),2.0)</f>
        <v>2</v>
      </c>
      <c r="F1239" s="6">
        <f>IFERROR(__xludf.DUMMYFUNCTION("""COMPUTED_VALUE"""),2.0)</f>
        <v>2</v>
      </c>
      <c r="G1239" s="6">
        <f>IFERROR(__xludf.DUMMYFUNCTION("""COMPUTED_VALUE"""),5.0)</f>
        <v>5</v>
      </c>
    </row>
    <row r="1240">
      <c r="A1240" s="6">
        <f>IFERROR(__xludf.DUMMYFUNCTION("""COMPUTED_VALUE"""),2018.0)</f>
        <v>2018</v>
      </c>
      <c r="B1240" s="6" t="str">
        <f>IFERROR(__xludf.DUMMYFUNCTION("""COMPUTED_VALUE"""),"Novembro")</f>
        <v>Novembro</v>
      </c>
      <c r="C1240" s="6" t="str">
        <f>IFERROR(__xludf.DUMMYFUNCTION("""COMPUTED_VALUE"""),"HOMICÍDIO CULPOSO")</f>
        <v>HOMICÍDIO CULPOSO</v>
      </c>
      <c r="D1240" s="6">
        <f>IFERROR(__xludf.DUMMYFUNCTION("""COMPUTED_VALUE"""),0.0)</f>
        <v>0</v>
      </c>
      <c r="E1240" s="6">
        <f>IFERROR(__xludf.DUMMYFUNCTION("""COMPUTED_VALUE"""),0.0)</f>
        <v>0</v>
      </c>
      <c r="F1240" s="6">
        <f>IFERROR(__xludf.DUMMYFUNCTION("""COMPUTED_VALUE"""),0.0)</f>
        <v>0</v>
      </c>
      <c r="G1240" s="6">
        <f>IFERROR(__xludf.DUMMYFUNCTION("""COMPUTED_VALUE"""),0.0)</f>
        <v>0</v>
      </c>
    </row>
    <row r="1241">
      <c r="A1241" s="6">
        <f>IFERROR(__xludf.DUMMYFUNCTION("""COMPUTED_VALUE"""),2018.0)</f>
        <v>2018</v>
      </c>
      <c r="B1241" s="6" t="str">
        <f>IFERROR(__xludf.DUMMYFUNCTION("""COMPUTED_VALUE"""),"Novembro")</f>
        <v>Novembro</v>
      </c>
      <c r="C1241" s="6" t="str">
        <f>IFERROR(__xludf.DUMMYFUNCTION("""COMPUTED_VALUE"""),"TENTATIVA DE HOMICÍDIO")</f>
        <v>TENTATIVA DE HOMICÍDIO</v>
      </c>
      <c r="D1241" s="6">
        <f>IFERROR(__xludf.DUMMYFUNCTION("""COMPUTED_VALUE"""),1.0)</f>
        <v>1</v>
      </c>
      <c r="E1241" s="6">
        <f>IFERROR(__xludf.DUMMYFUNCTION("""COMPUTED_VALUE"""),1.0)</f>
        <v>1</v>
      </c>
      <c r="F1241" s="6">
        <f>IFERROR(__xludf.DUMMYFUNCTION("""COMPUTED_VALUE"""),11.0)</f>
        <v>11</v>
      </c>
      <c r="G1241" s="6">
        <f>IFERROR(__xludf.DUMMYFUNCTION("""COMPUTED_VALUE"""),13.0)</f>
        <v>13</v>
      </c>
    </row>
    <row r="1242">
      <c r="A1242" s="6">
        <f>IFERROR(__xludf.DUMMYFUNCTION("""COMPUTED_VALUE"""),2018.0)</f>
        <v>2018</v>
      </c>
      <c r="B1242" s="6" t="str">
        <f>IFERROR(__xludf.DUMMYFUNCTION("""COMPUTED_VALUE"""),"Novembro")</f>
        <v>Novembro</v>
      </c>
      <c r="C1242" s="6" t="str">
        <f>IFERROR(__xludf.DUMMYFUNCTION("""COMPUTED_VALUE"""),"LESÃO CORPORAL DOLOSA")</f>
        <v>LESÃO CORPORAL DOLOSA</v>
      </c>
      <c r="D1242" s="6">
        <f>IFERROR(__xludf.DUMMYFUNCTION("""COMPUTED_VALUE"""),912.0)</f>
        <v>912</v>
      </c>
      <c r="E1242" s="6">
        <f>IFERROR(__xludf.DUMMYFUNCTION("""COMPUTED_VALUE"""),784.0)</f>
        <v>784</v>
      </c>
      <c r="F1242" s="6">
        <f>IFERROR(__xludf.DUMMYFUNCTION("""COMPUTED_VALUE"""),2814.0)</f>
        <v>2814</v>
      </c>
      <c r="G1242" s="6">
        <f>IFERROR(__xludf.DUMMYFUNCTION("""COMPUTED_VALUE"""),4510.0)</f>
        <v>4510</v>
      </c>
    </row>
    <row r="1243">
      <c r="A1243" s="6">
        <f>IFERROR(__xludf.DUMMYFUNCTION("""COMPUTED_VALUE"""),2018.0)</f>
        <v>2018</v>
      </c>
      <c r="B1243" s="6" t="str">
        <f>IFERROR(__xludf.DUMMYFUNCTION("""COMPUTED_VALUE"""),"Novembro")</f>
        <v>Novembro</v>
      </c>
      <c r="C1243" s="6" t="str">
        <f>IFERROR(__xludf.DUMMYFUNCTION("""COMPUTED_VALUE"""),"MAUS TRATOS")</f>
        <v>MAUS TRATOS</v>
      </c>
      <c r="D1243" s="6">
        <f>IFERROR(__xludf.DUMMYFUNCTION("""COMPUTED_VALUE"""),2.0)</f>
        <v>2</v>
      </c>
      <c r="E1243" s="6">
        <f>IFERROR(__xludf.DUMMYFUNCTION("""COMPUTED_VALUE"""),2.0)</f>
        <v>2</v>
      </c>
      <c r="F1243" s="6">
        <f>IFERROR(__xludf.DUMMYFUNCTION("""COMPUTED_VALUE"""),14.0)</f>
        <v>14</v>
      </c>
      <c r="G1243" s="6">
        <f>IFERROR(__xludf.DUMMYFUNCTION("""COMPUTED_VALUE"""),18.0)</f>
        <v>18</v>
      </c>
    </row>
    <row r="1244">
      <c r="A1244" s="6">
        <f>IFERROR(__xludf.DUMMYFUNCTION("""COMPUTED_VALUE"""),2018.0)</f>
        <v>2018</v>
      </c>
      <c r="B1244" s="6" t="str">
        <f>IFERROR(__xludf.DUMMYFUNCTION("""COMPUTED_VALUE"""),"Novembro")</f>
        <v>Novembro</v>
      </c>
      <c r="C1244" s="6" t="str">
        <f>IFERROR(__xludf.DUMMYFUNCTION("""COMPUTED_VALUE"""),"CALÚNIA - DIFAMAÇÃO - INJÚRIA")</f>
        <v>CALÚNIA - DIFAMAÇÃO - INJÚRIA</v>
      </c>
      <c r="D1244" s="6">
        <f>IFERROR(__xludf.DUMMYFUNCTION("""COMPUTED_VALUE"""),178.0)</f>
        <v>178</v>
      </c>
      <c r="E1244" s="6">
        <f>IFERROR(__xludf.DUMMYFUNCTION("""COMPUTED_VALUE"""),151.0)</f>
        <v>151</v>
      </c>
      <c r="F1244" s="6">
        <f>IFERROR(__xludf.DUMMYFUNCTION("""COMPUTED_VALUE"""),654.0)</f>
        <v>654</v>
      </c>
      <c r="G1244" s="6">
        <f>IFERROR(__xludf.DUMMYFUNCTION("""COMPUTED_VALUE"""),983.0)</f>
        <v>983</v>
      </c>
    </row>
    <row r="1245">
      <c r="A1245" s="6">
        <f>IFERROR(__xludf.DUMMYFUNCTION("""COMPUTED_VALUE"""),2018.0)</f>
        <v>2018</v>
      </c>
      <c r="B1245" s="6" t="str">
        <f>IFERROR(__xludf.DUMMYFUNCTION("""COMPUTED_VALUE"""),"Novembro")</f>
        <v>Novembro</v>
      </c>
      <c r="C1245" s="6" t="str">
        <f>IFERROR(__xludf.DUMMYFUNCTION("""COMPUTED_VALUE"""),"CONSTRANGIMENTO ILEGAL")</f>
        <v>CONSTRANGIMENTO ILEGAL</v>
      </c>
      <c r="D1245" s="6">
        <f>IFERROR(__xludf.DUMMYFUNCTION("""COMPUTED_VALUE"""),1.0)</f>
        <v>1</v>
      </c>
      <c r="E1245" s="6">
        <f>IFERROR(__xludf.DUMMYFUNCTION("""COMPUTED_VALUE"""),0.0)</f>
        <v>0</v>
      </c>
      <c r="F1245" s="6">
        <f>IFERROR(__xludf.DUMMYFUNCTION("""COMPUTED_VALUE"""),5.0)</f>
        <v>5</v>
      </c>
      <c r="G1245" s="6">
        <f>IFERROR(__xludf.DUMMYFUNCTION("""COMPUTED_VALUE"""),6.0)</f>
        <v>6</v>
      </c>
    </row>
    <row r="1246">
      <c r="A1246" s="6">
        <f>IFERROR(__xludf.DUMMYFUNCTION("""COMPUTED_VALUE"""),2018.0)</f>
        <v>2018</v>
      </c>
      <c r="B1246" s="6" t="str">
        <f>IFERROR(__xludf.DUMMYFUNCTION("""COMPUTED_VALUE"""),"Novembro")</f>
        <v>Novembro</v>
      </c>
      <c r="C1246" s="6" t="str">
        <f>IFERROR(__xludf.DUMMYFUNCTION("""COMPUTED_VALUE"""),"AMEAÇA")</f>
        <v>AMEAÇA</v>
      </c>
      <c r="D1246" s="6">
        <f>IFERROR(__xludf.DUMMYFUNCTION("""COMPUTED_VALUE"""),842.0)</f>
        <v>842</v>
      </c>
      <c r="E1246" s="6">
        <f>IFERROR(__xludf.DUMMYFUNCTION("""COMPUTED_VALUE"""),771.0)</f>
        <v>771</v>
      </c>
      <c r="F1246" s="6">
        <f>IFERROR(__xludf.DUMMYFUNCTION("""COMPUTED_VALUE"""),2884.0)</f>
        <v>2884</v>
      </c>
      <c r="G1246" s="6">
        <f>IFERROR(__xludf.DUMMYFUNCTION("""COMPUTED_VALUE"""),4497.0)</f>
        <v>4497</v>
      </c>
    </row>
    <row r="1247">
      <c r="A1247" s="6">
        <f>IFERROR(__xludf.DUMMYFUNCTION("""COMPUTED_VALUE"""),2018.0)</f>
        <v>2018</v>
      </c>
      <c r="B1247" s="6" t="str">
        <f>IFERROR(__xludf.DUMMYFUNCTION("""COMPUTED_VALUE"""),"Novembro")</f>
        <v>Novembro</v>
      </c>
      <c r="C1247" s="6" t="str">
        <f>IFERROR(__xludf.DUMMYFUNCTION("""COMPUTED_VALUE"""),"INVASÃO DE DOMICÍLIO")</f>
        <v>INVASÃO DE DOMICÍLIO</v>
      </c>
      <c r="D1247" s="6">
        <f>IFERROR(__xludf.DUMMYFUNCTION("""COMPUTED_VALUE"""),1.0)</f>
        <v>1</v>
      </c>
      <c r="E1247" s="6">
        <f>IFERROR(__xludf.DUMMYFUNCTION("""COMPUTED_VALUE"""),1.0)</f>
        <v>1</v>
      </c>
      <c r="F1247" s="6">
        <f>IFERROR(__xludf.DUMMYFUNCTION("""COMPUTED_VALUE"""),11.0)</f>
        <v>11</v>
      </c>
      <c r="G1247" s="6">
        <f>IFERROR(__xludf.DUMMYFUNCTION("""COMPUTED_VALUE"""),13.0)</f>
        <v>13</v>
      </c>
    </row>
    <row r="1248">
      <c r="A1248" s="6">
        <f>IFERROR(__xludf.DUMMYFUNCTION("""COMPUTED_VALUE"""),2018.0)</f>
        <v>2018</v>
      </c>
      <c r="B1248" s="6" t="str">
        <f>IFERROR(__xludf.DUMMYFUNCTION("""COMPUTED_VALUE"""),"Novembro")</f>
        <v>Novembro</v>
      </c>
      <c r="C1248" s="6" t="str">
        <f>IFERROR(__xludf.DUMMYFUNCTION("""COMPUTED_VALUE"""),"DANO")</f>
        <v>DANO</v>
      </c>
      <c r="D1248" s="6">
        <f>IFERROR(__xludf.DUMMYFUNCTION("""COMPUTED_VALUE"""),9.0)</f>
        <v>9</v>
      </c>
      <c r="E1248" s="6">
        <f>IFERROR(__xludf.DUMMYFUNCTION("""COMPUTED_VALUE"""),9.0)</f>
        <v>9</v>
      </c>
      <c r="F1248" s="6">
        <f>IFERROR(__xludf.DUMMYFUNCTION("""COMPUTED_VALUE"""),51.0)</f>
        <v>51</v>
      </c>
      <c r="G1248" s="6">
        <f>IFERROR(__xludf.DUMMYFUNCTION("""COMPUTED_VALUE"""),69.0)</f>
        <v>69</v>
      </c>
    </row>
    <row r="1249">
      <c r="A1249" s="6">
        <f>IFERROR(__xludf.DUMMYFUNCTION("""COMPUTED_VALUE"""),2018.0)</f>
        <v>2018</v>
      </c>
      <c r="B1249" s="6" t="str">
        <f>IFERROR(__xludf.DUMMYFUNCTION("""COMPUTED_VALUE"""),"Novembro")</f>
        <v>Novembro</v>
      </c>
      <c r="C1249" s="6" t="str">
        <f>IFERROR(__xludf.DUMMYFUNCTION("""COMPUTED_VALUE"""),"ESTUPRO CONSUMADO")</f>
        <v>ESTUPRO CONSUMADO</v>
      </c>
      <c r="D1249" s="6">
        <f>IFERROR(__xludf.DUMMYFUNCTION("""COMPUTED_VALUE"""),9.0)</f>
        <v>9</v>
      </c>
      <c r="E1249" s="6">
        <f>IFERROR(__xludf.DUMMYFUNCTION("""COMPUTED_VALUE"""),6.0)</f>
        <v>6</v>
      </c>
      <c r="F1249" s="6">
        <f>IFERROR(__xludf.DUMMYFUNCTION("""COMPUTED_VALUE"""),16.0)</f>
        <v>16</v>
      </c>
      <c r="G1249" s="6">
        <f>IFERROR(__xludf.DUMMYFUNCTION("""COMPUTED_VALUE"""),31.0)</f>
        <v>31</v>
      </c>
    </row>
    <row r="1250">
      <c r="A1250" s="6">
        <f>IFERROR(__xludf.DUMMYFUNCTION("""COMPUTED_VALUE"""),2018.0)</f>
        <v>2018</v>
      </c>
      <c r="B1250" s="6" t="str">
        <f>IFERROR(__xludf.DUMMYFUNCTION("""COMPUTED_VALUE"""),"Novembro")</f>
        <v>Novembro</v>
      </c>
      <c r="C1250" s="6" t="str">
        <f>IFERROR(__xludf.DUMMYFUNCTION("""COMPUTED_VALUE"""),"ESTUPRO TENTADO")</f>
        <v>ESTUPRO TENTADO</v>
      </c>
      <c r="D1250" s="6">
        <f>IFERROR(__xludf.DUMMYFUNCTION("""COMPUTED_VALUE"""),0.0)</f>
        <v>0</v>
      </c>
      <c r="E1250" s="6">
        <f>IFERROR(__xludf.DUMMYFUNCTION("""COMPUTED_VALUE"""),0.0)</f>
        <v>0</v>
      </c>
      <c r="F1250" s="6">
        <f>IFERROR(__xludf.DUMMYFUNCTION("""COMPUTED_VALUE"""),1.0)</f>
        <v>1</v>
      </c>
      <c r="G1250" s="6">
        <f>IFERROR(__xludf.DUMMYFUNCTION("""COMPUTED_VALUE"""),1.0)</f>
        <v>1</v>
      </c>
    </row>
    <row r="1251">
      <c r="A1251" s="6">
        <f>IFERROR(__xludf.DUMMYFUNCTION("""COMPUTED_VALUE"""),2018.0)</f>
        <v>2018</v>
      </c>
      <c r="B1251" s="6" t="str">
        <f>IFERROR(__xludf.DUMMYFUNCTION("""COMPUTED_VALUE"""),"Novembro")</f>
        <v>Novembro</v>
      </c>
      <c r="C1251" s="6" t="str">
        <f>IFERROR(__xludf.DUMMYFUNCTION("""COMPUTED_VALUE"""),"ESTUPRO DE VULNERÁVEL CONSUMADO")</f>
        <v>ESTUPRO DE VULNERÁVEL CONSUMADO</v>
      </c>
      <c r="D1251" s="6">
        <f>IFERROR(__xludf.DUMMYFUNCTION("""COMPUTED_VALUE"""),2.0)</f>
        <v>2</v>
      </c>
      <c r="E1251" s="6">
        <f>IFERROR(__xludf.DUMMYFUNCTION("""COMPUTED_VALUE"""),3.0)</f>
        <v>3</v>
      </c>
      <c r="F1251" s="6">
        <f>IFERROR(__xludf.DUMMYFUNCTION("""COMPUTED_VALUE"""),15.0)</f>
        <v>15</v>
      </c>
      <c r="G1251" s="6">
        <f>IFERROR(__xludf.DUMMYFUNCTION("""COMPUTED_VALUE"""),20.0)</f>
        <v>20</v>
      </c>
    </row>
    <row r="1252">
      <c r="A1252" s="6">
        <f>IFERROR(__xludf.DUMMYFUNCTION("""COMPUTED_VALUE"""),2018.0)</f>
        <v>2018</v>
      </c>
      <c r="B1252" s="6" t="str">
        <f>IFERROR(__xludf.DUMMYFUNCTION("""COMPUTED_VALUE"""),"Novembro")</f>
        <v>Novembro</v>
      </c>
      <c r="C1252" s="6" t="str">
        <f>IFERROR(__xludf.DUMMYFUNCTION("""COMPUTED_VALUE"""),"OUTROS C/C/ DIGNIDADE SEXUAL")</f>
        <v>OUTROS C/C/ DIGNIDADE SEXUAL</v>
      </c>
      <c r="D1252" s="6">
        <f>IFERROR(__xludf.DUMMYFUNCTION("""COMPUTED_VALUE"""),0.0)</f>
        <v>0</v>
      </c>
      <c r="E1252" s="6">
        <f>IFERROR(__xludf.DUMMYFUNCTION("""COMPUTED_VALUE"""),0.0)</f>
        <v>0</v>
      </c>
      <c r="F1252" s="6">
        <f>IFERROR(__xludf.DUMMYFUNCTION("""COMPUTED_VALUE"""),1.0)</f>
        <v>1</v>
      </c>
      <c r="G1252" s="6">
        <f>IFERROR(__xludf.DUMMYFUNCTION("""COMPUTED_VALUE"""),1.0)</f>
        <v>1</v>
      </c>
    </row>
    <row r="1253">
      <c r="A1253" s="6">
        <f>IFERROR(__xludf.DUMMYFUNCTION("""COMPUTED_VALUE"""),2018.0)</f>
        <v>2018</v>
      </c>
      <c r="B1253" s="6" t="str">
        <f>IFERROR(__xludf.DUMMYFUNCTION("""COMPUTED_VALUE"""),"Dezembro")</f>
        <v>Dezembro</v>
      </c>
      <c r="C1253" s="6" t="str">
        <f>IFERROR(__xludf.DUMMYFUNCTION("""COMPUTED_VALUE"""),"HOMICÍDIO DOLOSO (exclui FEMINICÍDIO)")</f>
        <v>HOMICÍDIO DOLOSO (exclui FEMINICÍDIO)</v>
      </c>
      <c r="D1253" s="6">
        <f>IFERROR(__xludf.DUMMYFUNCTION("""COMPUTED_VALUE"""),2.0)</f>
        <v>2</v>
      </c>
      <c r="E1253" s="6">
        <f>IFERROR(__xludf.DUMMYFUNCTION("""COMPUTED_VALUE"""),1.0)</f>
        <v>1</v>
      </c>
      <c r="F1253" s="6">
        <f>IFERROR(__xludf.DUMMYFUNCTION("""COMPUTED_VALUE"""),3.0)</f>
        <v>3</v>
      </c>
      <c r="G1253" s="6">
        <f>IFERROR(__xludf.DUMMYFUNCTION("""COMPUTED_VALUE"""),6.0)</f>
        <v>6</v>
      </c>
    </row>
    <row r="1254">
      <c r="A1254" s="6">
        <f>IFERROR(__xludf.DUMMYFUNCTION("""COMPUTED_VALUE"""),2018.0)</f>
        <v>2018</v>
      </c>
      <c r="B1254" s="6" t="str">
        <f>IFERROR(__xludf.DUMMYFUNCTION("""COMPUTED_VALUE"""),"Dezembro")</f>
        <v>Dezembro</v>
      </c>
      <c r="C1254" s="6" t="str">
        <f>IFERROR(__xludf.DUMMYFUNCTION("""COMPUTED_VALUE"""),"FEMINICÍDIO")</f>
        <v>FEMINICÍDIO</v>
      </c>
      <c r="D1254" s="6">
        <f>IFERROR(__xludf.DUMMYFUNCTION("""COMPUTED_VALUE"""),2.0)</f>
        <v>2</v>
      </c>
      <c r="E1254" s="6">
        <f>IFERROR(__xludf.DUMMYFUNCTION("""COMPUTED_VALUE"""),3.0)</f>
        <v>3</v>
      </c>
      <c r="F1254" s="6">
        <f>IFERROR(__xludf.DUMMYFUNCTION("""COMPUTED_VALUE"""),4.0)</f>
        <v>4</v>
      </c>
      <c r="G1254" s="6">
        <f>IFERROR(__xludf.DUMMYFUNCTION("""COMPUTED_VALUE"""),9.0)</f>
        <v>9</v>
      </c>
    </row>
    <row r="1255">
      <c r="A1255" s="6">
        <f>IFERROR(__xludf.DUMMYFUNCTION("""COMPUTED_VALUE"""),2018.0)</f>
        <v>2018</v>
      </c>
      <c r="B1255" s="6" t="str">
        <f>IFERROR(__xludf.DUMMYFUNCTION("""COMPUTED_VALUE"""),"Dezembro")</f>
        <v>Dezembro</v>
      </c>
      <c r="C1255" s="6" t="str">
        <f>IFERROR(__xludf.DUMMYFUNCTION("""COMPUTED_VALUE"""),"HOMICÍDIO CULPOSO")</f>
        <v>HOMICÍDIO CULPOSO</v>
      </c>
      <c r="D1255" s="6">
        <f>IFERROR(__xludf.DUMMYFUNCTION("""COMPUTED_VALUE"""),0.0)</f>
        <v>0</v>
      </c>
      <c r="E1255" s="6">
        <f>IFERROR(__xludf.DUMMYFUNCTION("""COMPUTED_VALUE"""),0.0)</f>
        <v>0</v>
      </c>
      <c r="F1255" s="6">
        <f>IFERROR(__xludf.DUMMYFUNCTION("""COMPUTED_VALUE"""),0.0)</f>
        <v>0</v>
      </c>
      <c r="G1255" s="6">
        <f>IFERROR(__xludf.DUMMYFUNCTION("""COMPUTED_VALUE"""),0.0)</f>
        <v>0</v>
      </c>
    </row>
    <row r="1256">
      <c r="A1256" s="6">
        <f>IFERROR(__xludf.DUMMYFUNCTION("""COMPUTED_VALUE"""),2018.0)</f>
        <v>2018</v>
      </c>
      <c r="B1256" s="6" t="str">
        <f>IFERROR(__xludf.DUMMYFUNCTION("""COMPUTED_VALUE"""),"Dezembro")</f>
        <v>Dezembro</v>
      </c>
      <c r="C1256" s="6" t="str">
        <f>IFERROR(__xludf.DUMMYFUNCTION("""COMPUTED_VALUE"""),"TENTATIVA DE HOMICÍDIO")</f>
        <v>TENTATIVA DE HOMICÍDIO</v>
      </c>
      <c r="D1256" s="6">
        <f>IFERROR(__xludf.DUMMYFUNCTION("""COMPUTED_VALUE"""),2.0)</f>
        <v>2</v>
      </c>
      <c r="E1256" s="6">
        <f>IFERROR(__xludf.DUMMYFUNCTION("""COMPUTED_VALUE"""),2.0)</f>
        <v>2</v>
      </c>
      <c r="F1256" s="6">
        <f>IFERROR(__xludf.DUMMYFUNCTION("""COMPUTED_VALUE"""),13.0)</f>
        <v>13</v>
      </c>
      <c r="G1256" s="6">
        <f>IFERROR(__xludf.DUMMYFUNCTION("""COMPUTED_VALUE"""),17.0)</f>
        <v>17</v>
      </c>
    </row>
    <row r="1257">
      <c r="A1257" s="6">
        <f>IFERROR(__xludf.DUMMYFUNCTION("""COMPUTED_VALUE"""),2018.0)</f>
        <v>2018</v>
      </c>
      <c r="B1257" s="6" t="str">
        <f>IFERROR(__xludf.DUMMYFUNCTION("""COMPUTED_VALUE"""),"Dezembro")</f>
        <v>Dezembro</v>
      </c>
      <c r="C1257" s="6" t="str">
        <f>IFERROR(__xludf.DUMMYFUNCTION("""COMPUTED_VALUE"""),"LESÃO CORPORAL DOLOSA")</f>
        <v>LESÃO CORPORAL DOLOSA</v>
      </c>
      <c r="D1257" s="6">
        <f>IFERROR(__xludf.DUMMYFUNCTION("""COMPUTED_VALUE"""),1014.0)</f>
        <v>1014</v>
      </c>
      <c r="E1257" s="6">
        <f>IFERROR(__xludf.DUMMYFUNCTION("""COMPUTED_VALUE"""),864.0)</f>
        <v>864</v>
      </c>
      <c r="F1257" s="6">
        <f>IFERROR(__xludf.DUMMYFUNCTION("""COMPUTED_VALUE"""),3118.0)</f>
        <v>3118</v>
      </c>
      <c r="G1257" s="6">
        <f>IFERROR(__xludf.DUMMYFUNCTION("""COMPUTED_VALUE"""),4996.0)</f>
        <v>4996</v>
      </c>
    </row>
    <row r="1258">
      <c r="A1258" s="6">
        <f>IFERROR(__xludf.DUMMYFUNCTION("""COMPUTED_VALUE"""),2018.0)</f>
        <v>2018</v>
      </c>
      <c r="B1258" s="6" t="str">
        <f>IFERROR(__xludf.DUMMYFUNCTION("""COMPUTED_VALUE"""),"Dezembro")</f>
        <v>Dezembro</v>
      </c>
      <c r="C1258" s="6" t="str">
        <f>IFERROR(__xludf.DUMMYFUNCTION("""COMPUTED_VALUE"""),"MAUS TRATOS")</f>
        <v>MAUS TRATOS</v>
      </c>
      <c r="D1258" s="6">
        <f>IFERROR(__xludf.DUMMYFUNCTION("""COMPUTED_VALUE"""),3.0)</f>
        <v>3</v>
      </c>
      <c r="E1258" s="6">
        <f>IFERROR(__xludf.DUMMYFUNCTION("""COMPUTED_VALUE"""),2.0)</f>
        <v>2</v>
      </c>
      <c r="F1258" s="6">
        <f>IFERROR(__xludf.DUMMYFUNCTION("""COMPUTED_VALUE"""),18.0)</f>
        <v>18</v>
      </c>
      <c r="G1258" s="6">
        <f>IFERROR(__xludf.DUMMYFUNCTION("""COMPUTED_VALUE"""),23.0)</f>
        <v>23</v>
      </c>
    </row>
    <row r="1259">
      <c r="A1259" s="6">
        <f>IFERROR(__xludf.DUMMYFUNCTION("""COMPUTED_VALUE"""),2018.0)</f>
        <v>2018</v>
      </c>
      <c r="B1259" s="6" t="str">
        <f>IFERROR(__xludf.DUMMYFUNCTION("""COMPUTED_VALUE"""),"Dezembro")</f>
        <v>Dezembro</v>
      </c>
      <c r="C1259" s="6" t="str">
        <f>IFERROR(__xludf.DUMMYFUNCTION("""COMPUTED_VALUE"""),"CALÚNIA - DIFAMAÇÃO - INJÚRIA")</f>
        <v>CALÚNIA - DIFAMAÇÃO - INJÚRIA</v>
      </c>
      <c r="D1259" s="6">
        <f>IFERROR(__xludf.DUMMYFUNCTION("""COMPUTED_VALUE"""),198.0)</f>
        <v>198</v>
      </c>
      <c r="E1259" s="6">
        <f>IFERROR(__xludf.DUMMYFUNCTION("""COMPUTED_VALUE"""),168.0)</f>
        <v>168</v>
      </c>
      <c r="F1259" s="6">
        <f>IFERROR(__xludf.DUMMYFUNCTION("""COMPUTED_VALUE"""),724.0)</f>
        <v>724</v>
      </c>
      <c r="G1259" s="6">
        <f>IFERROR(__xludf.DUMMYFUNCTION("""COMPUTED_VALUE"""),1090.0)</f>
        <v>1090</v>
      </c>
    </row>
    <row r="1260">
      <c r="A1260" s="6">
        <f>IFERROR(__xludf.DUMMYFUNCTION("""COMPUTED_VALUE"""),2018.0)</f>
        <v>2018</v>
      </c>
      <c r="B1260" s="6" t="str">
        <f>IFERROR(__xludf.DUMMYFUNCTION("""COMPUTED_VALUE"""),"Dezembro")</f>
        <v>Dezembro</v>
      </c>
      <c r="C1260" s="6" t="str">
        <f>IFERROR(__xludf.DUMMYFUNCTION("""COMPUTED_VALUE"""),"CONSTRANGIMENTO ILEGAL")</f>
        <v>CONSTRANGIMENTO ILEGAL</v>
      </c>
      <c r="D1260" s="6">
        <f>IFERROR(__xludf.DUMMYFUNCTION("""COMPUTED_VALUE"""),1.0)</f>
        <v>1</v>
      </c>
      <c r="E1260" s="6">
        <f>IFERROR(__xludf.DUMMYFUNCTION("""COMPUTED_VALUE"""),1.0)</f>
        <v>1</v>
      </c>
      <c r="F1260" s="6">
        <f>IFERROR(__xludf.DUMMYFUNCTION("""COMPUTED_VALUE"""),7.0)</f>
        <v>7</v>
      </c>
      <c r="G1260" s="6">
        <f>IFERROR(__xludf.DUMMYFUNCTION("""COMPUTED_VALUE"""),9.0)</f>
        <v>9</v>
      </c>
    </row>
    <row r="1261">
      <c r="A1261" s="6">
        <f>IFERROR(__xludf.DUMMYFUNCTION("""COMPUTED_VALUE"""),2018.0)</f>
        <v>2018</v>
      </c>
      <c r="B1261" s="6" t="str">
        <f>IFERROR(__xludf.DUMMYFUNCTION("""COMPUTED_VALUE"""),"Dezembro")</f>
        <v>Dezembro</v>
      </c>
      <c r="C1261" s="6" t="str">
        <f>IFERROR(__xludf.DUMMYFUNCTION("""COMPUTED_VALUE"""),"AMEAÇA")</f>
        <v>AMEAÇA</v>
      </c>
      <c r="D1261" s="6">
        <f>IFERROR(__xludf.DUMMYFUNCTION("""COMPUTED_VALUE"""),948.0)</f>
        <v>948</v>
      </c>
      <c r="E1261" s="6">
        <f>IFERROR(__xludf.DUMMYFUNCTION("""COMPUTED_VALUE"""),852.0)</f>
        <v>852</v>
      </c>
      <c r="F1261" s="6">
        <f>IFERROR(__xludf.DUMMYFUNCTION("""COMPUTED_VALUE"""),3214.0)</f>
        <v>3214</v>
      </c>
      <c r="G1261" s="6">
        <f>IFERROR(__xludf.DUMMYFUNCTION("""COMPUTED_VALUE"""),5014.0)</f>
        <v>5014</v>
      </c>
    </row>
    <row r="1262">
      <c r="A1262" s="6">
        <f>IFERROR(__xludf.DUMMYFUNCTION("""COMPUTED_VALUE"""),2018.0)</f>
        <v>2018</v>
      </c>
      <c r="B1262" s="6" t="str">
        <f>IFERROR(__xludf.DUMMYFUNCTION("""COMPUTED_VALUE"""),"Dezembro")</f>
        <v>Dezembro</v>
      </c>
      <c r="C1262" s="6" t="str">
        <f>IFERROR(__xludf.DUMMYFUNCTION("""COMPUTED_VALUE"""),"INVASÃO DE DOMICÍLIO")</f>
        <v>INVASÃO DE DOMICÍLIO</v>
      </c>
      <c r="D1262" s="6">
        <f>IFERROR(__xludf.DUMMYFUNCTION("""COMPUTED_VALUE"""),1.0)</f>
        <v>1</v>
      </c>
      <c r="E1262" s="6">
        <f>IFERROR(__xludf.DUMMYFUNCTION("""COMPUTED_VALUE"""),2.0)</f>
        <v>2</v>
      </c>
      <c r="F1262" s="6">
        <f>IFERROR(__xludf.DUMMYFUNCTION("""COMPUTED_VALUE"""),13.0)</f>
        <v>13</v>
      </c>
      <c r="G1262" s="6">
        <f>IFERROR(__xludf.DUMMYFUNCTION("""COMPUTED_VALUE"""),16.0)</f>
        <v>16</v>
      </c>
    </row>
    <row r="1263">
      <c r="A1263" s="6">
        <f>IFERROR(__xludf.DUMMYFUNCTION("""COMPUTED_VALUE"""),2018.0)</f>
        <v>2018</v>
      </c>
      <c r="B1263" s="6" t="str">
        <f>IFERROR(__xludf.DUMMYFUNCTION("""COMPUTED_VALUE"""),"Dezembro")</f>
        <v>Dezembro</v>
      </c>
      <c r="C1263" s="6" t="str">
        <f>IFERROR(__xludf.DUMMYFUNCTION("""COMPUTED_VALUE"""),"DANO")</f>
        <v>DANO</v>
      </c>
      <c r="D1263" s="6">
        <f>IFERROR(__xludf.DUMMYFUNCTION("""COMPUTED_VALUE"""),11.0)</f>
        <v>11</v>
      </c>
      <c r="E1263" s="6">
        <f>IFERROR(__xludf.DUMMYFUNCTION("""COMPUTED_VALUE"""),11.0)</f>
        <v>11</v>
      </c>
      <c r="F1263" s="6">
        <f>IFERROR(__xludf.DUMMYFUNCTION("""COMPUTED_VALUE"""),62.0)</f>
        <v>62</v>
      </c>
      <c r="G1263" s="6">
        <f>IFERROR(__xludf.DUMMYFUNCTION("""COMPUTED_VALUE"""),84.0)</f>
        <v>84</v>
      </c>
    </row>
    <row r="1264">
      <c r="A1264" s="6">
        <f>IFERROR(__xludf.DUMMYFUNCTION("""COMPUTED_VALUE"""),2018.0)</f>
        <v>2018</v>
      </c>
      <c r="B1264" s="6" t="str">
        <f>IFERROR(__xludf.DUMMYFUNCTION("""COMPUTED_VALUE"""),"Dezembro")</f>
        <v>Dezembro</v>
      </c>
      <c r="C1264" s="6" t="str">
        <f>IFERROR(__xludf.DUMMYFUNCTION("""COMPUTED_VALUE"""),"ESTUPRO CONSUMADO")</f>
        <v>ESTUPRO CONSUMADO</v>
      </c>
      <c r="D1264" s="6">
        <f>IFERROR(__xludf.DUMMYFUNCTION("""COMPUTED_VALUE"""),10.0)</f>
        <v>10</v>
      </c>
      <c r="E1264" s="6">
        <f>IFERROR(__xludf.DUMMYFUNCTION("""COMPUTED_VALUE"""),7.0)</f>
        <v>7</v>
      </c>
      <c r="F1264" s="6">
        <f>IFERROR(__xludf.DUMMYFUNCTION("""COMPUTED_VALUE"""),19.0)</f>
        <v>19</v>
      </c>
      <c r="G1264" s="6">
        <f>IFERROR(__xludf.DUMMYFUNCTION("""COMPUTED_VALUE"""),36.0)</f>
        <v>36</v>
      </c>
    </row>
    <row r="1265">
      <c r="A1265" s="6">
        <f>IFERROR(__xludf.DUMMYFUNCTION("""COMPUTED_VALUE"""),2018.0)</f>
        <v>2018</v>
      </c>
      <c r="B1265" s="6" t="str">
        <f>IFERROR(__xludf.DUMMYFUNCTION("""COMPUTED_VALUE"""),"Dezembro")</f>
        <v>Dezembro</v>
      </c>
      <c r="C1265" s="6" t="str">
        <f>IFERROR(__xludf.DUMMYFUNCTION("""COMPUTED_VALUE"""),"ESTUPRO TENTADO")</f>
        <v>ESTUPRO TENTADO</v>
      </c>
      <c r="D1265" s="6">
        <f>IFERROR(__xludf.DUMMYFUNCTION("""COMPUTED_VALUE"""),1.0)</f>
        <v>1</v>
      </c>
      <c r="E1265" s="6">
        <f>IFERROR(__xludf.DUMMYFUNCTION("""COMPUTED_VALUE"""),0.0)</f>
        <v>0</v>
      </c>
      <c r="F1265" s="6">
        <f>IFERROR(__xludf.DUMMYFUNCTION("""COMPUTED_VALUE"""),1.0)</f>
        <v>1</v>
      </c>
      <c r="G1265" s="6">
        <f>IFERROR(__xludf.DUMMYFUNCTION("""COMPUTED_VALUE"""),2.0)</f>
        <v>2</v>
      </c>
    </row>
    <row r="1266">
      <c r="A1266" s="6">
        <f>IFERROR(__xludf.DUMMYFUNCTION("""COMPUTED_VALUE"""),2018.0)</f>
        <v>2018</v>
      </c>
      <c r="B1266" s="6" t="str">
        <f>IFERROR(__xludf.DUMMYFUNCTION("""COMPUTED_VALUE"""),"Dezembro")</f>
        <v>Dezembro</v>
      </c>
      <c r="C1266" s="6" t="str">
        <f>IFERROR(__xludf.DUMMYFUNCTION("""COMPUTED_VALUE"""),"ESTUPRO DE VULNERÁVEL CONSUMADO")</f>
        <v>ESTUPRO DE VULNERÁVEL CONSUMADO</v>
      </c>
      <c r="D1266" s="6">
        <f>IFERROR(__xludf.DUMMYFUNCTION("""COMPUTED_VALUE"""),3.0)</f>
        <v>3</v>
      </c>
      <c r="E1266" s="6">
        <f>IFERROR(__xludf.DUMMYFUNCTION("""COMPUTED_VALUE"""),4.0)</f>
        <v>4</v>
      </c>
      <c r="F1266" s="6">
        <f>IFERROR(__xludf.DUMMYFUNCTION("""COMPUTED_VALUE"""),18.0)</f>
        <v>18</v>
      </c>
      <c r="G1266" s="6">
        <f>IFERROR(__xludf.DUMMYFUNCTION("""COMPUTED_VALUE"""),25.0)</f>
        <v>25</v>
      </c>
    </row>
    <row r="1267">
      <c r="A1267" s="6">
        <f>IFERROR(__xludf.DUMMYFUNCTION("""COMPUTED_VALUE"""),2018.0)</f>
        <v>2018</v>
      </c>
      <c r="B1267" s="6" t="str">
        <f>IFERROR(__xludf.DUMMYFUNCTION("""COMPUTED_VALUE"""),"Dezembro")</f>
        <v>Dezembro</v>
      </c>
      <c r="C1267" s="6" t="str">
        <f>IFERROR(__xludf.DUMMYFUNCTION("""COMPUTED_VALUE"""),"OUTROS C/C/ DIGNIDADE SEXUAL")</f>
        <v>OUTROS C/C/ DIGNIDADE SEXUAL</v>
      </c>
      <c r="D1267" s="6">
        <f>IFERROR(__xludf.DUMMYFUNCTION("""COMPUTED_VALUE"""),0.0)</f>
        <v>0</v>
      </c>
      <c r="E1267" s="6">
        <f>IFERROR(__xludf.DUMMYFUNCTION("""COMPUTED_VALUE"""),1.0)</f>
        <v>1</v>
      </c>
      <c r="F1267" s="6">
        <f>IFERROR(__xludf.DUMMYFUNCTION("""COMPUTED_VALUE"""),2.0)</f>
        <v>2</v>
      </c>
      <c r="G1267" s="6">
        <f>IFERROR(__xludf.DUMMYFUNCTION("""COMPUTED_VALUE"""),3.0)</f>
        <v>3</v>
      </c>
    </row>
    <row r="1268">
      <c r="A1268" s="6">
        <f>IFERROR(__xludf.DUMMYFUNCTION("""COMPUTED_VALUE"""),2019.0)</f>
        <v>2019</v>
      </c>
      <c r="B1268" s="6" t="str">
        <f>IFERROR(__xludf.DUMMYFUNCTION("""COMPUTED_VALUE"""),"Janeiro")</f>
        <v>Janeiro</v>
      </c>
      <c r="C1268" s="6" t="str">
        <f>IFERROR(__xludf.DUMMYFUNCTION("""COMPUTED_VALUE"""),"HOMICÍDIO DOLOSO (exclui FEMINICÍDIO)")</f>
        <v>HOMICÍDIO DOLOSO (exclui FEMINICÍDIO)</v>
      </c>
      <c r="D1268" s="6">
        <f>IFERROR(__xludf.DUMMYFUNCTION("""COMPUTED_VALUE"""),2.0)</f>
        <v>2</v>
      </c>
      <c r="E1268" s="6">
        <f>IFERROR(__xludf.DUMMYFUNCTION("""COMPUTED_VALUE"""),1.0)</f>
        <v>1</v>
      </c>
      <c r="F1268" s="6">
        <f>IFERROR(__xludf.DUMMYFUNCTION("""COMPUTED_VALUE"""),3.0)</f>
        <v>3</v>
      </c>
      <c r="G1268" s="6">
        <f>IFERROR(__xludf.DUMMYFUNCTION("""COMPUTED_VALUE"""),6.0)</f>
        <v>6</v>
      </c>
    </row>
    <row r="1269">
      <c r="A1269" s="6">
        <f>IFERROR(__xludf.DUMMYFUNCTION("""COMPUTED_VALUE"""),2019.0)</f>
        <v>2019</v>
      </c>
      <c r="B1269" s="6" t="str">
        <f>IFERROR(__xludf.DUMMYFUNCTION("""COMPUTED_VALUE"""),"Janeiro")</f>
        <v>Janeiro</v>
      </c>
      <c r="C1269" s="6" t="str">
        <f>IFERROR(__xludf.DUMMYFUNCTION("""COMPUTED_VALUE"""),"FEMINICÍDIO")</f>
        <v>FEMINICÍDIO</v>
      </c>
      <c r="D1269" s="6">
        <f>IFERROR(__xludf.DUMMYFUNCTION("""COMPUTED_VALUE"""),2.0)</f>
        <v>2</v>
      </c>
      <c r="E1269" s="6">
        <f>IFERROR(__xludf.DUMMYFUNCTION("""COMPUTED_VALUE"""),4.0)</f>
        <v>4</v>
      </c>
      <c r="F1269" s="6">
        <f>IFERROR(__xludf.DUMMYFUNCTION("""COMPUTED_VALUE"""),7.0)</f>
        <v>7</v>
      </c>
      <c r="G1269" s="6">
        <f>IFERROR(__xludf.DUMMYFUNCTION("""COMPUTED_VALUE"""),13.0)</f>
        <v>13</v>
      </c>
    </row>
    <row r="1270">
      <c r="A1270" s="6">
        <f>IFERROR(__xludf.DUMMYFUNCTION("""COMPUTED_VALUE"""),2019.0)</f>
        <v>2019</v>
      </c>
      <c r="B1270" s="6" t="str">
        <f>IFERROR(__xludf.DUMMYFUNCTION("""COMPUTED_VALUE"""),"Janeiro")</f>
        <v>Janeiro</v>
      </c>
      <c r="C1270" s="6" t="str">
        <f>IFERROR(__xludf.DUMMYFUNCTION("""COMPUTED_VALUE"""),"HOMICÍDIO CULPOSO")</f>
        <v>HOMICÍDIO CULPOSO</v>
      </c>
      <c r="D1270" s="6">
        <f>IFERROR(__xludf.DUMMYFUNCTION("""COMPUTED_VALUE"""),0.0)</f>
        <v>0</v>
      </c>
      <c r="E1270" s="6">
        <f>IFERROR(__xludf.DUMMYFUNCTION("""COMPUTED_VALUE"""),0.0)</f>
        <v>0</v>
      </c>
      <c r="F1270" s="6">
        <f>IFERROR(__xludf.DUMMYFUNCTION("""COMPUTED_VALUE"""),0.0)</f>
        <v>0</v>
      </c>
      <c r="G1270" s="6">
        <f>IFERROR(__xludf.DUMMYFUNCTION("""COMPUTED_VALUE"""),0.0)</f>
        <v>0</v>
      </c>
    </row>
    <row r="1271">
      <c r="A1271" s="6">
        <f>IFERROR(__xludf.DUMMYFUNCTION("""COMPUTED_VALUE"""),2019.0)</f>
        <v>2019</v>
      </c>
      <c r="B1271" s="6" t="str">
        <f>IFERROR(__xludf.DUMMYFUNCTION("""COMPUTED_VALUE"""),"Janeiro")</f>
        <v>Janeiro</v>
      </c>
      <c r="C1271" s="6" t="str">
        <f>IFERROR(__xludf.DUMMYFUNCTION("""COMPUTED_VALUE"""),"TENTATIVA DE HOMICÍDIO")</f>
        <v>TENTATIVA DE HOMICÍDIO</v>
      </c>
      <c r="D1271" s="6">
        <f>IFERROR(__xludf.DUMMYFUNCTION("""COMPUTED_VALUE"""),2.0)</f>
        <v>2</v>
      </c>
      <c r="E1271" s="6">
        <f>IFERROR(__xludf.DUMMYFUNCTION("""COMPUTED_VALUE"""),2.0)</f>
        <v>2</v>
      </c>
      <c r="F1271" s="6">
        <f>IFERROR(__xludf.DUMMYFUNCTION("""COMPUTED_VALUE"""),13.0)</f>
        <v>13</v>
      </c>
      <c r="G1271" s="6">
        <f>IFERROR(__xludf.DUMMYFUNCTION("""COMPUTED_VALUE"""),17.0)</f>
        <v>17</v>
      </c>
    </row>
    <row r="1272">
      <c r="A1272" s="6">
        <f>IFERROR(__xludf.DUMMYFUNCTION("""COMPUTED_VALUE"""),2019.0)</f>
        <v>2019</v>
      </c>
      <c r="B1272" s="6" t="str">
        <f>IFERROR(__xludf.DUMMYFUNCTION("""COMPUTED_VALUE"""),"Janeiro")</f>
        <v>Janeiro</v>
      </c>
      <c r="C1272" s="6" t="str">
        <f>IFERROR(__xludf.DUMMYFUNCTION("""COMPUTED_VALUE"""),"LESÃO CORPORAL DOLOSA")</f>
        <v>LESÃO CORPORAL DOLOSA</v>
      </c>
      <c r="D1272" s="6">
        <f>IFERROR(__xludf.DUMMYFUNCTION("""COMPUTED_VALUE"""),1014.0)</f>
        <v>1014</v>
      </c>
      <c r="E1272" s="6">
        <f>IFERROR(__xludf.DUMMYFUNCTION("""COMPUTED_VALUE"""),864.0)</f>
        <v>864</v>
      </c>
      <c r="F1272" s="6">
        <f>IFERROR(__xludf.DUMMYFUNCTION("""COMPUTED_VALUE"""),3118.0)</f>
        <v>3118</v>
      </c>
      <c r="G1272" s="6">
        <f>IFERROR(__xludf.DUMMYFUNCTION("""COMPUTED_VALUE"""),4996.0)</f>
        <v>4996</v>
      </c>
    </row>
    <row r="1273">
      <c r="A1273" s="6">
        <f>IFERROR(__xludf.DUMMYFUNCTION("""COMPUTED_VALUE"""),2019.0)</f>
        <v>2019</v>
      </c>
      <c r="B1273" s="6" t="str">
        <f>IFERROR(__xludf.DUMMYFUNCTION("""COMPUTED_VALUE"""),"Janeiro")</f>
        <v>Janeiro</v>
      </c>
      <c r="C1273" s="6" t="str">
        <f>IFERROR(__xludf.DUMMYFUNCTION("""COMPUTED_VALUE"""),"MAUS TRATOS")</f>
        <v>MAUS TRATOS</v>
      </c>
      <c r="D1273" s="6">
        <f>IFERROR(__xludf.DUMMYFUNCTION("""COMPUTED_VALUE"""),3.0)</f>
        <v>3</v>
      </c>
      <c r="E1273" s="6">
        <f>IFERROR(__xludf.DUMMYFUNCTION("""COMPUTED_VALUE"""),2.0)</f>
        <v>2</v>
      </c>
      <c r="F1273" s="6">
        <f>IFERROR(__xludf.DUMMYFUNCTION("""COMPUTED_VALUE"""),18.0)</f>
        <v>18</v>
      </c>
      <c r="G1273" s="6">
        <f>IFERROR(__xludf.DUMMYFUNCTION("""COMPUTED_VALUE"""),23.0)</f>
        <v>23</v>
      </c>
    </row>
    <row r="1274">
      <c r="A1274" s="6">
        <f>IFERROR(__xludf.DUMMYFUNCTION("""COMPUTED_VALUE"""),2019.0)</f>
        <v>2019</v>
      </c>
      <c r="B1274" s="6" t="str">
        <f>IFERROR(__xludf.DUMMYFUNCTION("""COMPUTED_VALUE"""),"Janeiro")</f>
        <v>Janeiro</v>
      </c>
      <c r="C1274" s="6" t="str">
        <f>IFERROR(__xludf.DUMMYFUNCTION("""COMPUTED_VALUE"""),"CALÚNIA - DIFAMAÇÃO - INJÚRIA")</f>
        <v>CALÚNIA - DIFAMAÇÃO - INJÚRIA</v>
      </c>
      <c r="D1274" s="6">
        <f>IFERROR(__xludf.DUMMYFUNCTION("""COMPUTED_VALUE"""),198.0)</f>
        <v>198</v>
      </c>
      <c r="E1274" s="6">
        <f>IFERROR(__xludf.DUMMYFUNCTION("""COMPUTED_VALUE"""),168.0)</f>
        <v>168</v>
      </c>
      <c r="F1274" s="6">
        <f>IFERROR(__xludf.DUMMYFUNCTION("""COMPUTED_VALUE"""),724.0)</f>
        <v>724</v>
      </c>
      <c r="G1274" s="6">
        <f>IFERROR(__xludf.DUMMYFUNCTION("""COMPUTED_VALUE"""),1090.0)</f>
        <v>1090</v>
      </c>
    </row>
    <row r="1275">
      <c r="A1275" s="6">
        <f>IFERROR(__xludf.DUMMYFUNCTION("""COMPUTED_VALUE"""),2019.0)</f>
        <v>2019</v>
      </c>
      <c r="B1275" s="6" t="str">
        <f>IFERROR(__xludf.DUMMYFUNCTION("""COMPUTED_VALUE"""),"Janeiro")</f>
        <v>Janeiro</v>
      </c>
      <c r="C1275" s="6" t="str">
        <f>IFERROR(__xludf.DUMMYFUNCTION("""COMPUTED_VALUE"""),"CONSTRANGIMENTO ILEGAL")</f>
        <v>CONSTRANGIMENTO ILEGAL</v>
      </c>
      <c r="D1275" s="6">
        <f>IFERROR(__xludf.DUMMYFUNCTION("""COMPUTED_VALUE"""),1.0)</f>
        <v>1</v>
      </c>
      <c r="E1275" s="6">
        <f>IFERROR(__xludf.DUMMYFUNCTION("""COMPUTED_VALUE"""),1.0)</f>
        <v>1</v>
      </c>
      <c r="F1275" s="6">
        <f>IFERROR(__xludf.DUMMYFUNCTION("""COMPUTED_VALUE"""),7.0)</f>
        <v>7</v>
      </c>
      <c r="G1275" s="6">
        <f>IFERROR(__xludf.DUMMYFUNCTION("""COMPUTED_VALUE"""),9.0)</f>
        <v>9</v>
      </c>
    </row>
    <row r="1276">
      <c r="A1276" s="6">
        <f>IFERROR(__xludf.DUMMYFUNCTION("""COMPUTED_VALUE"""),2019.0)</f>
        <v>2019</v>
      </c>
      <c r="B1276" s="6" t="str">
        <f>IFERROR(__xludf.DUMMYFUNCTION("""COMPUTED_VALUE"""),"Janeiro")</f>
        <v>Janeiro</v>
      </c>
      <c r="C1276" s="6" t="str">
        <f>IFERROR(__xludf.DUMMYFUNCTION("""COMPUTED_VALUE"""),"AMEAÇA")</f>
        <v>AMEAÇA</v>
      </c>
      <c r="D1276" s="6">
        <f>IFERROR(__xludf.DUMMYFUNCTION("""COMPUTED_VALUE"""),948.0)</f>
        <v>948</v>
      </c>
      <c r="E1276" s="6">
        <f>IFERROR(__xludf.DUMMYFUNCTION("""COMPUTED_VALUE"""),852.0)</f>
        <v>852</v>
      </c>
      <c r="F1276" s="6">
        <f>IFERROR(__xludf.DUMMYFUNCTION("""COMPUTED_VALUE"""),3214.0)</f>
        <v>3214</v>
      </c>
      <c r="G1276" s="6">
        <f>IFERROR(__xludf.DUMMYFUNCTION("""COMPUTED_VALUE"""),5014.0)</f>
        <v>5014</v>
      </c>
    </row>
    <row r="1277">
      <c r="A1277" s="6">
        <f>IFERROR(__xludf.DUMMYFUNCTION("""COMPUTED_VALUE"""),2019.0)</f>
        <v>2019</v>
      </c>
      <c r="B1277" s="6" t="str">
        <f>IFERROR(__xludf.DUMMYFUNCTION("""COMPUTED_VALUE"""),"Janeiro")</f>
        <v>Janeiro</v>
      </c>
      <c r="C1277" s="6" t="str">
        <f>IFERROR(__xludf.DUMMYFUNCTION("""COMPUTED_VALUE"""),"INVASÃO DE DOMICÍLIO")</f>
        <v>INVASÃO DE DOMICÍLIO</v>
      </c>
      <c r="D1277" s="6">
        <f>IFERROR(__xludf.DUMMYFUNCTION("""COMPUTED_VALUE"""),1.0)</f>
        <v>1</v>
      </c>
      <c r="E1277" s="6">
        <f>IFERROR(__xludf.DUMMYFUNCTION("""COMPUTED_VALUE"""),2.0)</f>
        <v>2</v>
      </c>
      <c r="F1277" s="6">
        <f>IFERROR(__xludf.DUMMYFUNCTION("""COMPUTED_VALUE"""),13.0)</f>
        <v>13</v>
      </c>
      <c r="G1277" s="6">
        <f>IFERROR(__xludf.DUMMYFUNCTION("""COMPUTED_VALUE"""),16.0)</f>
        <v>16</v>
      </c>
    </row>
    <row r="1278">
      <c r="A1278" s="6">
        <f>IFERROR(__xludf.DUMMYFUNCTION("""COMPUTED_VALUE"""),2019.0)</f>
        <v>2019</v>
      </c>
      <c r="B1278" s="6" t="str">
        <f>IFERROR(__xludf.DUMMYFUNCTION("""COMPUTED_VALUE"""),"Janeiro")</f>
        <v>Janeiro</v>
      </c>
      <c r="C1278" s="6" t="str">
        <f>IFERROR(__xludf.DUMMYFUNCTION("""COMPUTED_VALUE"""),"DANO")</f>
        <v>DANO</v>
      </c>
      <c r="D1278" s="6">
        <f>IFERROR(__xludf.DUMMYFUNCTION("""COMPUTED_VALUE"""),11.0)</f>
        <v>11</v>
      </c>
      <c r="E1278" s="6">
        <f>IFERROR(__xludf.DUMMYFUNCTION("""COMPUTED_VALUE"""),11.0)</f>
        <v>11</v>
      </c>
      <c r="F1278" s="6">
        <f>IFERROR(__xludf.DUMMYFUNCTION("""COMPUTED_VALUE"""),62.0)</f>
        <v>62</v>
      </c>
      <c r="G1278" s="6">
        <f>IFERROR(__xludf.DUMMYFUNCTION("""COMPUTED_VALUE"""),84.0)</f>
        <v>84</v>
      </c>
    </row>
    <row r="1279">
      <c r="A1279" s="6">
        <f>IFERROR(__xludf.DUMMYFUNCTION("""COMPUTED_VALUE"""),2019.0)</f>
        <v>2019</v>
      </c>
      <c r="B1279" s="6" t="str">
        <f>IFERROR(__xludf.DUMMYFUNCTION("""COMPUTED_VALUE"""),"Janeiro")</f>
        <v>Janeiro</v>
      </c>
      <c r="C1279" s="6" t="str">
        <f>IFERROR(__xludf.DUMMYFUNCTION("""COMPUTED_VALUE"""),"ESTUPRO CONSUMADO")</f>
        <v>ESTUPRO CONSUMADO</v>
      </c>
      <c r="D1279" s="6">
        <f>IFERROR(__xludf.DUMMYFUNCTION("""COMPUTED_VALUE"""),10.0)</f>
        <v>10</v>
      </c>
      <c r="E1279" s="6">
        <f>IFERROR(__xludf.DUMMYFUNCTION("""COMPUTED_VALUE"""),7.0)</f>
        <v>7</v>
      </c>
      <c r="F1279" s="6">
        <f>IFERROR(__xludf.DUMMYFUNCTION("""COMPUTED_VALUE"""),19.0)</f>
        <v>19</v>
      </c>
      <c r="G1279" s="6">
        <f>IFERROR(__xludf.DUMMYFUNCTION("""COMPUTED_VALUE"""),36.0)</f>
        <v>36</v>
      </c>
    </row>
    <row r="1280">
      <c r="A1280" s="6">
        <f>IFERROR(__xludf.DUMMYFUNCTION("""COMPUTED_VALUE"""),2019.0)</f>
        <v>2019</v>
      </c>
      <c r="B1280" s="6" t="str">
        <f>IFERROR(__xludf.DUMMYFUNCTION("""COMPUTED_VALUE"""),"Janeiro")</f>
        <v>Janeiro</v>
      </c>
      <c r="C1280" s="6" t="str">
        <f>IFERROR(__xludf.DUMMYFUNCTION("""COMPUTED_VALUE"""),"ESTUPRO TENTADO")</f>
        <v>ESTUPRO TENTADO</v>
      </c>
      <c r="D1280" s="6">
        <f>IFERROR(__xludf.DUMMYFUNCTION("""COMPUTED_VALUE"""),1.0)</f>
        <v>1</v>
      </c>
      <c r="E1280" s="6">
        <f>IFERROR(__xludf.DUMMYFUNCTION("""COMPUTED_VALUE"""),0.0)</f>
        <v>0</v>
      </c>
      <c r="F1280" s="6">
        <f>IFERROR(__xludf.DUMMYFUNCTION("""COMPUTED_VALUE"""),1.0)</f>
        <v>1</v>
      </c>
      <c r="G1280" s="6">
        <f>IFERROR(__xludf.DUMMYFUNCTION("""COMPUTED_VALUE"""),2.0)</f>
        <v>2</v>
      </c>
    </row>
    <row r="1281">
      <c r="A1281" s="6">
        <f>IFERROR(__xludf.DUMMYFUNCTION("""COMPUTED_VALUE"""),2019.0)</f>
        <v>2019</v>
      </c>
      <c r="B1281" s="6" t="str">
        <f>IFERROR(__xludf.DUMMYFUNCTION("""COMPUTED_VALUE"""),"Janeiro")</f>
        <v>Janeiro</v>
      </c>
      <c r="C1281" s="6" t="str">
        <f>IFERROR(__xludf.DUMMYFUNCTION("""COMPUTED_VALUE"""),"ESTUPRO DE VULNERÁVEL CONSUMADO")</f>
        <v>ESTUPRO DE VULNERÁVEL CONSUMADO</v>
      </c>
      <c r="D1281" s="6">
        <f>IFERROR(__xludf.DUMMYFUNCTION("""COMPUTED_VALUE"""),3.0)</f>
        <v>3</v>
      </c>
      <c r="E1281" s="6">
        <f>IFERROR(__xludf.DUMMYFUNCTION("""COMPUTED_VALUE"""),4.0)</f>
        <v>4</v>
      </c>
      <c r="F1281" s="6">
        <f>IFERROR(__xludf.DUMMYFUNCTION("""COMPUTED_VALUE"""),18.0)</f>
        <v>18</v>
      </c>
      <c r="G1281" s="6">
        <f>IFERROR(__xludf.DUMMYFUNCTION("""COMPUTED_VALUE"""),25.0)</f>
        <v>25</v>
      </c>
    </row>
    <row r="1282">
      <c r="A1282" s="6">
        <f>IFERROR(__xludf.DUMMYFUNCTION("""COMPUTED_VALUE"""),2019.0)</f>
        <v>2019</v>
      </c>
      <c r="B1282" s="6" t="str">
        <f>IFERROR(__xludf.DUMMYFUNCTION("""COMPUTED_VALUE"""),"Janeiro")</f>
        <v>Janeiro</v>
      </c>
      <c r="C1282" s="6" t="str">
        <f>IFERROR(__xludf.DUMMYFUNCTION("""COMPUTED_VALUE"""),"OUTROS C/C/ DIGNIDADE SEXUAL")</f>
        <v>OUTROS C/C/ DIGNIDADE SEXUAL</v>
      </c>
      <c r="D1282" s="6">
        <f>IFERROR(__xludf.DUMMYFUNCTION("""COMPUTED_VALUE"""),0.0)</f>
        <v>0</v>
      </c>
      <c r="E1282" s="6">
        <f>IFERROR(__xludf.DUMMYFUNCTION("""COMPUTED_VALUE"""),1.0)</f>
        <v>1</v>
      </c>
      <c r="F1282" s="6">
        <f>IFERROR(__xludf.DUMMYFUNCTION("""COMPUTED_VALUE"""),2.0)</f>
        <v>2</v>
      </c>
      <c r="G1282" s="6">
        <f>IFERROR(__xludf.DUMMYFUNCTION("""COMPUTED_VALUE"""),3.0)</f>
        <v>3</v>
      </c>
    </row>
    <row r="1283">
      <c r="A1283" s="6">
        <f>IFERROR(__xludf.DUMMYFUNCTION("""COMPUTED_VALUE"""),2019.0)</f>
        <v>2019</v>
      </c>
      <c r="B1283" s="6" t="str">
        <f>IFERROR(__xludf.DUMMYFUNCTION("""COMPUTED_VALUE"""),"Fevereiro")</f>
        <v>Fevereiro</v>
      </c>
      <c r="C1283" s="6" t="str">
        <f>IFERROR(__xludf.DUMMYFUNCTION("""COMPUTED_VALUE"""),"HOMICÍDIO DOLOSO (exclui FEMINICÍDIO)")</f>
        <v>HOMICÍDIO DOLOSO (exclui FEMINICÍDIO)</v>
      </c>
      <c r="D1283" s="6">
        <f>IFERROR(__xludf.DUMMYFUNCTION("""COMPUTED_VALUE"""),1.0)</f>
        <v>1</v>
      </c>
      <c r="E1283" s="6">
        <f>IFERROR(__xludf.DUMMYFUNCTION("""COMPUTED_VALUE"""),0.0)</f>
        <v>0</v>
      </c>
      <c r="F1283" s="6">
        <f>IFERROR(__xludf.DUMMYFUNCTION("""COMPUTED_VALUE"""),2.0)</f>
        <v>2</v>
      </c>
      <c r="G1283" s="6">
        <f>IFERROR(__xludf.DUMMYFUNCTION("""COMPUTED_VALUE"""),3.0)</f>
        <v>3</v>
      </c>
    </row>
    <row r="1284">
      <c r="A1284" s="6">
        <f>IFERROR(__xludf.DUMMYFUNCTION("""COMPUTED_VALUE"""),2019.0)</f>
        <v>2019</v>
      </c>
      <c r="B1284" s="6" t="str">
        <f>IFERROR(__xludf.DUMMYFUNCTION("""COMPUTED_VALUE"""),"Fevereiro")</f>
        <v>Fevereiro</v>
      </c>
      <c r="C1284" s="6" t="str">
        <f>IFERROR(__xludf.DUMMYFUNCTION("""COMPUTED_VALUE"""),"FEMINICÍDIO")</f>
        <v>FEMINICÍDIO</v>
      </c>
      <c r="D1284" s="6">
        <f>IFERROR(__xludf.DUMMYFUNCTION("""COMPUTED_VALUE"""),2.0)</f>
        <v>2</v>
      </c>
      <c r="E1284" s="6">
        <f>IFERROR(__xludf.DUMMYFUNCTION("""COMPUTED_VALUE"""),3.0)</f>
        <v>3</v>
      </c>
      <c r="F1284" s="6">
        <f>IFERROR(__xludf.DUMMYFUNCTION("""COMPUTED_VALUE"""),5.0)</f>
        <v>5</v>
      </c>
      <c r="G1284" s="6">
        <f>IFERROR(__xludf.DUMMYFUNCTION("""COMPUTED_VALUE"""),10.0)</f>
        <v>10</v>
      </c>
    </row>
    <row r="1285">
      <c r="A1285" s="6">
        <f>IFERROR(__xludf.DUMMYFUNCTION("""COMPUTED_VALUE"""),2019.0)</f>
        <v>2019</v>
      </c>
      <c r="B1285" s="6" t="str">
        <f>IFERROR(__xludf.DUMMYFUNCTION("""COMPUTED_VALUE"""),"Fevereiro")</f>
        <v>Fevereiro</v>
      </c>
      <c r="C1285" s="6" t="str">
        <f>IFERROR(__xludf.DUMMYFUNCTION("""COMPUTED_VALUE"""),"HOMICÍDIO CULPOSO")</f>
        <v>HOMICÍDIO CULPOSO</v>
      </c>
      <c r="D1285" s="6">
        <f>IFERROR(__xludf.DUMMYFUNCTION("""COMPUTED_VALUE"""),0.0)</f>
        <v>0</v>
      </c>
      <c r="E1285" s="6">
        <f>IFERROR(__xludf.DUMMYFUNCTION("""COMPUTED_VALUE"""),0.0)</f>
        <v>0</v>
      </c>
      <c r="F1285" s="6">
        <f>IFERROR(__xludf.DUMMYFUNCTION("""COMPUTED_VALUE"""),0.0)</f>
        <v>0</v>
      </c>
      <c r="G1285" s="6">
        <f>IFERROR(__xludf.DUMMYFUNCTION("""COMPUTED_VALUE"""),0.0)</f>
        <v>0</v>
      </c>
    </row>
    <row r="1286">
      <c r="A1286" s="6">
        <f>IFERROR(__xludf.DUMMYFUNCTION("""COMPUTED_VALUE"""),2019.0)</f>
        <v>2019</v>
      </c>
      <c r="B1286" s="6" t="str">
        <f>IFERROR(__xludf.DUMMYFUNCTION("""COMPUTED_VALUE"""),"Fevereiro")</f>
        <v>Fevereiro</v>
      </c>
      <c r="C1286" s="6" t="str">
        <f>IFERROR(__xludf.DUMMYFUNCTION("""COMPUTED_VALUE"""),"TENTATIVA DE HOMICÍDIO")</f>
        <v>TENTATIVA DE HOMICÍDIO</v>
      </c>
      <c r="D1286" s="6">
        <f>IFERROR(__xludf.DUMMYFUNCTION("""COMPUTED_VALUE"""),1.0)</f>
        <v>1</v>
      </c>
      <c r="E1286" s="6">
        <f>IFERROR(__xludf.DUMMYFUNCTION("""COMPUTED_VALUE"""),1.0)</f>
        <v>1</v>
      </c>
      <c r="F1286" s="6">
        <f>IFERROR(__xludf.DUMMYFUNCTION("""COMPUTED_VALUE"""),11.0)</f>
        <v>11</v>
      </c>
      <c r="G1286" s="6">
        <f>IFERROR(__xludf.DUMMYFUNCTION("""COMPUTED_VALUE"""),13.0)</f>
        <v>13</v>
      </c>
    </row>
    <row r="1287">
      <c r="A1287" s="6">
        <f>IFERROR(__xludf.DUMMYFUNCTION("""COMPUTED_VALUE"""),2019.0)</f>
        <v>2019</v>
      </c>
      <c r="B1287" s="6" t="str">
        <f>IFERROR(__xludf.DUMMYFUNCTION("""COMPUTED_VALUE"""),"Fevereiro")</f>
        <v>Fevereiro</v>
      </c>
      <c r="C1287" s="6" t="str">
        <f>IFERROR(__xludf.DUMMYFUNCTION("""COMPUTED_VALUE"""),"LESÃO CORPORAL DOLOSA")</f>
        <v>LESÃO CORPORAL DOLOSA</v>
      </c>
      <c r="D1287" s="6">
        <f>IFERROR(__xludf.DUMMYFUNCTION("""COMPUTED_VALUE"""),912.0)</f>
        <v>912</v>
      </c>
      <c r="E1287" s="6">
        <f>IFERROR(__xludf.DUMMYFUNCTION("""COMPUTED_VALUE"""),784.0)</f>
        <v>784</v>
      </c>
      <c r="F1287" s="6">
        <f>IFERROR(__xludf.DUMMYFUNCTION("""COMPUTED_VALUE"""),2814.0)</f>
        <v>2814</v>
      </c>
      <c r="G1287" s="6">
        <f>IFERROR(__xludf.DUMMYFUNCTION("""COMPUTED_VALUE"""),4510.0)</f>
        <v>4510</v>
      </c>
    </row>
    <row r="1288">
      <c r="A1288" s="6">
        <f>IFERROR(__xludf.DUMMYFUNCTION("""COMPUTED_VALUE"""),2019.0)</f>
        <v>2019</v>
      </c>
      <c r="B1288" s="6" t="str">
        <f>IFERROR(__xludf.DUMMYFUNCTION("""COMPUTED_VALUE"""),"Fevereiro")</f>
        <v>Fevereiro</v>
      </c>
      <c r="C1288" s="6" t="str">
        <f>IFERROR(__xludf.DUMMYFUNCTION("""COMPUTED_VALUE"""),"MAUS TRATOS")</f>
        <v>MAUS TRATOS</v>
      </c>
      <c r="D1288" s="6">
        <f>IFERROR(__xludf.DUMMYFUNCTION("""COMPUTED_VALUE"""),2.0)</f>
        <v>2</v>
      </c>
      <c r="E1288" s="6">
        <f>IFERROR(__xludf.DUMMYFUNCTION("""COMPUTED_VALUE"""),2.0)</f>
        <v>2</v>
      </c>
      <c r="F1288" s="6">
        <f>IFERROR(__xludf.DUMMYFUNCTION("""COMPUTED_VALUE"""),14.0)</f>
        <v>14</v>
      </c>
      <c r="G1288" s="6">
        <f>IFERROR(__xludf.DUMMYFUNCTION("""COMPUTED_VALUE"""),18.0)</f>
        <v>18</v>
      </c>
    </row>
    <row r="1289">
      <c r="A1289" s="6">
        <f>IFERROR(__xludf.DUMMYFUNCTION("""COMPUTED_VALUE"""),2019.0)</f>
        <v>2019</v>
      </c>
      <c r="B1289" s="6" t="str">
        <f>IFERROR(__xludf.DUMMYFUNCTION("""COMPUTED_VALUE"""),"Fevereiro")</f>
        <v>Fevereiro</v>
      </c>
      <c r="C1289" s="6" t="str">
        <f>IFERROR(__xludf.DUMMYFUNCTION("""COMPUTED_VALUE"""),"CALÚNIA - DIFAMAÇÃO - INJÚRIA")</f>
        <v>CALÚNIA - DIFAMAÇÃO - INJÚRIA</v>
      </c>
      <c r="D1289" s="6">
        <f>IFERROR(__xludf.DUMMYFUNCTION("""COMPUTED_VALUE"""),178.0)</f>
        <v>178</v>
      </c>
      <c r="E1289" s="6">
        <f>IFERROR(__xludf.DUMMYFUNCTION("""COMPUTED_VALUE"""),151.0)</f>
        <v>151</v>
      </c>
      <c r="F1289" s="6">
        <f>IFERROR(__xludf.DUMMYFUNCTION("""COMPUTED_VALUE"""),654.0)</f>
        <v>654</v>
      </c>
      <c r="G1289" s="6">
        <f>IFERROR(__xludf.DUMMYFUNCTION("""COMPUTED_VALUE"""),983.0)</f>
        <v>983</v>
      </c>
    </row>
    <row r="1290">
      <c r="A1290" s="6">
        <f>IFERROR(__xludf.DUMMYFUNCTION("""COMPUTED_VALUE"""),2019.0)</f>
        <v>2019</v>
      </c>
      <c r="B1290" s="6" t="str">
        <f>IFERROR(__xludf.DUMMYFUNCTION("""COMPUTED_VALUE"""),"Fevereiro")</f>
        <v>Fevereiro</v>
      </c>
      <c r="C1290" s="6" t="str">
        <f>IFERROR(__xludf.DUMMYFUNCTION("""COMPUTED_VALUE"""),"CONSTRANGIMENTO ILEGAL")</f>
        <v>CONSTRANGIMENTO ILEGAL</v>
      </c>
      <c r="D1290" s="6">
        <f>IFERROR(__xludf.DUMMYFUNCTION("""COMPUTED_VALUE"""),1.0)</f>
        <v>1</v>
      </c>
      <c r="E1290" s="6">
        <f>IFERROR(__xludf.DUMMYFUNCTION("""COMPUTED_VALUE"""),0.0)</f>
        <v>0</v>
      </c>
      <c r="F1290" s="6">
        <f>IFERROR(__xludf.DUMMYFUNCTION("""COMPUTED_VALUE"""),5.0)</f>
        <v>5</v>
      </c>
      <c r="G1290" s="6">
        <f>IFERROR(__xludf.DUMMYFUNCTION("""COMPUTED_VALUE"""),6.0)</f>
        <v>6</v>
      </c>
    </row>
    <row r="1291">
      <c r="A1291" s="6">
        <f>IFERROR(__xludf.DUMMYFUNCTION("""COMPUTED_VALUE"""),2019.0)</f>
        <v>2019</v>
      </c>
      <c r="B1291" s="6" t="str">
        <f>IFERROR(__xludf.DUMMYFUNCTION("""COMPUTED_VALUE"""),"Fevereiro")</f>
        <v>Fevereiro</v>
      </c>
      <c r="C1291" s="6" t="str">
        <f>IFERROR(__xludf.DUMMYFUNCTION("""COMPUTED_VALUE"""),"AMEAÇA")</f>
        <v>AMEAÇA</v>
      </c>
      <c r="D1291" s="6">
        <f>IFERROR(__xludf.DUMMYFUNCTION("""COMPUTED_VALUE"""),842.0)</f>
        <v>842</v>
      </c>
      <c r="E1291" s="6">
        <f>IFERROR(__xludf.DUMMYFUNCTION("""COMPUTED_VALUE"""),771.0)</f>
        <v>771</v>
      </c>
      <c r="F1291" s="6">
        <f>IFERROR(__xludf.DUMMYFUNCTION("""COMPUTED_VALUE"""),2884.0)</f>
        <v>2884</v>
      </c>
      <c r="G1291" s="6">
        <f>IFERROR(__xludf.DUMMYFUNCTION("""COMPUTED_VALUE"""),4497.0)</f>
        <v>4497</v>
      </c>
    </row>
    <row r="1292">
      <c r="A1292" s="6">
        <f>IFERROR(__xludf.DUMMYFUNCTION("""COMPUTED_VALUE"""),2019.0)</f>
        <v>2019</v>
      </c>
      <c r="B1292" s="6" t="str">
        <f>IFERROR(__xludf.DUMMYFUNCTION("""COMPUTED_VALUE"""),"Fevereiro")</f>
        <v>Fevereiro</v>
      </c>
      <c r="C1292" s="6" t="str">
        <f>IFERROR(__xludf.DUMMYFUNCTION("""COMPUTED_VALUE"""),"INVASÃO DE DOMICÍLIO")</f>
        <v>INVASÃO DE DOMICÍLIO</v>
      </c>
      <c r="D1292" s="6">
        <f>IFERROR(__xludf.DUMMYFUNCTION("""COMPUTED_VALUE"""),1.0)</f>
        <v>1</v>
      </c>
      <c r="E1292" s="6">
        <f>IFERROR(__xludf.DUMMYFUNCTION("""COMPUTED_VALUE"""),1.0)</f>
        <v>1</v>
      </c>
      <c r="F1292" s="6">
        <f>IFERROR(__xludf.DUMMYFUNCTION("""COMPUTED_VALUE"""),11.0)</f>
        <v>11</v>
      </c>
      <c r="G1292" s="6">
        <f>IFERROR(__xludf.DUMMYFUNCTION("""COMPUTED_VALUE"""),13.0)</f>
        <v>13</v>
      </c>
    </row>
    <row r="1293">
      <c r="A1293" s="6">
        <f>IFERROR(__xludf.DUMMYFUNCTION("""COMPUTED_VALUE"""),2019.0)</f>
        <v>2019</v>
      </c>
      <c r="B1293" s="6" t="str">
        <f>IFERROR(__xludf.DUMMYFUNCTION("""COMPUTED_VALUE"""),"Fevereiro")</f>
        <v>Fevereiro</v>
      </c>
      <c r="C1293" s="6" t="str">
        <f>IFERROR(__xludf.DUMMYFUNCTION("""COMPUTED_VALUE"""),"DANO")</f>
        <v>DANO</v>
      </c>
      <c r="D1293" s="6">
        <f>IFERROR(__xludf.DUMMYFUNCTION("""COMPUTED_VALUE"""),9.0)</f>
        <v>9</v>
      </c>
      <c r="E1293" s="6">
        <f>IFERROR(__xludf.DUMMYFUNCTION("""COMPUTED_VALUE"""),9.0)</f>
        <v>9</v>
      </c>
      <c r="F1293" s="6">
        <f>IFERROR(__xludf.DUMMYFUNCTION("""COMPUTED_VALUE"""),51.0)</f>
        <v>51</v>
      </c>
      <c r="G1293" s="6">
        <f>IFERROR(__xludf.DUMMYFUNCTION("""COMPUTED_VALUE"""),69.0)</f>
        <v>69</v>
      </c>
    </row>
    <row r="1294">
      <c r="A1294" s="6">
        <f>IFERROR(__xludf.DUMMYFUNCTION("""COMPUTED_VALUE"""),2019.0)</f>
        <v>2019</v>
      </c>
      <c r="B1294" s="6" t="str">
        <f>IFERROR(__xludf.DUMMYFUNCTION("""COMPUTED_VALUE"""),"Fevereiro")</f>
        <v>Fevereiro</v>
      </c>
      <c r="C1294" s="6" t="str">
        <f>IFERROR(__xludf.DUMMYFUNCTION("""COMPUTED_VALUE"""),"ESTUPRO CONSUMADO")</f>
        <v>ESTUPRO CONSUMADO</v>
      </c>
      <c r="D1294" s="6">
        <f>IFERROR(__xludf.DUMMYFUNCTION("""COMPUTED_VALUE"""),9.0)</f>
        <v>9</v>
      </c>
      <c r="E1294" s="6">
        <f>IFERROR(__xludf.DUMMYFUNCTION("""COMPUTED_VALUE"""),6.0)</f>
        <v>6</v>
      </c>
      <c r="F1294" s="6">
        <f>IFERROR(__xludf.DUMMYFUNCTION("""COMPUTED_VALUE"""),16.0)</f>
        <v>16</v>
      </c>
      <c r="G1294" s="6">
        <f>IFERROR(__xludf.DUMMYFUNCTION("""COMPUTED_VALUE"""),31.0)</f>
        <v>31</v>
      </c>
    </row>
    <row r="1295">
      <c r="A1295" s="6">
        <f>IFERROR(__xludf.DUMMYFUNCTION("""COMPUTED_VALUE"""),2019.0)</f>
        <v>2019</v>
      </c>
      <c r="B1295" s="6" t="str">
        <f>IFERROR(__xludf.DUMMYFUNCTION("""COMPUTED_VALUE"""),"Fevereiro")</f>
        <v>Fevereiro</v>
      </c>
      <c r="C1295" s="6" t="str">
        <f>IFERROR(__xludf.DUMMYFUNCTION("""COMPUTED_VALUE"""),"ESTUPRO TENTADO")</f>
        <v>ESTUPRO TENTADO</v>
      </c>
      <c r="D1295" s="6">
        <f>IFERROR(__xludf.DUMMYFUNCTION("""COMPUTED_VALUE"""),0.0)</f>
        <v>0</v>
      </c>
      <c r="E1295" s="6">
        <f>IFERROR(__xludf.DUMMYFUNCTION("""COMPUTED_VALUE"""),0.0)</f>
        <v>0</v>
      </c>
      <c r="F1295" s="6">
        <f>IFERROR(__xludf.DUMMYFUNCTION("""COMPUTED_VALUE"""),1.0)</f>
        <v>1</v>
      </c>
      <c r="G1295" s="6">
        <f>IFERROR(__xludf.DUMMYFUNCTION("""COMPUTED_VALUE"""),1.0)</f>
        <v>1</v>
      </c>
    </row>
    <row r="1296">
      <c r="A1296" s="6">
        <f>IFERROR(__xludf.DUMMYFUNCTION("""COMPUTED_VALUE"""),2019.0)</f>
        <v>2019</v>
      </c>
      <c r="B1296" s="6" t="str">
        <f>IFERROR(__xludf.DUMMYFUNCTION("""COMPUTED_VALUE"""),"Fevereiro")</f>
        <v>Fevereiro</v>
      </c>
      <c r="C1296" s="6" t="str">
        <f>IFERROR(__xludf.DUMMYFUNCTION("""COMPUTED_VALUE"""),"ESTUPRO DE VULNERÁVEL CONSUMADO")</f>
        <v>ESTUPRO DE VULNERÁVEL CONSUMADO</v>
      </c>
      <c r="D1296" s="6">
        <f>IFERROR(__xludf.DUMMYFUNCTION("""COMPUTED_VALUE"""),2.0)</f>
        <v>2</v>
      </c>
      <c r="E1296" s="6">
        <f>IFERROR(__xludf.DUMMYFUNCTION("""COMPUTED_VALUE"""),3.0)</f>
        <v>3</v>
      </c>
      <c r="F1296" s="6">
        <f>IFERROR(__xludf.DUMMYFUNCTION("""COMPUTED_VALUE"""),15.0)</f>
        <v>15</v>
      </c>
      <c r="G1296" s="6">
        <f>IFERROR(__xludf.DUMMYFUNCTION("""COMPUTED_VALUE"""),20.0)</f>
        <v>20</v>
      </c>
    </row>
    <row r="1297">
      <c r="A1297" s="6">
        <f>IFERROR(__xludf.DUMMYFUNCTION("""COMPUTED_VALUE"""),2019.0)</f>
        <v>2019</v>
      </c>
      <c r="B1297" s="6" t="str">
        <f>IFERROR(__xludf.DUMMYFUNCTION("""COMPUTED_VALUE"""),"Fevereiro")</f>
        <v>Fevereiro</v>
      </c>
      <c r="C1297" s="6" t="str">
        <f>IFERROR(__xludf.DUMMYFUNCTION("""COMPUTED_VALUE"""),"OUTROS C/C/ DIGNIDADE SEXUAL")</f>
        <v>OUTROS C/C/ DIGNIDADE SEXUAL</v>
      </c>
      <c r="D1297" s="6">
        <f>IFERROR(__xludf.DUMMYFUNCTION("""COMPUTED_VALUE"""),0.0)</f>
        <v>0</v>
      </c>
      <c r="E1297" s="6">
        <f>IFERROR(__xludf.DUMMYFUNCTION("""COMPUTED_VALUE"""),0.0)</f>
        <v>0</v>
      </c>
      <c r="F1297" s="6">
        <f>IFERROR(__xludf.DUMMYFUNCTION("""COMPUTED_VALUE"""),1.0)</f>
        <v>1</v>
      </c>
      <c r="G1297" s="6">
        <f>IFERROR(__xludf.DUMMYFUNCTION("""COMPUTED_VALUE"""),1.0)</f>
        <v>1</v>
      </c>
    </row>
    <row r="1298">
      <c r="A1298" s="6">
        <f>IFERROR(__xludf.DUMMYFUNCTION("""COMPUTED_VALUE"""),2019.0)</f>
        <v>2019</v>
      </c>
      <c r="B1298" s="6" t="str">
        <f>IFERROR(__xludf.DUMMYFUNCTION("""COMPUTED_VALUE"""),"Março")</f>
        <v>Março</v>
      </c>
      <c r="C1298" s="6" t="str">
        <f>IFERROR(__xludf.DUMMYFUNCTION("""COMPUTED_VALUE"""),"HOMICÍDIO DOLOSO (exclui FEMINICÍDIO)")</f>
        <v>HOMICÍDIO DOLOSO (exclui FEMINICÍDIO)</v>
      </c>
      <c r="D1298" s="6">
        <f>IFERROR(__xludf.DUMMYFUNCTION("""COMPUTED_VALUE"""),2.0)</f>
        <v>2</v>
      </c>
      <c r="E1298" s="6">
        <f>IFERROR(__xludf.DUMMYFUNCTION("""COMPUTED_VALUE"""),1.0)</f>
        <v>1</v>
      </c>
      <c r="F1298" s="6">
        <f>IFERROR(__xludf.DUMMYFUNCTION("""COMPUTED_VALUE"""),3.0)</f>
        <v>3</v>
      </c>
      <c r="G1298" s="6">
        <f>IFERROR(__xludf.DUMMYFUNCTION("""COMPUTED_VALUE"""),6.0)</f>
        <v>6</v>
      </c>
    </row>
    <row r="1299">
      <c r="A1299" s="6">
        <f>IFERROR(__xludf.DUMMYFUNCTION("""COMPUTED_VALUE"""),2019.0)</f>
        <v>2019</v>
      </c>
      <c r="B1299" s="6" t="str">
        <f>IFERROR(__xludf.DUMMYFUNCTION("""COMPUTED_VALUE"""),"Março")</f>
        <v>Março</v>
      </c>
      <c r="C1299" s="6" t="str">
        <f>IFERROR(__xludf.DUMMYFUNCTION("""COMPUTED_VALUE"""),"FEMINICÍDIO")</f>
        <v>FEMINICÍDIO</v>
      </c>
      <c r="D1299" s="6">
        <f>IFERROR(__xludf.DUMMYFUNCTION("""COMPUTED_VALUE"""),3.0)</f>
        <v>3</v>
      </c>
      <c r="E1299" s="6">
        <f>IFERROR(__xludf.DUMMYFUNCTION("""COMPUTED_VALUE"""),4.0)</f>
        <v>4</v>
      </c>
      <c r="F1299" s="6">
        <f>IFERROR(__xludf.DUMMYFUNCTION("""COMPUTED_VALUE"""),8.0)</f>
        <v>8</v>
      </c>
      <c r="G1299" s="6">
        <f>IFERROR(__xludf.DUMMYFUNCTION("""COMPUTED_VALUE"""),15.0)</f>
        <v>15</v>
      </c>
    </row>
    <row r="1300">
      <c r="A1300" s="6">
        <f>IFERROR(__xludf.DUMMYFUNCTION("""COMPUTED_VALUE"""),2019.0)</f>
        <v>2019</v>
      </c>
      <c r="B1300" s="6" t="str">
        <f>IFERROR(__xludf.DUMMYFUNCTION("""COMPUTED_VALUE"""),"Março")</f>
        <v>Março</v>
      </c>
      <c r="C1300" s="6" t="str">
        <f>IFERROR(__xludf.DUMMYFUNCTION("""COMPUTED_VALUE"""),"HOMICÍDIO CULPOSO")</f>
        <v>HOMICÍDIO CULPOSO</v>
      </c>
      <c r="D1300" s="6">
        <f>IFERROR(__xludf.DUMMYFUNCTION("""COMPUTED_VALUE"""),0.0)</f>
        <v>0</v>
      </c>
      <c r="E1300" s="6">
        <f>IFERROR(__xludf.DUMMYFUNCTION("""COMPUTED_VALUE"""),0.0)</f>
        <v>0</v>
      </c>
      <c r="F1300" s="6">
        <f>IFERROR(__xludf.DUMMYFUNCTION("""COMPUTED_VALUE"""),0.0)</f>
        <v>0</v>
      </c>
      <c r="G1300" s="6">
        <f>IFERROR(__xludf.DUMMYFUNCTION("""COMPUTED_VALUE"""),0.0)</f>
        <v>0</v>
      </c>
    </row>
    <row r="1301">
      <c r="A1301" s="6">
        <f>IFERROR(__xludf.DUMMYFUNCTION("""COMPUTED_VALUE"""),2019.0)</f>
        <v>2019</v>
      </c>
      <c r="B1301" s="6" t="str">
        <f>IFERROR(__xludf.DUMMYFUNCTION("""COMPUTED_VALUE"""),"Março")</f>
        <v>Março</v>
      </c>
      <c r="C1301" s="6" t="str">
        <f>IFERROR(__xludf.DUMMYFUNCTION("""COMPUTED_VALUE"""),"TENTATIVA DE HOMICÍDIO")</f>
        <v>TENTATIVA DE HOMICÍDIO</v>
      </c>
      <c r="D1301" s="6">
        <f>IFERROR(__xludf.DUMMYFUNCTION("""COMPUTED_VALUE"""),3.0)</f>
        <v>3</v>
      </c>
      <c r="E1301" s="6">
        <f>IFERROR(__xludf.DUMMYFUNCTION("""COMPUTED_VALUE"""),2.0)</f>
        <v>2</v>
      </c>
      <c r="F1301" s="6">
        <f>IFERROR(__xludf.DUMMYFUNCTION("""COMPUTED_VALUE"""),14.0)</f>
        <v>14</v>
      </c>
      <c r="G1301" s="6">
        <f>IFERROR(__xludf.DUMMYFUNCTION("""COMPUTED_VALUE"""),19.0)</f>
        <v>19</v>
      </c>
    </row>
    <row r="1302">
      <c r="A1302" s="6">
        <f>IFERROR(__xludf.DUMMYFUNCTION("""COMPUTED_VALUE"""),2019.0)</f>
        <v>2019</v>
      </c>
      <c r="B1302" s="6" t="str">
        <f>IFERROR(__xludf.DUMMYFUNCTION("""COMPUTED_VALUE"""),"Março")</f>
        <v>Março</v>
      </c>
      <c r="C1302" s="6" t="str">
        <f>IFERROR(__xludf.DUMMYFUNCTION("""COMPUTED_VALUE"""),"LESÃO CORPORAL DOLOSA")</f>
        <v>LESÃO CORPORAL DOLOSA</v>
      </c>
      <c r="D1302" s="6">
        <f>IFERROR(__xludf.DUMMYFUNCTION("""COMPUTED_VALUE"""),1124.0)</f>
        <v>1124</v>
      </c>
      <c r="E1302" s="6">
        <f>IFERROR(__xludf.DUMMYFUNCTION("""COMPUTED_VALUE"""),918.0)</f>
        <v>918</v>
      </c>
      <c r="F1302" s="6">
        <f>IFERROR(__xludf.DUMMYFUNCTION("""COMPUTED_VALUE"""),3416.0)</f>
        <v>3416</v>
      </c>
      <c r="G1302" s="6">
        <f>IFERROR(__xludf.DUMMYFUNCTION("""COMPUTED_VALUE"""),5458.0)</f>
        <v>5458</v>
      </c>
    </row>
    <row r="1303">
      <c r="A1303" s="6">
        <f>IFERROR(__xludf.DUMMYFUNCTION("""COMPUTED_VALUE"""),2019.0)</f>
        <v>2019</v>
      </c>
      <c r="B1303" s="6" t="str">
        <f>IFERROR(__xludf.DUMMYFUNCTION("""COMPUTED_VALUE"""),"Março")</f>
        <v>Março</v>
      </c>
      <c r="C1303" s="6" t="str">
        <f>IFERROR(__xludf.DUMMYFUNCTION("""COMPUTED_VALUE"""),"MAUS TRATOS")</f>
        <v>MAUS TRATOS</v>
      </c>
      <c r="D1303" s="6">
        <f>IFERROR(__xludf.DUMMYFUNCTION("""COMPUTED_VALUE"""),4.0)</f>
        <v>4</v>
      </c>
      <c r="E1303" s="6">
        <f>IFERROR(__xludf.DUMMYFUNCTION("""COMPUTED_VALUE"""),2.0)</f>
        <v>2</v>
      </c>
      <c r="F1303" s="6">
        <f>IFERROR(__xludf.DUMMYFUNCTION("""COMPUTED_VALUE"""),21.0)</f>
        <v>21</v>
      </c>
      <c r="G1303" s="6">
        <f>IFERROR(__xludf.DUMMYFUNCTION("""COMPUTED_VALUE"""),27.0)</f>
        <v>27</v>
      </c>
    </row>
    <row r="1304">
      <c r="A1304" s="6">
        <f>IFERROR(__xludf.DUMMYFUNCTION("""COMPUTED_VALUE"""),2019.0)</f>
        <v>2019</v>
      </c>
      <c r="B1304" s="6" t="str">
        <f>IFERROR(__xludf.DUMMYFUNCTION("""COMPUTED_VALUE"""),"Março")</f>
        <v>Março</v>
      </c>
      <c r="C1304" s="6" t="str">
        <f>IFERROR(__xludf.DUMMYFUNCTION("""COMPUTED_VALUE"""),"CALÚNIA - DIFAMAÇÃO - INJÚRIA")</f>
        <v>CALÚNIA - DIFAMAÇÃO - INJÚRIA</v>
      </c>
      <c r="D1304" s="6">
        <f>IFERROR(__xludf.DUMMYFUNCTION("""COMPUTED_VALUE"""),212.0)</f>
        <v>212</v>
      </c>
      <c r="E1304" s="6">
        <f>IFERROR(__xludf.DUMMYFUNCTION("""COMPUTED_VALUE"""),181.0)</f>
        <v>181</v>
      </c>
      <c r="F1304" s="6">
        <f>IFERROR(__xludf.DUMMYFUNCTION("""COMPUTED_VALUE"""),792.0)</f>
        <v>792</v>
      </c>
      <c r="G1304" s="6">
        <f>IFERROR(__xludf.DUMMYFUNCTION("""COMPUTED_VALUE"""),1185.0)</f>
        <v>1185</v>
      </c>
    </row>
    <row r="1305">
      <c r="A1305" s="6">
        <f>IFERROR(__xludf.DUMMYFUNCTION("""COMPUTED_VALUE"""),2019.0)</f>
        <v>2019</v>
      </c>
      <c r="B1305" s="6" t="str">
        <f>IFERROR(__xludf.DUMMYFUNCTION("""COMPUTED_VALUE"""),"Março")</f>
        <v>Março</v>
      </c>
      <c r="C1305" s="6" t="str">
        <f>IFERROR(__xludf.DUMMYFUNCTION("""COMPUTED_VALUE"""),"CONSTRANGIMENTO ILEGAL")</f>
        <v>CONSTRANGIMENTO ILEGAL</v>
      </c>
      <c r="D1305" s="6">
        <f>IFERROR(__xludf.DUMMYFUNCTION("""COMPUTED_VALUE"""),2.0)</f>
        <v>2</v>
      </c>
      <c r="E1305" s="6">
        <f>IFERROR(__xludf.DUMMYFUNCTION("""COMPUTED_VALUE"""),1.0)</f>
        <v>1</v>
      </c>
      <c r="F1305" s="6">
        <f>IFERROR(__xludf.DUMMYFUNCTION("""COMPUTED_VALUE"""),8.0)</f>
        <v>8</v>
      </c>
      <c r="G1305" s="6">
        <f>IFERROR(__xludf.DUMMYFUNCTION("""COMPUTED_VALUE"""),11.0)</f>
        <v>11</v>
      </c>
    </row>
    <row r="1306">
      <c r="A1306" s="6">
        <f>IFERROR(__xludf.DUMMYFUNCTION("""COMPUTED_VALUE"""),2019.0)</f>
        <v>2019</v>
      </c>
      <c r="B1306" s="6" t="str">
        <f>IFERROR(__xludf.DUMMYFUNCTION("""COMPUTED_VALUE"""),"Março")</f>
        <v>Março</v>
      </c>
      <c r="C1306" s="6" t="str">
        <f>IFERROR(__xludf.DUMMYFUNCTION("""COMPUTED_VALUE"""),"AMEAÇA")</f>
        <v>AMEAÇA</v>
      </c>
      <c r="D1306" s="6">
        <f>IFERROR(__xludf.DUMMYFUNCTION("""COMPUTED_VALUE"""),1084.0)</f>
        <v>1084</v>
      </c>
      <c r="E1306" s="6">
        <f>IFERROR(__xludf.DUMMYFUNCTION("""COMPUTED_VALUE"""),942.0)</f>
        <v>942</v>
      </c>
      <c r="F1306" s="6">
        <f>IFERROR(__xludf.DUMMYFUNCTION("""COMPUTED_VALUE"""),3584.0)</f>
        <v>3584</v>
      </c>
      <c r="G1306" s="6">
        <f>IFERROR(__xludf.DUMMYFUNCTION("""COMPUTED_VALUE"""),5610.0)</f>
        <v>5610</v>
      </c>
    </row>
    <row r="1307">
      <c r="A1307" s="6">
        <f>IFERROR(__xludf.DUMMYFUNCTION("""COMPUTED_VALUE"""),2019.0)</f>
        <v>2019</v>
      </c>
      <c r="B1307" s="6" t="str">
        <f>IFERROR(__xludf.DUMMYFUNCTION("""COMPUTED_VALUE"""),"Março")</f>
        <v>Março</v>
      </c>
      <c r="C1307" s="6" t="str">
        <f>IFERROR(__xludf.DUMMYFUNCTION("""COMPUTED_VALUE"""),"INVASÃO DE DOMICÍLIO")</f>
        <v>INVASÃO DE DOMICÍLIO</v>
      </c>
      <c r="D1307" s="6">
        <f>IFERROR(__xludf.DUMMYFUNCTION("""COMPUTED_VALUE"""),2.0)</f>
        <v>2</v>
      </c>
      <c r="E1307" s="6">
        <f>IFERROR(__xludf.DUMMYFUNCTION("""COMPUTED_VALUE"""),3.0)</f>
        <v>3</v>
      </c>
      <c r="F1307" s="6">
        <f>IFERROR(__xludf.DUMMYFUNCTION("""COMPUTED_VALUE"""),15.0)</f>
        <v>15</v>
      </c>
      <c r="G1307" s="6">
        <f>IFERROR(__xludf.DUMMYFUNCTION("""COMPUTED_VALUE"""),20.0)</f>
        <v>20</v>
      </c>
    </row>
    <row r="1308">
      <c r="A1308" s="6">
        <f>IFERROR(__xludf.DUMMYFUNCTION("""COMPUTED_VALUE"""),2019.0)</f>
        <v>2019</v>
      </c>
      <c r="B1308" s="6" t="str">
        <f>IFERROR(__xludf.DUMMYFUNCTION("""COMPUTED_VALUE"""),"Março")</f>
        <v>Março</v>
      </c>
      <c r="C1308" s="6" t="str">
        <f>IFERROR(__xludf.DUMMYFUNCTION("""COMPUTED_VALUE"""),"DANO")</f>
        <v>DANO</v>
      </c>
      <c r="D1308" s="6">
        <f>IFERROR(__xludf.DUMMYFUNCTION("""COMPUTED_VALUE"""),14.0)</f>
        <v>14</v>
      </c>
      <c r="E1308" s="6">
        <f>IFERROR(__xludf.DUMMYFUNCTION("""COMPUTED_VALUE"""),12.0)</f>
        <v>12</v>
      </c>
      <c r="F1308" s="6">
        <f>IFERROR(__xludf.DUMMYFUNCTION("""COMPUTED_VALUE"""),68.0)</f>
        <v>68</v>
      </c>
      <c r="G1308" s="6">
        <f>IFERROR(__xludf.DUMMYFUNCTION("""COMPUTED_VALUE"""),94.0)</f>
        <v>94</v>
      </c>
    </row>
    <row r="1309">
      <c r="A1309" s="6">
        <f>IFERROR(__xludf.DUMMYFUNCTION("""COMPUTED_VALUE"""),2019.0)</f>
        <v>2019</v>
      </c>
      <c r="B1309" s="6" t="str">
        <f>IFERROR(__xludf.DUMMYFUNCTION("""COMPUTED_VALUE"""),"Março")</f>
        <v>Março</v>
      </c>
      <c r="C1309" s="6" t="str">
        <f>IFERROR(__xludf.DUMMYFUNCTION("""COMPUTED_VALUE"""),"ESTUPRO CONSUMADO")</f>
        <v>ESTUPRO CONSUMADO</v>
      </c>
      <c r="D1309" s="6">
        <f>IFERROR(__xludf.DUMMYFUNCTION("""COMPUTED_VALUE"""),11.0)</f>
        <v>11</v>
      </c>
      <c r="E1309" s="6">
        <f>IFERROR(__xludf.DUMMYFUNCTION("""COMPUTED_VALUE"""),8.0)</f>
        <v>8</v>
      </c>
      <c r="F1309" s="6">
        <f>IFERROR(__xludf.DUMMYFUNCTION("""COMPUTED_VALUE"""),21.0)</f>
        <v>21</v>
      </c>
      <c r="G1309" s="6">
        <f>IFERROR(__xludf.DUMMYFUNCTION("""COMPUTED_VALUE"""),40.0)</f>
        <v>40</v>
      </c>
    </row>
    <row r="1310">
      <c r="A1310" s="6">
        <f>IFERROR(__xludf.DUMMYFUNCTION("""COMPUTED_VALUE"""),2019.0)</f>
        <v>2019</v>
      </c>
      <c r="B1310" s="6" t="str">
        <f>IFERROR(__xludf.DUMMYFUNCTION("""COMPUTED_VALUE"""),"Março")</f>
        <v>Março</v>
      </c>
      <c r="C1310" s="6" t="str">
        <f>IFERROR(__xludf.DUMMYFUNCTION("""COMPUTED_VALUE"""),"ESTUPRO TENTADO")</f>
        <v>ESTUPRO TENTADO</v>
      </c>
      <c r="D1310" s="6">
        <f>IFERROR(__xludf.DUMMYFUNCTION("""COMPUTED_VALUE"""),1.0)</f>
        <v>1</v>
      </c>
      <c r="E1310" s="6">
        <f>IFERROR(__xludf.DUMMYFUNCTION("""COMPUTED_VALUE"""),0.0)</f>
        <v>0</v>
      </c>
      <c r="F1310" s="6">
        <f>IFERROR(__xludf.DUMMYFUNCTION("""COMPUTED_VALUE"""),2.0)</f>
        <v>2</v>
      </c>
      <c r="G1310" s="6">
        <f>IFERROR(__xludf.DUMMYFUNCTION("""COMPUTED_VALUE"""),3.0)</f>
        <v>3</v>
      </c>
    </row>
    <row r="1311">
      <c r="A1311" s="6">
        <f>IFERROR(__xludf.DUMMYFUNCTION("""COMPUTED_VALUE"""),2019.0)</f>
        <v>2019</v>
      </c>
      <c r="B1311" s="6" t="str">
        <f>IFERROR(__xludf.DUMMYFUNCTION("""COMPUTED_VALUE"""),"Março")</f>
        <v>Março</v>
      </c>
      <c r="C1311" s="6" t="str">
        <f>IFERROR(__xludf.DUMMYFUNCTION("""COMPUTED_VALUE"""),"ESTUPRO DE VULNERÁVEL CONSUMADO")</f>
        <v>ESTUPRO DE VULNERÁVEL CONSUMADO</v>
      </c>
      <c r="D1311" s="6">
        <f>IFERROR(__xludf.DUMMYFUNCTION("""COMPUTED_VALUE"""),4.0)</f>
        <v>4</v>
      </c>
      <c r="E1311" s="6">
        <f>IFERROR(__xludf.DUMMYFUNCTION("""COMPUTED_VALUE"""),5.0)</f>
        <v>5</v>
      </c>
      <c r="F1311" s="6">
        <f>IFERROR(__xludf.DUMMYFUNCTION("""COMPUTED_VALUE"""),20.0)</f>
        <v>20</v>
      </c>
      <c r="G1311" s="6">
        <f>IFERROR(__xludf.DUMMYFUNCTION("""COMPUTED_VALUE"""),29.0)</f>
        <v>29</v>
      </c>
    </row>
    <row r="1312">
      <c r="A1312" s="6">
        <f>IFERROR(__xludf.DUMMYFUNCTION("""COMPUTED_VALUE"""),2019.0)</f>
        <v>2019</v>
      </c>
      <c r="B1312" s="6" t="str">
        <f>IFERROR(__xludf.DUMMYFUNCTION("""COMPUTED_VALUE"""),"Março")</f>
        <v>Março</v>
      </c>
      <c r="C1312" s="6" t="str">
        <f>IFERROR(__xludf.DUMMYFUNCTION("""COMPUTED_VALUE"""),"OUTROS C/C/ DIGNIDADE SEXUAL")</f>
        <v>OUTROS C/C/ DIGNIDADE SEXUAL</v>
      </c>
      <c r="D1312" s="6">
        <f>IFERROR(__xludf.DUMMYFUNCTION("""COMPUTED_VALUE"""),0.0)</f>
        <v>0</v>
      </c>
      <c r="E1312" s="6">
        <f>IFERROR(__xludf.DUMMYFUNCTION("""COMPUTED_VALUE"""),1.0)</f>
        <v>1</v>
      </c>
      <c r="F1312" s="6">
        <f>IFERROR(__xludf.DUMMYFUNCTION("""COMPUTED_VALUE"""),2.0)</f>
        <v>2</v>
      </c>
      <c r="G1312" s="6">
        <f>IFERROR(__xludf.DUMMYFUNCTION("""COMPUTED_VALUE"""),3.0)</f>
        <v>3</v>
      </c>
    </row>
    <row r="1313">
      <c r="A1313" s="6">
        <f>IFERROR(__xludf.DUMMYFUNCTION("""COMPUTED_VALUE"""),2019.0)</f>
        <v>2019</v>
      </c>
      <c r="B1313" s="6" t="str">
        <f>IFERROR(__xludf.DUMMYFUNCTION("""COMPUTED_VALUE"""),"Abril")</f>
        <v>Abril</v>
      </c>
      <c r="C1313" s="6" t="str">
        <f>IFERROR(__xludf.DUMMYFUNCTION("""COMPUTED_VALUE"""),"HOMICÍDIO DOLOSO (exclui FEMINICÍDIO)")</f>
        <v>HOMICÍDIO DOLOSO (exclui FEMINICÍDIO)</v>
      </c>
      <c r="D1313" s="6">
        <f>IFERROR(__xludf.DUMMYFUNCTION("""COMPUTED_VALUE"""),1.0)</f>
        <v>1</v>
      </c>
      <c r="E1313" s="6">
        <f>IFERROR(__xludf.DUMMYFUNCTION("""COMPUTED_VALUE"""),0.0)</f>
        <v>0</v>
      </c>
      <c r="F1313" s="6">
        <f>IFERROR(__xludf.DUMMYFUNCTION("""COMPUTED_VALUE"""),2.0)</f>
        <v>2</v>
      </c>
      <c r="G1313" s="6">
        <f>IFERROR(__xludf.DUMMYFUNCTION("""COMPUTED_VALUE"""),3.0)</f>
        <v>3</v>
      </c>
    </row>
    <row r="1314">
      <c r="A1314" s="6">
        <f>IFERROR(__xludf.DUMMYFUNCTION("""COMPUTED_VALUE"""),2019.0)</f>
        <v>2019</v>
      </c>
      <c r="B1314" s="6" t="str">
        <f>IFERROR(__xludf.DUMMYFUNCTION("""COMPUTED_VALUE"""),"Abril")</f>
        <v>Abril</v>
      </c>
      <c r="C1314" s="6" t="str">
        <f>IFERROR(__xludf.DUMMYFUNCTION("""COMPUTED_VALUE"""),"FEMINICÍDIO")</f>
        <v>FEMINICÍDIO</v>
      </c>
      <c r="D1314" s="6">
        <f>IFERROR(__xludf.DUMMYFUNCTION("""COMPUTED_VALUE"""),2.0)</f>
        <v>2</v>
      </c>
      <c r="E1314" s="6">
        <f>IFERROR(__xludf.DUMMYFUNCTION("""COMPUTED_VALUE"""),3.0)</f>
        <v>3</v>
      </c>
      <c r="F1314" s="6">
        <f>IFERROR(__xludf.DUMMYFUNCTION("""COMPUTED_VALUE"""),6.0)</f>
        <v>6</v>
      </c>
      <c r="G1314" s="6">
        <f>IFERROR(__xludf.DUMMYFUNCTION("""COMPUTED_VALUE"""),11.0)</f>
        <v>11</v>
      </c>
    </row>
    <row r="1315">
      <c r="A1315" s="6">
        <f>IFERROR(__xludf.DUMMYFUNCTION("""COMPUTED_VALUE"""),2019.0)</f>
        <v>2019</v>
      </c>
      <c r="B1315" s="6" t="str">
        <f>IFERROR(__xludf.DUMMYFUNCTION("""COMPUTED_VALUE"""),"Abril")</f>
        <v>Abril</v>
      </c>
      <c r="C1315" s="6" t="str">
        <f>IFERROR(__xludf.DUMMYFUNCTION("""COMPUTED_VALUE"""),"HOMICÍDIO CULPOSO")</f>
        <v>HOMICÍDIO CULPOSO</v>
      </c>
      <c r="D1315" s="6">
        <f>IFERROR(__xludf.DUMMYFUNCTION("""COMPUTED_VALUE"""),0.0)</f>
        <v>0</v>
      </c>
      <c r="E1315" s="6">
        <f>IFERROR(__xludf.DUMMYFUNCTION("""COMPUTED_VALUE"""),0.0)</f>
        <v>0</v>
      </c>
      <c r="F1315" s="6">
        <f>IFERROR(__xludf.DUMMYFUNCTION("""COMPUTED_VALUE"""),0.0)</f>
        <v>0</v>
      </c>
      <c r="G1315" s="6">
        <f>IFERROR(__xludf.DUMMYFUNCTION("""COMPUTED_VALUE"""),0.0)</f>
        <v>0</v>
      </c>
    </row>
    <row r="1316">
      <c r="A1316" s="6">
        <f>IFERROR(__xludf.DUMMYFUNCTION("""COMPUTED_VALUE"""),2019.0)</f>
        <v>2019</v>
      </c>
      <c r="B1316" s="6" t="str">
        <f>IFERROR(__xludf.DUMMYFUNCTION("""COMPUTED_VALUE"""),"Abril")</f>
        <v>Abril</v>
      </c>
      <c r="C1316" s="6" t="str">
        <f>IFERROR(__xludf.DUMMYFUNCTION("""COMPUTED_VALUE"""),"TENTATIVA DE HOMICÍDIO")</f>
        <v>TENTATIVA DE HOMICÍDIO</v>
      </c>
      <c r="D1316" s="6">
        <f>IFERROR(__xludf.DUMMYFUNCTION("""COMPUTED_VALUE"""),2.0)</f>
        <v>2</v>
      </c>
      <c r="E1316" s="6">
        <f>IFERROR(__xludf.DUMMYFUNCTION("""COMPUTED_VALUE"""),2.0)</f>
        <v>2</v>
      </c>
      <c r="F1316" s="6">
        <f>IFERROR(__xludf.DUMMYFUNCTION("""COMPUTED_VALUE"""),12.0)</f>
        <v>12</v>
      </c>
      <c r="G1316" s="6">
        <f>IFERROR(__xludf.DUMMYFUNCTION("""COMPUTED_VALUE"""),16.0)</f>
        <v>16</v>
      </c>
    </row>
    <row r="1317">
      <c r="A1317" s="6">
        <f>IFERROR(__xludf.DUMMYFUNCTION("""COMPUTED_VALUE"""),2019.0)</f>
        <v>2019</v>
      </c>
      <c r="B1317" s="6" t="str">
        <f>IFERROR(__xludf.DUMMYFUNCTION("""COMPUTED_VALUE"""),"Abril")</f>
        <v>Abril</v>
      </c>
      <c r="C1317" s="6" t="str">
        <f>IFERROR(__xludf.DUMMYFUNCTION("""COMPUTED_VALUE"""),"LESÃO CORPORAL DOLOSA")</f>
        <v>LESÃO CORPORAL DOLOSA</v>
      </c>
      <c r="D1317" s="6">
        <f>IFERROR(__xludf.DUMMYFUNCTION("""COMPUTED_VALUE"""),948.0)</f>
        <v>948</v>
      </c>
      <c r="E1317" s="6">
        <f>IFERROR(__xludf.DUMMYFUNCTION("""COMPUTED_VALUE"""),812.0)</f>
        <v>812</v>
      </c>
      <c r="F1317" s="6">
        <f>IFERROR(__xludf.DUMMYFUNCTION("""COMPUTED_VALUE"""),2914.0)</f>
        <v>2914</v>
      </c>
      <c r="G1317" s="6">
        <f>IFERROR(__xludf.DUMMYFUNCTION("""COMPUTED_VALUE"""),4674.0)</f>
        <v>4674</v>
      </c>
    </row>
    <row r="1318">
      <c r="A1318" s="6">
        <f>IFERROR(__xludf.DUMMYFUNCTION("""COMPUTED_VALUE"""),2019.0)</f>
        <v>2019</v>
      </c>
      <c r="B1318" s="6" t="str">
        <f>IFERROR(__xludf.DUMMYFUNCTION("""COMPUTED_VALUE"""),"Abril")</f>
        <v>Abril</v>
      </c>
      <c r="C1318" s="6" t="str">
        <f>IFERROR(__xludf.DUMMYFUNCTION("""COMPUTED_VALUE"""),"MAUS TRATOS")</f>
        <v>MAUS TRATOS</v>
      </c>
      <c r="D1318" s="6">
        <f>IFERROR(__xludf.DUMMYFUNCTION("""COMPUTED_VALUE"""),3.0)</f>
        <v>3</v>
      </c>
      <c r="E1318" s="6">
        <f>IFERROR(__xludf.DUMMYFUNCTION("""COMPUTED_VALUE"""),2.0)</f>
        <v>2</v>
      </c>
      <c r="F1318" s="6">
        <f>IFERROR(__xludf.DUMMYFUNCTION("""COMPUTED_VALUE"""),16.0)</f>
        <v>16</v>
      </c>
      <c r="G1318" s="6">
        <f>IFERROR(__xludf.DUMMYFUNCTION("""COMPUTED_VALUE"""),21.0)</f>
        <v>21</v>
      </c>
    </row>
    <row r="1319">
      <c r="A1319" s="6">
        <f>IFERROR(__xludf.DUMMYFUNCTION("""COMPUTED_VALUE"""),2019.0)</f>
        <v>2019</v>
      </c>
      <c r="B1319" s="6" t="str">
        <f>IFERROR(__xludf.DUMMYFUNCTION("""COMPUTED_VALUE"""),"Abril")</f>
        <v>Abril</v>
      </c>
      <c r="C1319" s="6" t="str">
        <f>IFERROR(__xludf.DUMMYFUNCTION("""COMPUTED_VALUE"""),"CALÚNIA - DIFAMAÇÃO - INJÚRIA")</f>
        <v>CALÚNIA - DIFAMAÇÃO - INJÚRIA</v>
      </c>
      <c r="D1319" s="6">
        <f>IFERROR(__xludf.DUMMYFUNCTION("""COMPUTED_VALUE"""),187.0)</f>
        <v>187</v>
      </c>
      <c r="E1319" s="6">
        <f>IFERROR(__xludf.DUMMYFUNCTION("""COMPUTED_VALUE"""),159.0)</f>
        <v>159</v>
      </c>
      <c r="F1319" s="6">
        <f>IFERROR(__xludf.DUMMYFUNCTION("""COMPUTED_VALUE"""),694.0)</f>
        <v>694</v>
      </c>
      <c r="G1319" s="6">
        <f>IFERROR(__xludf.DUMMYFUNCTION("""COMPUTED_VALUE"""),1040.0)</f>
        <v>1040</v>
      </c>
    </row>
    <row r="1320">
      <c r="A1320" s="6">
        <f>IFERROR(__xludf.DUMMYFUNCTION("""COMPUTED_VALUE"""),2019.0)</f>
        <v>2019</v>
      </c>
      <c r="B1320" s="6" t="str">
        <f>IFERROR(__xludf.DUMMYFUNCTION("""COMPUTED_VALUE"""),"Abril")</f>
        <v>Abril</v>
      </c>
      <c r="C1320" s="6" t="str">
        <f>IFERROR(__xludf.DUMMYFUNCTION("""COMPUTED_VALUE"""),"CONSTRANGIMENTO ILEGAL")</f>
        <v>CONSTRANGIMENTO ILEGAL</v>
      </c>
      <c r="D1320" s="6">
        <f>IFERROR(__xludf.DUMMYFUNCTION("""COMPUTED_VALUE"""),1.0)</f>
        <v>1</v>
      </c>
      <c r="E1320" s="6">
        <f>IFERROR(__xludf.DUMMYFUNCTION("""COMPUTED_VALUE"""),0.0)</f>
        <v>0</v>
      </c>
      <c r="F1320" s="6">
        <f>IFERROR(__xludf.DUMMYFUNCTION("""COMPUTED_VALUE"""),6.0)</f>
        <v>6</v>
      </c>
      <c r="G1320" s="6">
        <f>IFERROR(__xludf.DUMMYFUNCTION("""COMPUTED_VALUE"""),7.0)</f>
        <v>7</v>
      </c>
    </row>
    <row r="1321">
      <c r="A1321" s="6">
        <f>IFERROR(__xludf.DUMMYFUNCTION("""COMPUTED_VALUE"""),2019.0)</f>
        <v>2019</v>
      </c>
      <c r="B1321" s="6" t="str">
        <f>IFERROR(__xludf.DUMMYFUNCTION("""COMPUTED_VALUE"""),"Abril")</f>
        <v>Abril</v>
      </c>
      <c r="C1321" s="6" t="str">
        <f>IFERROR(__xludf.DUMMYFUNCTION("""COMPUTED_VALUE"""),"AMEAÇA")</f>
        <v>AMEAÇA</v>
      </c>
      <c r="D1321" s="6">
        <f>IFERROR(__xludf.DUMMYFUNCTION("""COMPUTED_VALUE"""),872.0)</f>
        <v>872</v>
      </c>
      <c r="E1321" s="6">
        <f>IFERROR(__xludf.DUMMYFUNCTION("""COMPUTED_VALUE"""),804.0)</f>
        <v>804</v>
      </c>
      <c r="F1321" s="6">
        <f>IFERROR(__xludf.DUMMYFUNCTION("""COMPUTED_VALUE"""),2984.0)</f>
        <v>2984</v>
      </c>
      <c r="G1321" s="6">
        <f>IFERROR(__xludf.DUMMYFUNCTION("""COMPUTED_VALUE"""),4660.0)</f>
        <v>4660</v>
      </c>
    </row>
    <row r="1322">
      <c r="A1322" s="6">
        <f>IFERROR(__xludf.DUMMYFUNCTION("""COMPUTED_VALUE"""),2019.0)</f>
        <v>2019</v>
      </c>
      <c r="B1322" s="6" t="str">
        <f>IFERROR(__xludf.DUMMYFUNCTION("""COMPUTED_VALUE"""),"Abril")</f>
        <v>Abril</v>
      </c>
      <c r="C1322" s="6" t="str">
        <f>IFERROR(__xludf.DUMMYFUNCTION("""COMPUTED_VALUE"""),"INVASÃO DE DOMICÍLIO")</f>
        <v>INVASÃO DE DOMICÍLIO</v>
      </c>
      <c r="D1322" s="6">
        <f>IFERROR(__xludf.DUMMYFUNCTION("""COMPUTED_VALUE"""),1.0)</f>
        <v>1</v>
      </c>
      <c r="E1322" s="6">
        <f>IFERROR(__xludf.DUMMYFUNCTION("""COMPUTED_VALUE"""),2.0)</f>
        <v>2</v>
      </c>
      <c r="F1322" s="6">
        <f>IFERROR(__xludf.DUMMYFUNCTION("""COMPUTED_VALUE"""),13.0)</f>
        <v>13</v>
      </c>
      <c r="G1322" s="6">
        <f>IFERROR(__xludf.DUMMYFUNCTION("""COMPUTED_VALUE"""),16.0)</f>
        <v>16</v>
      </c>
    </row>
    <row r="1323">
      <c r="A1323" s="6">
        <f>IFERROR(__xludf.DUMMYFUNCTION("""COMPUTED_VALUE"""),2019.0)</f>
        <v>2019</v>
      </c>
      <c r="B1323" s="6" t="str">
        <f>IFERROR(__xludf.DUMMYFUNCTION("""COMPUTED_VALUE"""),"Abril")</f>
        <v>Abril</v>
      </c>
      <c r="C1323" s="6" t="str">
        <f>IFERROR(__xludf.DUMMYFUNCTION("""COMPUTED_VALUE"""),"DANO")</f>
        <v>DANO</v>
      </c>
      <c r="D1323" s="6">
        <f>IFERROR(__xludf.DUMMYFUNCTION("""COMPUTED_VALUE"""),11.0)</f>
        <v>11</v>
      </c>
      <c r="E1323" s="6">
        <f>IFERROR(__xludf.DUMMYFUNCTION("""COMPUTED_VALUE"""),10.0)</f>
        <v>10</v>
      </c>
      <c r="F1323" s="6">
        <f>IFERROR(__xludf.DUMMYFUNCTION("""COMPUTED_VALUE"""),54.0)</f>
        <v>54</v>
      </c>
      <c r="G1323" s="6">
        <f>IFERROR(__xludf.DUMMYFUNCTION("""COMPUTED_VALUE"""),75.0)</f>
        <v>75</v>
      </c>
    </row>
    <row r="1324">
      <c r="A1324" s="6">
        <f>IFERROR(__xludf.DUMMYFUNCTION("""COMPUTED_VALUE"""),2019.0)</f>
        <v>2019</v>
      </c>
      <c r="B1324" s="6" t="str">
        <f>IFERROR(__xludf.DUMMYFUNCTION("""COMPUTED_VALUE"""),"Abril")</f>
        <v>Abril</v>
      </c>
      <c r="C1324" s="6" t="str">
        <f>IFERROR(__xludf.DUMMYFUNCTION("""COMPUTED_VALUE"""),"ESTUPRO CONSUMADO")</f>
        <v>ESTUPRO CONSUMADO</v>
      </c>
      <c r="D1324" s="6">
        <f>IFERROR(__xludf.DUMMYFUNCTION("""COMPUTED_VALUE"""),10.0)</f>
        <v>10</v>
      </c>
      <c r="E1324" s="6">
        <f>IFERROR(__xludf.DUMMYFUNCTION("""COMPUTED_VALUE"""),7.0)</f>
        <v>7</v>
      </c>
      <c r="F1324" s="6">
        <f>IFERROR(__xludf.DUMMYFUNCTION("""COMPUTED_VALUE"""),17.0)</f>
        <v>17</v>
      </c>
      <c r="G1324" s="6">
        <f>IFERROR(__xludf.DUMMYFUNCTION("""COMPUTED_VALUE"""),34.0)</f>
        <v>34</v>
      </c>
    </row>
    <row r="1325">
      <c r="A1325" s="6">
        <f>IFERROR(__xludf.DUMMYFUNCTION("""COMPUTED_VALUE"""),2019.0)</f>
        <v>2019</v>
      </c>
      <c r="B1325" s="6" t="str">
        <f>IFERROR(__xludf.DUMMYFUNCTION("""COMPUTED_VALUE"""),"Abril")</f>
        <v>Abril</v>
      </c>
      <c r="C1325" s="6" t="str">
        <f>IFERROR(__xludf.DUMMYFUNCTION("""COMPUTED_VALUE"""),"ESTUPRO TENTADO")</f>
        <v>ESTUPRO TENTADO</v>
      </c>
      <c r="D1325" s="6">
        <f>IFERROR(__xludf.DUMMYFUNCTION("""COMPUTED_VALUE"""),0.0)</f>
        <v>0</v>
      </c>
      <c r="E1325" s="6">
        <f>IFERROR(__xludf.DUMMYFUNCTION("""COMPUTED_VALUE"""),0.0)</f>
        <v>0</v>
      </c>
      <c r="F1325" s="6">
        <f>IFERROR(__xludf.DUMMYFUNCTION("""COMPUTED_VALUE"""),1.0)</f>
        <v>1</v>
      </c>
      <c r="G1325" s="6">
        <f>IFERROR(__xludf.DUMMYFUNCTION("""COMPUTED_VALUE"""),1.0)</f>
        <v>1</v>
      </c>
    </row>
    <row r="1326">
      <c r="A1326" s="6">
        <f>IFERROR(__xludf.DUMMYFUNCTION("""COMPUTED_VALUE"""),2019.0)</f>
        <v>2019</v>
      </c>
      <c r="B1326" s="6" t="str">
        <f>IFERROR(__xludf.DUMMYFUNCTION("""COMPUTED_VALUE"""),"Abril")</f>
        <v>Abril</v>
      </c>
      <c r="C1326" s="6" t="str">
        <f>IFERROR(__xludf.DUMMYFUNCTION("""COMPUTED_VALUE"""),"ESTUPRO DE VULNERÁVEL CONSUMADO")</f>
        <v>ESTUPRO DE VULNERÁVEL CONSUMADO</v>
      </c>
      <c r="D1326" s="6">
        <f>IFERROR(__xludf.DUMMYFUNCTION("""COMPUTED_VALUE"""),3.0)</f>
        <v>3</v>
      </c>
      <c r="E1326" s="6">
        <f>IFERROR(__xludf.DUMMYFUNCTION("""COMPUTED_VALUE"""),4.0)</f>
        <v>4</v>
      </c>
      <c r="F1326" s="6">
        <f>IFERROR(__xludf.DUMMYFUNCTION("""COMPUTED_VALUE"""),17.0)</f>
        <v>17</v>
      </c>
      <c r="G1326" s="6">
        <f>IFERROR(__xludf.DUMMYFUNCTION("""COMPUTED_VALUE"""),24.0)</f>
        <v>24</v>
      </c>
    </row>
    <row r="1327">
      <c r="A1327" s="6">
        <f>IFERROR(__xludf.DUMMYFUNCTION("""COMPUTED_VALUE"""),2019.0)</f>
        <v>2019</v>
      </c>
      <c r="B1327" s="6" t="str">
        <f>IFERROR(__xludf.DUMMYFUNCTION("""COMPUTED_VALUE"""),"Abril")</f>
        <v>Abril</v>
      </c>
      <c r="C1327" s="6" t="str">
        <f>IFERROR(__xludf.DUMMYFUNCTION("""COMPUTED_VALUE"""),"OUTROS C/C/ DIGNIDADE SEXUAL")</f>
        <v>OUTROS C/C/ DIGNIDADE SEXUAL</v>
      </c>
      <c r="D1327" s="6">
        <f>IFERROR(__xludf.DUMMYFUNCTION("""COMPUTED_VALUE"""),0.0)</f>
        <v>0</v>
      </c>
      <c r="E1327" s="6">
        <f>IFERROR(__xludf.DUMMYFUNCTION("""COMPUTED_VALUE"""),0.0)</f>
        <v>0</v>
      </c>
      <c r="F1327" s="6">
        <f>IFERROR(__xludf.DUMMYFUNCTION("""COMPUTED_VALUE"""),2.0)</f>
        <v>2</v>
      </c>
      <c r="G1327" s="6">
        <f>IFERROR(__xludf.DUMMYFUNCTION("""COMPUTED_VALUE"""),2.0)</f>
        <v>2</v>
      </c>
    </row>
    <row r="1328">
      <c r="A1328" s="6">
        <f>IFERROR(__xludf.DUMMYFUNCTION("""COMPUTED_VALUE"""),2019.0)</f>
        <v>2019</v>
      </c>
      <c r="B1328" s="6" t="str">
        <f>IFERROR(__xludf.DUMMYFUNCTION("""COMPUTED_VALUE"""),"Maio")</f>
        <v>Maio</v>
      </c>
      <c r="C1328" s="6" t="str">
        <f>IFERROR(__xludf.DUMMYFUNCTION("""COMPUTED_VALUE"""),"HOMICÍDIO DOLOSO (exclui FEMINICÍDIO)")</f>
        <v>HOMICÍDIO DOLOSO (exclui FEMINICÍDIO)</v>
      </c>
      <c r="D1328" s="6">
        <f>IFERROR(__xludf.DUMMYFUNCTION("""COMPUTED_VALUE"""),1.0)</f>
        <v>1</v>
      </c>
      <c r="E1328" s="6">
        <f>IFERROR(__xludf.DUMMYFUNCTION("""COMPUTED_VALUE"""),0.0)</f>
        <v>0</v>
      </c>
      <c r="F1328" s="6">
        <f>IFERROR(__xludf.DUMMYFUNCTION("""COMPUTED_VALUE"""),1.0)</f>
        <v>1</v>
      </c>
      <c r="G1328" s="6">
        <f>IFERROR(__xludf.DUMMYFUNCTION("""COMPUTED_VALUE"""),2.0)</f>
        <v>2</v>
      </c>
    </row>
    <row r="1329">
      <c r="A1329" s="6">
        <f>IFERROR(__xludf.DUMMYFUNCTION("""COMPUTED_VALUE"""),2019.0)</f>
        <v>2019</v>
      </c>
      <c r="B1329" s="6" t="str">
        <f>IFERROR(__xludf.DUMMYFUNCTION("""COMPUTED_VALUE"""),"Maio")</f>
        <v>Maio</v>
      </c>
      <c r="C1329" s="6" t="str">
        <f>IFERROR(__xludf.DUMMYFUNCTION("""COMPUTED_VALUE"""),"FEMINICÍDIO")</f>
        <v>FEMINICÍDIO</v>
      </c>
      <c r="D1329" s="6">
        <f>IFERROR(__xludf.DUMMYFUNCTION("""COMPUTED_VALUE"""),3.0)</f>
        <v>3</v>
      </c>
      <c r="E1329" s="6">
        <f>IFERROR(__xludf.DUMMYFUNCTION("""COMPUTED_VALUE"""),3.0)</f>
        <v>3</v>
      </c>
      <c r="F1329" s="6">
        <f>IFERROR(__xludf.DUMMYFUNCTION("""COMPUTED_VALUE"""),5.0)</f>
        <v>5</v>
      </c>
      <c r="G1329" s="6">
        <f>IFERROR(__xludf.DUMMYFUNCTION("""COMPUTED_VALUE"""),11.0)</f>
        <v>11</v>
      </c>
    </row>
    <row r="1330">
      <c r="A1330" s="6">
        <f>IFERROR(__xludf.DUMMYFUNCTION("""COMPUTED_VALUE"""),2019.0)</f>
        <v>2019</v>
      </c>
      <c r="B1330" s="6" t="str">
        <f>IFERROR(__xludf.DUMMYFUNCTION("""COMPUTED_VALUE"""),"Maio")</f>
        <v>Maio</v>
      </c>
      <c r="C1330" s="6" t="str">
        <f>IFERROR(__xludf.DUMMYFUNCTION("""COMPUTED_VALUE"""),"HOMICÍDIO CULPOSO")</f>
        <v>HOMICÍDIO CULPOSO</v>
      </c>
      <c r="D1330" s="6">
        <f>IFERROR(__xludf.DUMMYFUNCTION("""COMPUTED_VALUE"""),0.0)</f>
        <v>0</v>
      </c>
      <c r="E1330" s="6">
        <f>IFERROR(__xludf.DUMMYFUNCTION("""COMPUTED_VALUE"""),0.0)</f>
        <v>0</v>
      </c>
      <c r="F1330" s="6">
        <f>IFERROR(__xludf.DUMMYFUNCTION("""COMPUTED_VALUE"""),0.0)</f>
        <v>0</v>
      </c>
      <c r="G1330" s="6">
        <f>IFERROR(__xludf.DUMMYFUNCTION("""COMPUTED_VALUE"""),0.0)</f>
        <v>0</v>
      </c>
    </row>
    <row r="1331">
      <c r="A1331" s="6">
        <f>IFERROR(__xludf.DUMMYFUNCTION("""COMPUTED_VALUE"""),2019.0)</f>
        <v>2019</v>
      </c>
      <c r="B1331" s="6" t="str">
        <f>IFERROR(__xludf.DUMMYFUNCTION("""COMPUTED_VALUE"""),"Maio")</f>
        <v>Maio</v>
      </c>
      <c r="C1331" s="6" t="str">
        <f>IFERROR(__xludf.DUMMYFUNCTION("""COMPUTED_VALUE"""),"TENTATIVA DE HOMICÍDIO")</f>
        <v>TENTATIVA DE HOMICÍDIO</v>
      </c>
      <c r="D1331" s="6">
        <f>IFERROR(__xludf.DUMMYFUNCTION("""COMPUTED_VALUE"""),1.0)</f>
        <v>1</v>
      </c>
      <c r="E1331" s="6">
        <f>IFERROR(__xludf.DUMMYFUNCTION("""COMPUTED_VALUE"""),1.0)</f>
        <v>1</v>
      </c>
      <c r="F1331" s="6">
        <f>IFERROR(__xludf.DUMMYFUNCTION("""COMPUTED_VALUE"""),11.0)</f>
        <v>11</v>
      </c>
      <c r="G1331" s="6">
        <f>IFERROR(__xludf.DUMMYFUNCTION("""COMPUTED_VALUE"""),13.0)</f>
        <v>13</v>
      </c>
    </row>
    <row r="1332">
      <c r="A1332" s="6">
        <f>IFERROR(__xludf.DUMMYFUNCTION("""COMPUTED_VALUE"""),2019.0)</f>
        <v>2019</v>
      </c>
      <c r="B1332" s="6" t="str">
        <f>IFERROR(__xludf.DUMMYFUNCTION("""COMPUTED_VALUE"""),"Maio")</f>
        <v>Maio</v>
      </c>
      <c r="C1332" s="6" t="str">
        <f>IFERROR(__xludf.DUMMYFUNCTION("""COMPUTED_VALUE"""),"LESÃO CORPORAL DOLOSA")</f>
        <v>LESÃO CORPORAL DOLOSA</v>
      </c>
      <c r="D1332" s="6">
        <f>IFERROR(__xludf.DUMMYFUNCTION("""COMPUTED_VALUE"""),912.0)</f>
        <v>912</v>
      </c>
      <c r="E1332" s="6">
        <f>IFERROR(__xludf.DUMMYFUNCTION("""COMPUTED_VALUE"""),784.0)</f>
        <v>784</v>
      </c>
      <c r="F1332" s="6">
        <f>IFERROR(__xludf.DUMMYFUNCTION("""COMPUTED_VALUE"""),2814.0)</f>
        <v>2814</v>
      </c>
      <c r="G1332" s="6">
        <f>IFERROR(__xludf.DUMMYFUNCTION("""COMPUTED_VALUE"""),4510.0)</f>
        <v>4510</v>
      </c>
    </row>
    <row r="1333">
      <c r="A1333" s="6">
        <f>IFERROR(__xludf.DUMMYFUNCTION("""COMPUTED_VALUE"""),2019.0)</f>
        <v>2019</v>
      </c>
      <c r="B1333" s="6" t="str">
        <f>IFERROR(__xludf.DUMMYFUNCTION("""COMPUTED_VALUE"""),"Maio")</f>
        <v>Maio</v>
      </c>
      <c r="C1333" s="6" t="str">
        <f>IFERROR(__xludf.DUMMYFUNCTION("""COMPUTED_VALUE"""),"MAUS TRATOS")</f>
        <v>MAUS TRATOS</v>
      </c>
      <c r="D1333" s="6">
        <f>IFERROR(__xludf.DUMMYFUNCTION("""COMPUTED_VALUE"""),2.0)</f>
        <v>2</v>
      </c>
      <c r="E1333" s="6">
        <f>IFERROR(__xludf.DUMMYFUNCTION("""COMPUTED_VALUE"""),2.0)</f>
        <v>2</v>
      </c>
      <c r="F1333" s="6">
        <f>IFERROR(__xludf.DUMMYFUNCTION("""COMPUTED_VALUE"""),14.0)</f>
        <v>14</v>
      </c>
      <c r="G1333" s="6">
        <f>IFERROR(__xludf.DUMMYFUNCTION("""COMPUTED_VALUE"""),18.0)</f>
        <v>18</v>
      </c>
    </row>
    <row r="1334">
      <c r="A1334" s="6">
        <f>IFERROR(__xludf.DUMMYFUNCTION("""COMPUTED_VALUE"""),2019.0)</f>
        <v>2019</v>
      </c>
      <c r="B1334" s="6" t="str">
        <f>IFERROR(__xludf.DUMMYFUNCTION("""COMPUTED_VALUE"""),"Maio")</f>
        <v>Maio</v>
      </c>
      <c r="C1334" s="6" t="str">
        <f>IFERROR(__xludf.DUMMYFUNCTION("""COMPUTED_VALUE"""),"CALÚNIA - DIFAMAÇÃO - INJÚRIA")</f>
        <v>CALÚNIA - DIFAMAÇÃO - INJÚRIA</v>
      </c>
      <c r="D1334" s="6">
        <f>IFERROR(__xludf.DUMMYFUNCTION("""COMPUTED_VALUE"""),178.0)</f>
        <v>178</v>
      </c>
      <c r="E1334" s="6">
        <f>IFERROR(__xludf.DUMMYFUNCTION("""COMPUTED_VALUE"""),151.0)</f>
        <v>151</v>
      </c>
      <c r="F1334" s="6">
        <f>IFERROR(__xludf.DUMMYFUNCTION("""COMPUTED_VALUE"""),654.0)</f>
        <v>654</v>
      </c>
      <c r="G1334" s="6">
        <f>IFERROR(__xludf.DUMMYFUNCTION("""COMPUTED_VALUE"""),983.0)</f>
        <v>983</v>
      </c>
    </row>
    <row r="1335">
      <c r="A1335" s="6">
        <f>IFERROR(__xludf.DUMMYFUNCTION("""COMPUTED_VALUE"""),2019.0)</f>
        <v>2019</v>
      </c>
      <c r="B1335" s="6" t="str">
        <f>IFERROR(__xludf.DUMMYFUNCTION("""COMPUTED_VALUE"""),"Maio")</f>
        <v>Maio</v>
      </c>
      <c r="C1335" s="6" t="str">
        <f>IFERROR(__xludf.DUMMYFUNCTION("""COMPUTED_VALUE"""),"CONSTRANGIMENTO ILEGAL")</f>
        <v>CONSTRANGIMENTO ILEGAL</v>
      </c>
      <c r="D1335" s="6">
        <f>IFERROR(__xludf.DUMMYFUNCTION("""COMPUTED_VALUE"""),1.0)</f>
        <v>1</v>
      </c>
      <c r="E1335" s="6">
        <f>IFERROR(__xludf.DUMMYFUNCTION("""COMPUTED_VALUE"""),0.0)</f>
        <v>0</v>
      </c>
      <c r="F1335" s="6">
        <f>IFERROR(__xludf.DUMMYFUNCTION("""COMPUTED_VALUE"""),5.0)</f>
        <v>5</v>
      </c>
      <c r="G1335" s="6">
        <f>IFERROR(__xludf.DUMMYFUNCTION("""COMPUTED_VALUE"""),6.0)</f>
        <v>6</v>
      </c>
    </row>
    <row r="1336">
      <c r="A1336" s="6">
        <f>IFERROR(__xludf.DUMMYFUNCTION("""COMPUTED_VALUE"""),2019.0)</f>
        <v>2019</v>
      </c>
      <c r="B1336" s="6" t="str">
        <f>IFERROR(__xludf.DUMMYFUNCTION("""COMPUTED_VALUE"""),"Maio")</f>
        <v>Maio</v>
      </c>
      <c r="C1336" s="6" t="str">
        <f>IFERROR(__xludf.DUMMYFUNCTION("""COMPUTED_VALUE"""),"AMEAÇA")</f>
        <v>AMEAÇA</v>
      </c>
      <c r="D1336" s="6">
        <f>IFERROR(__xludf.DUMMYFUNCTION("""COMPUTED_VALUE"""),842.0)</f>
        <v>842</v>
      </c>
      <c r="E1336" s="6">
        <f>IFERROR(__xludf.DUMMYFUNCTION("""COMPUTED_VALUE"""),771.0)</f>
        <v>771</v>
      </c>
      <c r="F1336" s="6">
        <f>IFERROR(__xludf.DUMMYFUNCTION("""COMPUTED_VALUE"""),2884.0)</f>
        <v>2884</v>
      </c>
      <c r="G1336" s="6">
        <f>IFERROR(__xludf.DUMMYFUNCTION("""COMPUTED_VALUE"""),4497.0)</f>
        <v>4497</v>
      </c>
    </row>
    <row r="1337">
      <c r="A1337" s="6">
        <f>IFERROR(__xludf.DUMMYFUNCTION("""COMPUTED_VALUE"""),2019.0)</f>
        <v>2019</v>
      </c>
      <c r="B1337" s="6" t="str">
        <f>IFERROR(__xludf.DUMMYFUNCTION("""COMPUTED_VALUE"""),"Maio")</f>
        <v>Maio</v>
      </c>
      <c r="C1337" s="6" t="str">
        <f>IFERROR(__xludf.DUMMYFUNCTION("""COMPUTED_VALUE"""),"INVASÃO DE DOMICÍLIO")</f>
        <v>INVASÃO DE DOMICÍLIO</v>
      </c>
      <c r="D1337" s="6">
        <f>IFERROR(__xludf.DUMMYFUNCTION("""COMPUTED_VALUE"""),1.0)</f>
        <v>1</v>
      </c>
      <c r="E1337" s="6">
        <f>IFERROR(__xludf.DUMMYFUNCTION("""COMPUTED_VALUE"""),1.0)</f>
        <v>1</v>
      </c>
      <c r="F1337" s="6">
        <f>IFERROR(__xludf.DUMMYFUNCTION("""COMPUTED_VALUE"""),11.0)</f>
        <v>11</v>
      </c>
      <c r="G1337" s="6">
        <f>IFERROR(__xludf.DUMMYFUNCTION("""COMPUTED_VALUE"""),13.0)</f>
        <v>13</v>
      </c>
    </row>
    <row r="1338">
      <c r="A1338" s="6">
        <f>IFERROR(__xludf.DUMMYFUNCTION("""COMPUTED_VALUE"""),2019.0)</f>
        <v>2019</v>
      </c>
      <c r="B1338" s="6" t="str">
        <f>IFERROR(__xludf.DUMMYFUNCTION("""COMPUTED_VALUE"""),"Maio")</f>
        <v>Maio</v>
      </c>
      <c r="C1338" s="6" t="str">
        <f>IFERROR(__xludf.DUMMYFUNCTION("""COMPUTED_VALUE"""),"DANO")</f>
        <v>DANO</v>
      </c>
      <c r="D1338" s="6">
        <f>IFERROR(__xludf.DUMMYFUNCTION("""COMPUTED_VALUE"""),9.0)</f>
        <v>9</v>
      </c>
      <c r="E1338" s="6">
        <f>IFERROR(__xludf.DUMMYFUNCTION("""COMPUTED_VALUE"""),9.0)</f>
        <v>9</v>
      </c>
      <c r="F1338" s="6">
        <f>IFERROR(__xludf.DUMMYFUNCTION("""COMPUTED_VALUE"""),51.0)</f>
        <v>51</v>
      </c>
      <c r="G1338" s="6">
        <f>IFERROR(__xludf.DUMMYFUNCTION("""COMPUTED_VALUE"""),69.0)</f>
        <v>69</v>
      </c>
    </row>
    <row r="1339">
      <c r="A1339" s="6">
        <f>IFERROR(__xludf.DUMMYFUNCTION("""COMPUTED_VALUE"""),2019.0)</f>
        <v>2019</v>
      </c>
      <c r="B1339" s="6" t="str">
        <f>IFERROR(__xludf.DUMMYFUNCTION("""COMPUTED_VALUE"""),"Maio")</f>
        <v>Maio</v>
      </c>
      <c r="C1339" s="6" t="str">
        <f>IFERROR(__xludf.DUMMYFUNCTION("""COMPUTED_VALUE"""),"ESTUPRO CONSUMADO")</f>
        <v>ESTUPRO CONSUMADO</v>
      </c>
      <c r="D1339" s="6">
        <f>IFERROR(__xludf.DUMMYFUNCTION("""COMPUTED_VALUE"""),9.0)</f>
        <v>9</v>
      </c>
      <c r="E1339" s="6">
        <f>IFERROR(__xludf.DUMMYFUNCTION("""COMPUTED_VALUE"""),6.0)</f>
        <v>6</v>
      </c>
      <c r="F1339" s="6">
        <f>IFERROR(__xludf.DUMMYFUNCTION("""COMPUTED_VALUE"""),16.0)</f>
        <v>16</v>
      </c>
      <c r="G1339" s="6">
        <f>IFERROR(__xludf.DUMMYFUNCTION("""COMPUTED_VALUE"""),31.0)</f>
        <v>31</v>
      </c>
    </row>
    <row r="1340">
      <c r="A1340" s="6">
        <f>IFERROR(__xludf.DUMMYFUNCTION("""COMPUTED_VALUE"""),2019.0)</f>
        <v>2019</v>
      </c>
      <c r="B1340" s="6" t="str">
        <f>IFERROR(__xludf.DUMMYFUNCTION("""COMPUTED_VALUE"""),"Maio")</f>
        <v>Maio</v>
      </c>
      <c r="C1340" s="6" t="str">
        <f>IFERROR(__xludf.DUMMYFUNCTION("""COMPUTED_VALUE"""),"ESTUPRO TENTADO")</f>
        <v>ESTUPRO TENTADO</v>
      </c>
      <c r="D1340" s="6">
        <f>IFERROR(__xludf.DUMMYFUNCTION("""COMPUTED_VALUE"""),0.0)</f>
        <v>0</v>
      </c>
      <c r="E1340" s="6">
        <f>IFERROR(__xludf.DUMMYFUNCTION("""COMPUTED_VALUE"""),0.0)</f>
        <v>0</v>
      </c>
      <c r="F1340" s="6">
        <f>IFERROR(__xludf.DUMMYFUNCTION("""COMPUTED_VALUE"""),1.0)</f>
        <v>1</v>
      </c>
      <c r="G1340" s="6">
        <f>IFERROR(__xludf.DUMMYFUNCTION("""COMPUTED_VALUE"""),1.0)</f>
        <v>1</v>
      </c>
    </row>
    <row r="1341">
      <c r="A1341" s="6">
        <f>IFERROR(__xludf.DUMMYFUNCTION("""COMPUTED_VALUE"""),2019.0)</f>
        <v>2019</v>
      </c>
      <c r="B1341" s="6" t="str">
        <f>IFERROR(__xludf.DUMMYFUNCTION("""COMPUTED_VALUE"""),"Maio")</f>
        <v>Maio</v>
      </c>
      <c r="C1341" s="6" t="str">
        <f>IFERROR(__xludf.DUMMYFUNCTION("""COMPUTED_VALUE"""),"ESTUPRO DE VULNERÁVEL CONSUMADO")</f>
        <v>ESTUPRO DE VULNERÁVEL CONSUMADO</v>
      </c>
      <c r="D1341" s="6">
        <f>IFERROR(__xludf.DUMMYFUNCTION("""COMPUTED_VALUE"""),2.0)</f>
        <v>2</v>
      </c>
      <c r="E1341" s="6">
        <f>IFERROR(__xludf.DUMMYFUNCTION("""COMPUTED_VALUE"""),3.0)</f>
        <v>3</v>
      </c>
      <c r="F1341" s="6">
        <f>IFERROR(__xludf.DUMMYFUNCTION("""COMPUTED_VALUE"""),15.0)</f>
        <v>15</v>
      </c>
      <c r="G1341" s="6">
        <f>IFERROR(__xludf.DUMMYFUNCTION("""COMPUTED_VALUE"""),20.0)</f>
        <v>20</v>
      </c>
    </row>
    <row r="1342">
      <c r="A1342" s="6">
        <f>IFERROR(__xludf.DUMMYFUNCTION("""COMPUTED_VALUE"""),2019.0)</f>
        <v>2019</v>
      </c>
      <c r="B1342" s="6" t="str">
        <f>IFERROR(__xludf.DUMMYFUNCTION("""COMPUTED_VALUE"""),"Maio")</f>
        <v>Maio</v>
      </c>
      <c r="C1342" s="6" t="str">
        <f>IFERROR(__xludf.DUMMYFUNCTION("""COMPUTED_VALUE"""),"OUTROS C/C/ DIGNIDADE SEXUAL")</f>
        <v>OUTROS C/C/ DIGNIDADE SEXUAL</v>
      </c>
      <c r="D1342" s="6">
        <f>IFERROR(__xludf.DUMMYFUNCTION("""COMPUTED_VALUE"""),0.0)</f>
        <v>0</v>
      </c>
      <c r="E1342" s="6">
        <f>IFERROR(__xludf.DUMMYFUNCTION("""COMPUTED_VALUE"""),0.0)</f>
        <v>0</v>
      </c>
      <c r="F1342" s="6">
        <f>IFERROR(__xludf.DUMMYFUNCTION("""COMPUTED_VALUE"""),1.0)</f>
        <v>1</v>
      </c>
      <c r="G1342" s="6">
        <f>IFERROR(__xludf.DUMMYFUNCTION("""COMPUTED_VALUE"""),1.0)</f>
        <v>1</v>
      </c>
    </row>
    <row r="1343">
      <c r="A1343" s="6">
        <f>IFERROR(__xludf.DUMMYFUNCTION("""COMPUTED_VALUE"""),2019.0)</f>
        <v>2019</v>
      </c>
      <c r="B1343" s="6" t="str">
        <f>IFERROR(__xludf.DUMMYFUNCTION("""COMPUTED_VALUE"""),"Junho")</f>
        <v>Junho</v>
      </c>
      <c r="C1343" s="6" t="str">
        <f>IFERROR(__xludf.DUMMYFUNCTION("""COMPUTED_VALUE"""),"HOMICÍDIO DOLOSO (exclui FEMINICÍDIO)")</f>
        <v>HOMICÍDIO DOLOSO (exclui FEMINICÍDIO)</v>
      </c>
      <c r="D1343" s="6">
        <f>IFERROR(__xludf.DUMMYFUNCTION("""COMPUTED_VALUE"""),2.0)</f>
        <v>2</v>
      </c>
      <c r="E1343" s="6">
        <f>IFERROR(__xludf.DUMMYFUNCTION("""COMPUTED_VALUE"""),1.0)</f>
        <v>1</v>
      </c>
      <c r="F1343" s="6">
        <f>IFERROR(__xludf.DUMMYFUNCTION("""COMPUTED_VALUE"""),3.0)</f>
        <v>3</v>
      </c>
      <c r="G1343" s="6">
        <f>IFERROR(__xludf.DUMMYFUNCTION("""COMPUTED_VALUE"""),6.0)</f>
        <v>6</v>
      </c>
    </row>
    <row r="1344">
      <c r="A1344" s="6">
        <f>IFERROR(__xludf.DUMMYFUNCTION("""COMPUTED_VALUE"""),2019.0)</f>
        <v>2019</v>
      </c>
      <c r="B1344" s="6" t="str">
        <f>IFERROR(__xludf.DUMMYFUNCTION("""COMPUTED_VALUE"""),"Junho")</f>
        <v>Junho</v>
      </c>
      <c r="C1344" s="6" t="str">
        <f>IFERROR(__xludf.DUMMYFUNCTION("""COMPUTED_VALUE"""),"FEMINICÍDIO")</f>
        <v>FEMINICÍDIO</v>
      </c>
      <c r="D1344" s="6">
        <f>IFERROR(__xludf.DUMMYFUNCTION("""COMPUTED_VALUE"""),3.0)</f>
        <v>3</v>
      </c>
      <c r="E1344" s="6">
        <f>IFERROR(__xludf.DUMMYFUNCTION("""COMPUTED_VALUE"""),4.0)</f>
        <v>4</v>
      </c>
      <c r="F1344" s="6">
        <f>IFERROR(__xludf.DUMMYFUNCTION("""COMPUTED_VALUE"""),6.0)</f>
        <v>6</v>
      </c>
      <c r="G1344" s="6">
        <f>IFERROR(__xludf.DUMMYFUNCTION("""COMPUTED_VALUE"""),13.0)</f>
        <v>13</v>
      </c>
    </row>
    <row r="1345">
      <c r="A1345" s="6">
        <f>IFERROR(__xludf.DUMMYFUNCTION("""COMPUTED_VALUE"""),2019.0)</f>
        <v>2019</v>
      </c>
      <c r="B1345" s="6" t="str">
        <f>IFERROR(__xludf.DUMMYFUNCTION("""COMPUTED_VALUE"""),"Junho")</f>
        <v>Junho</v>
      </c>
      <c r="C1345" s="6" t="str">
        <f>IFERROR(__xludf.DUMMYFUNCTION("""COMPUTED_VALUE"""),"HOMICÍDIO CULPOSO")</f>
        <v>HOMICÍDIO CULPOSO</v>
      </c>
      <c r="D1345" s="6">
        <f>IFERROR(__xludf.DUMMYFUNCTION("""COMPUTED_VALUE"""),0.0)</f>
        <v>0</v>
      </c>
      <c r="E1345" s="6">
        <f>IFERROR(__xludf.DUMMYFUNCTION("""COMPUTED_VALUE"""),0.0)</f>
        <v>0</v>
      </c>
      <c r="F1345" s="6">
        <f>IFERROR(__xludf.DUMMYFUNCTION("""COMPUTED_VALUE"""),0.0)</f>
        <v>0</v>
      </c>
      <c r="G1345" s="6">
        <f>IFERROR(__xludf.DUMMYFUNCTION("""COMPUTED_VALUE"""),0.0)</f>
        <v>0</v>
      </c>
    </row>
    <row r="1346">
      <c r="A1346" s="6">
        <f>IFERROR(__xludf.DUMMYFUNCTION("""COMPUTED_VALUE"""),2019.0)</f>
        <v>2019</v>
      </c>
      <c r="B1346" s="6" t="str">
        <f>IFERROR(__xludf.DUMMYFUNCTION("""COMPUTED_VALUE"""),"Junho")</f>
        <v>Junho</v>
      </c>
      <c r="C1346" s="6" t="str">
        <f>IFERROR(__xludf.DUMMYFUNCTION("""COMPUTED_VALUE"""),"TENTATIVA DE HOMICÍDIO")</f>
        <v>TENTATIVA DE HOMICÍDIO</v>
      </c>
      <c r="D1346" s="6">
        <f>IFERROR(__xludf.DUMMYFUNCTION("""COMPUTED_VALUE"""),2.0)</f>
        <v>2</v>
      </c>
      <c r="E1346" s="6">
        <f>IFERROR(__xludf.DUMMYFUNCTION("""COMPUTED_VALUE"""),2.0)</f>
        <v>2</v>
      </c>
      <c r="F1346" s="6">
        <f>IFERROR(__xludf.DUMMYFUNCTION("""COMPUTED_VALUE"""),13.0)</f>
        <v>13</v>
      </c>
      <c r="G1346" s="6">
        <f>IFERROR(__xludf.DUMMYFUNCTION("""COMPUTED_VALUE"""),17.0)</f>
        <v>17</v>
      </c>
    </row>
    <row r="1347">
      <c r="A1347" s="6">
        <f>IFERROR(__xludf.DUMMYFUNCTION("""COMPUTED_VALUE"""),2019.0)</f>
        <v>2019</v>
      </c>
      <c r="B1347" s="6" t="str">
        <f>IFERROR(__xludf.DUMMYFUNCTION("""COMPUTED_VALUE"""),"Junho")</f>
        <v>Junho</v>
      </c>
      <c r="C1347" s="6" t="str">
        <f>IFERROR(__xludf.DUMMYFUNCTION("""COMPUTED_VALUE"""),"LESÃO CORPORAL DOLOSA")</f>
        <v>LESÃO CORPORAL DOLOSA</v>
      </c>
      <c r="D1347" s="6">
        <f>IFERROR(__xludf.DUMMYFUNCTION("""COMPUTED_VALUE"""),1014.0)</f>
        <v>1014</v>
      </c>
      <c r="E1347" s="6">
        <f>IFERROR(__xludf.DUMMYFUNCTION("""COMPUTED_VALUE"""),864.0)</f>
        <v>864</v>
      </c>
      <c r="F1347" s="6">
        <f>IFERROR(__xludf.DUMMYFUNCTION("""COMPUTED_VALUE"""),3118.0)</f>
        <v>3118</v>
      </c>
      <c r="G1347" s="6">
        <f>IFERROR(__xludf.DUMMYFUNCTION("""COMPUTED_VALUE"""),4996.0)</f>
        <v>4996</v>
      </c>
    </row>
    <row r="1348">
      <c r="A1348" s="6">
        <f>IFERROR(__xludf.DUMMYFUNCTION("""COMPUTED_VALUE"""),2019.0)</f>
        <v>2019</v>
      </c>
      <c r="B1348" s="6" t="str">
        <f>IFERROR(__xludf.DUMMYFUNCTION("""COMPUTED_VALUE"""),"Junho")</f>
        <v>Junho</v>
      </c>
      <c r="C1348" s="6" t="str">
        <f>IFERROR(__xludf.DUMMYFUNCTION("""COMPUTED_VALUE"""),"MAUS TRATOS")</f>
        <v>MAUS TRATOS</v>
      </c>
      <c r="D1348" s="6">
        <f>IFERROR(__xludf.DUMMYFUNCTION("""COMPUTED_VALUE"""),3.0)</f>
        <v>3</v>
      </c>
      <c r="E1348" s="6">
        <f>IFERROR(__xludf.DUMMYFUNCTION("""COMPUTED_VALUE"""),2.0)</f>
        <v>2</v>
      </c>
      <c r="F1348" s="6">
        <f>IFERROR(__xludf.DUMMYFUNCTION("""COMPUTED_VALUE"""),18.0)</f>
        <v>18</v>
      </c>
      <c r="G1348" s="6">
        <f>IFERROR(__xludf.DUMMYFUNCTION("""COMPUTED_VALUE"""),23.0)</f>
        <v>23</v>
      </c>
    </row>
    <row r="1349">
      <c r="A1349" s="6">
        <f>IFERROR(__xludf.DUMMYFUNCTION("""COMPUTED_VALUE"""),2019.0)</f>
        <v>2019</v>
      </c>
      <c r="B1349" s="6" t="str">
        <f>IFERROR(__xludf.DUMMYFUNCTION("""COMPUTED_VALUE"""),"Junho")</f>
        <v>Junho</v>
      </c>
      <c r="C1349" s="6" t="str">
        <f>IFERROR(__xludf.DUMMYFUNCTION("""COMPUTED_VALUE"""),"CALÚNIA - DIFAMAÇÃO - INJÚRIA")</f>
        <v>CALÚNIA - DIFAMAÇÃO - INJÚRIA</v>
      </c>
      <c r="D1349" s="6">
        <f>IFERROR(__xludf.DUMMYFUNCTION("""COMPUTED_VALUE"""),198.0)</f>
        <v>198</v>
      </c>
      <c r="E1349" s="6">
        <f>IFERROR(__xludf.DUMMYFUNCTION("""COMPUTED_VALUE"""),168.0)</f>
        <v>168</v>
      </c>
      <c r="F1349" s="6">
        <f>IFERROR(__xludf.DUMMYFUNCTION("""COMPUTED_VALUE"""),724.0)</f>
        <v>724</v>
      </c>
      <c r="G1349" s="6">
        <f>IFERROR(__xludf.DUMMYFUNCTION("""COMPUTED_VALUE"""),1090.0)</f>
        <v>1090</v>
      </c>
    </row>
    <row r="1350">
      <c r="A1350" s="6">
        <f>IFERROR(__xludf.DUMMYFUNCTION("""COMPUTED_VALUE"""),2019.0)</f>
        <v>2019</v>
      </c>
      <c r="B1350" s="6" t="str">
        <f>IFERROR(__xludf.DUMMYFUNCTION("""COMPUTED_VALUE"""),"Junho")</f>
        <v>Junho</v>
      </c>
      <c r="C1350" s="6" t="str">
        <f>IFERROR(__xludf.DUMMYFUNCTION("""COMPUTED_VALUE"""),"CONSTRANGIMENTO ILEGAL")</f>
        <v>CONSTRANGIMENTO ILEGAL</v>
      </c>
      <c r="D1350" s="6">
        <f>IFERROR(__xludf.DUMMYFUNCTION("""COMPUTED_VALUE"""),1.0)</f>
        <v>1</v>
      </c>
      <c r="E1350" s="6">
        <f>IFERROR(__xludf.DUMMYFUNCTION("""COMPUTED_VALUE"""),1.0)</f>
        <v>1</v>
      </c>
      <c r="F1350" s="6">
        <f>IFERROR(__xludf.DUMMYFUNCTION("""COMPUTED_VALUE"""),7.0)</f>
        <v>7</v>
      </c>
      <c r="G1350" s="6">
        <f>IFERROR(__xludf.DUMMYFUNCTION("""COMPUTED_VALUE"""),9.0)</f>
        <v>9</v>
      </c>
    </row>
    <row r="1351">
      <c r="A1351" s="6">
        <f>IFERROR(__xludf.DUMMYFUNCTION("""COMPUTED_VALUE"""),2019.0)</f>
        <v>2019</v>
      </c>
      <c r="B1351" s="6" t="str">
        <f>IFERROR(__xludf.DUMMYFUNCTION("""COMPUTED_VALUE"""),"Junho")</f>
        <v>Junho</v>
      </c>
      <c r="C1351" s="6" t="str">
        <f>IFERROR(__xludf.DUMMYFUNCTION("""COMPUTED_VALUE"""),"AMEAÇA")</f>
        <v>AMEAÇA</v>
      </c>
      <c r="D1351" s="6">
        <f>IFERROR(__xludf.DUMMYFUNCTION("""COMPUTED_VALUE"""),948.0)</f>
        <v>948</v>
      </c>
      <c r="E1351" s="6">
        <f>IFERROR(__xludf.DUMMYFUNCTION("""COMPUTED_VALUE"""),852.0)</f>
        <v>852</v>
      </c>
      <c r="F1351" s="6">
        <f>IFERROR(__xludf.DUMMYFUNCTION("""COMPUTED_VALUE"""),3214.0)</f>
        <v>3214</v>
      </c>
      <c r="G1351" s="6">
        <f>IFERROR(__xludf.DUMMYFUNCTION("""COMPUTED_VALUE"""),5014.0)</f>
        <v>5014</v>
      </c>
    </row>
    <row r="1352">
      <c r="A1352" s="6">
        <f>IFERROR(__xludf.DUMMYFUNCTION("""COMPUTED_VALUE"""),2019.0)</f>
        <v>2019</v>
      </c>
      <c r="B1352" s="6" t="str">
        <f>IFERROR(__xludf.DUMMYFUNCTION("""COMPUTED_VALUE"""),"Junho")</f>
        <v>Junho</v>
      </c>
      <c r="C1352" s="6" t="str">
        <f>IFERROR(__xludf.DUMMYFUNCTION("""COMPUTED_VALUE"""),"INVASÃO DE DOMICÍLIO")</f>
        <v>INVASÃO DE DOMICÍLIO</v>
      </c>
      <c r="D1352" s="6">
        <f>IFERROR(__xludf.DUMMYFUNCTION("""COMPUTED_VALUE"""),1.0)</f>
        <v>1</v>
      </c>
      <c r="E1352" s="6">
        <f>IFERROR(__xludf.DUMMYFUNCTION("""COMPUTED_VALUE"""),2.0)</f>
        <v>2</v>
      </c>
      <c r="F1352" s="6">
        <f>IFERROR(__xludf.DUMMYFUNCTION("""COMPUTED_VALUE"""),13.0)</f>
        <v>13</v>
      </c>
      <c r="G1352" s="6">
        <f>IFERROR(__xludf.DUMMYFUNCTION("""COMPUTED_VALUE"""),16.0)</f>
        <v>16</v>
      </c>
    </row>
    <row r="1353">
      <c r="A1353" s="6">
        <f>IFERROR(__xludf.DUMMYFUNCTION("""COMPUTED_VALUE"""),2019.0)</f>
        <v>2019</v>
      </c>
      <c r="B1353" s="6" t="str">
        <f>IFERROR(__xludf.DUMMYFUNCTION("""COMPUTED_VALUE"""),"Junho")</f>
        <v>Junho</v>
      </c>
      <c r="C1353" s="6" t="str">
        <f>IFERROR(__xludf.DUMMYFUNCTION("""COMPUTED_VALUE"""),"DANO")</f>
        <v>DANO</v>
      </c>
      <c r="D1353" s="6">
        <f>IFERROR(__xludf.DUMMYFUNCTION("""COMPUTED_VALUE"""),11.0)</f>
        <v>11</v>
      </c>
      <c r="E1353" s="6">
        <f>IFERROR(__xludf.DUMMYFUNCTION("""COMPUTED_VALUE"""),11.0)</f>
        <v>11</v>
      </c>
      <c r="F1353" s="6">
        <f>IFERROR(__xludf.DUMMYFUNCTION("""COMPUTED_VALUE"""),62.0)</f>
        <v>62</v>
      </c>
      <c r="G1353" s="6">
        <f>IFERROR(__xludf.DUMMYFUNCTION("""COMPUTED_VALUE"""),84.0)</f>
        <v>84</v>
      </c>
    </row>
    <row r="1354">
      <c r="A1354" s="6">
        <f>IFERROR(__xludf.DUMMYFUNCTION("""COMPUTED_VALUE"""),2019.0)</f>
        <v>2019</v>
      </c>
      <c r="B1354" s="6" t="str">
        <f>IFERROR(__xludf.DUMMYFUNCTION("""COMPUTED_VALUE"""),"Junho")</f>
        <v>Junho</v>
      </c>
      <c r="C1354" s="6" t="str">
        <f>IFERROR(__xludf.DUMMYFUNCTION("""COMPUTED_VALUE"""),"ESTUPRO CONSUMADO")</f>
        <v>ESTUPRO CONSUMADO</v>
      </c>
      <c r="D1354" s="6">
        <f>IFERROR(__xludf.DUMMYFUNCTION("""COMPUTED_VALUE"""),10.0)</f>
        <v>10</v>
      </c>
      <c r="E1354" s="6">
        <f>IFERROR(__xludf.DUMMYFUNCTION("""COMPUTED_VALUE"""),7.0)</f>
        <v>7</v>
      </c>
      <c r="F1354" s="6">
        <f>IFERROR(__xludf.DUMMYFUNCTION("""COMPUTED_VALUE"""),19.0)</f>
        <v>19</v>
      </c>
      <c r="G1354" s="6">
        <f>IFERROR(__xludf.DUMMYFUNCTION("""COMPUTED_VALUE"""),36.0)</f>
        <v>36</v>
      </c>
    </row>
    <row r="1355">
      <c r="A1355" s="6">
        <f>IFERROR(__xludf.DUMMYFUNCTION("""COMPUTED_VALUE"""),2019.0)</f>
        <v>2019</v>
      </c>
      <c r="B1355" s="6" t="str">
        <f>IFERROR(__xludf.DUMMYFUNCTION("""COMPUTED_VALUE"""),"Junho")</f>
        <v>Junho</v>
      </c>
      <c r="C1355" s="6" t="str">
        <f>IFERROR(__xludf.DUMMYFUNCTION("""COMPUTED_VALUE"""),"ESTUPRO TENTADO")</f>
        <v>ESTUPRO TENTADO</v>
      </c>
      <c r="D1355" s="6">
        <f>IFERROR(__xludf.DUMMYFUNCTION("""COMPUTED_VALUE"""),1.0)</f>
        <v>1</v>
      </c>
      <c r="E1355" s="6">
        <f>IFERROR(__xludf.DUMMYFUNCTION("""COMPUTED_VALUE"""),0.0)</f>
        <v>0</v>
      </c>
      <c r="F1355" s="6">
        <f>IFERROR(__xludf.DUMMYFUNCTION("""COMPUTED_VALUE"""),1.0)</f>
        <v>1</v>
      </c>
      <c r="G1355" s="6">
        <f>IFERROR(__xludf.DUMMYFUNCTION("""COMPUTED_VALUE"""),2.0)</f>
        <v>2</v>
      </c>
    </row>
    <row r="1356">
      <c r="A1356" s="6">
        <f>IFERROR(__xludf.DUMMYFUNCTION("""COMPUTED_VALUE"""),2019.0)</f>
        <v>2019</v>
      </c>
      <c r="B1356" s="6" t="str">
        <f>IFERROR(__xludf.DUMMYFUNCTION("""COMPUTED_VALUE"""),"Junho")</f>
        <v>Junho</v>
      </c>
      <c r="C1356" s="6" t="str">
        <f>IFERROR(__xludf.DUMMYFUNCTION("""COMPUTED_VALUE"""),"ESTUPRO DE VULNERÁVEL CONSUMADO")</f>
        <v>ESTUPRO DE VULNERÁVEL CONSUMADO</v>
      </c>
      <c r="D1356" s="6">
        <f>IFERROR(__xludf.DUMMYFUNCTION("""COMPUTED_VALUE"""),3.0)</f>
        <v>3</v>
      </c>
      <c r="E1356" s="6">
        <f>IFERROR(__xludf.DUMMYFUNCTION("""COMPUTED_VALUE"""),4.0)</f>
        <v>4</v>
      </c>
      <c r="F1356" s="6">
        <f>IFERROR(__xludf.DUMMYFUNCTION("""COMPUTED_VALUE"""),18.0)</f>
        <v>18</v>
      </c>
      <c r="G1356" s="6">
        <f>IFERROR(__xludf.DUMMYFUNCTION("""COMPUTED_VALUE"""),25.0)</f>
        <v>25</v>
      </c>
    </row>
    <row r="1357">
      <c r="A1357" s="6">
        <f>IFERROR(__xludf.DUMMYFUNCTION("""COMPUTED_VALUE"""),2019.0)</f>
        <v>2019</v>
      </c>
      <c r="B1357" s="6" t="str">
        <f>IFERROR(__xludf.DUMMYFUNCTION("""COMPUTED_VALUE"""),"Junho")</f>
        <v>Junho</v>
      </c>
      <c r="C1357" s="6" t="str">
        <f>IFERROR(__xludf.DUMMYFUNCTION("""COMPUTED_VALUE"""),"OUTROS C/C/ DIGNIDADE SEXUAL")</f>
        <v>OUTROS C/C/ DIGNIDADE SEXUAL</v>
      </c>
      <c r="D1357" s="6">
        <f>IFERROR(__xludf.DUMMYFUNCTION("""COMPUTED_VALUE"""),0.0)</f>
        <v>0</v>
      </c>
      <c r="E1357" s="6">
        <f>IFERROR(__xludf.DUMMYFUNCTION("""COMPUTED_VALUE"""),1.0)</f>
        <v>1</v>
      </c>
      <c r="F1357" s="6">
        <f>IFERROR(__xludf.DUMMYFUNCTION("""COMPUTED_VALUE"""),2.0)</f>
        <v>2</v>
      </c>
      <c r="G1357" s="6">
        <f>IFERROR(__xludf.DUMMYFUNCTION("""COMPUTED_VALUE"""),3.0)</f>
        <v>3</v>
      </c>
    </row>
    <row r="1358">
      <c r="A1358" s="6">
        <f>IFERROR(__xludf.DUMMYFUNCTION("""COMPUTED_VALUE"""),2019.0)</f>
        <v>2019</v>
      </c>
      <c r="B1358" s="6" t="str">
        <f>IFERROR(__xludf.DUMMYFUNCTION("""COMPUTED_VALUE"""),"Julho")</f>
        <v>Julho</v>
      </c>
      <c r="C1358" s="6" t="str">
        <f>IFERROR(__xludf.DUMMYFUNCTION("""COMPUTED_VALUE"""),"HOMICÍDIO DOLOSO (exclui FEMINICÍDIO)")</f>
        <v>HOMICÍDIO DOLOSO (exclui FEMINICÍDIO)</v>
      </c>
      <c r="D1358" s="6">
        <f>IFERROR(__xludf.DUMMYFUNCTION("""COMPUTED_VALUE"""),1.0)</f>
        <v>1</v>
      </c>
      <c r="E1358" s="6">
        <f>IFERROR(__xludf.DUMMYFUNCTION("""COMPUTED_VALUE"""),0.0)</f>
        <v>0</v>
      </c>
      <c r="F1358" s="6">
        <f>IFERROR(__xludf.DUMMYFUNCTION("""COMPUTED_VALUE"""),2.0)</f>
        <v>2</v>
      </c>
      <c r="G1358" s="6">
        <f>IFERROR(__xludf.DUMMYFUNCTION("""COMPUTED_VALUE"""),3.0)</f>
        <v>3</v>
      </c>
    </row>
    <row r="1359">
      <c r="A1359" s="6">
        <f>IFERROR(__xludf.DUMMYFUNCTION("""COMPUTED_VALUE"""),2019.0)</f>
        <v>2019</v>
      </c>
      <c r="B1359" s="6" t="str">
        <f>IFERROR(__xludf.DUMMYFUNCTION("""COMPUTED_VALUE"""),"Julho")</f>
        <v>Julho</v>
      </c>
      <c r="C1359" s="6" t="str">
        <f>IFERROR(__xludf.DUMMYFUNCTION("""COMPUTED_VALUE"""),"FEMINICÍDIO")</f>
        <v>FEMINICÍDIO</v>
      </c>
      <c r="D1359" s="6">
        <f>IFERROR(__xludf.DUMMYFUNCTION("""COMPUTED_VALUE"""),2.0)</f>
        <v>2</v>
      </c>
      <c r="E1359" s="6">
        <f>IFERROR(__xludf.DUMMYFUNCTION("""COMPUTED_VALUE"""),3.0)</f>
        <v>3</v>
      </c>
      <c r="F1359" s="6">
        <f>IFERROR(__xludf.DUMMYFUNCTION("""COMPUTED_VALUE"""),5.0)</f>
        <v>5</v>
      </c>
      <c r="G1359" s="6">
        <f>IFERROR(__xludf.DUMMYFUNCTION("""COMPUTED_VALUE"""),10.0)</f>
        <v>10</v>
      </c>
    </row>
    <row r="1360">
      <c r="A1360" s="6">
        <f>IFERROR(__xludf.DUMMYFUNCTION("""COMPUTED_VALUE"""),2019.0)</f>
        <v>2019</v>
      </c>
      <c r="B1360" s="6" t="str">
        <f>IFERROR(__xludf.DUMMYFUNCTION("""COMPUTED_VALUE"""),"Julho")</f>
        <v>Julho</v>
      </c>
      <c r="C1360" s="6" t="str">
        <f>IFERROR(__xludf.DUMMYFUNCTION("""COMPUTED_VALUE"""),"HOMICÍDIO CULPOSO")</f>
        <v>HOMICÍDIO CULPOSO</v>
      </c>
      <c r="D1360" s="6">
        <f>IFERROR(__xludf.DUMMYFUNCTION("""COMPUTED_VALUE"""),0.0)</f>
        <v>0</v>
      </c>
      <c r="E1360" s="6">
        <f>IFERROR(__xludf.DUMMYFUNCTION("""COMPUTED_VALUE"""),0.0)</f>
        <v>0</v>
      </c>
      <c r="F1360" s="6">
        <f>IFERROR(__xludf.DUMMYFUNCTION("""COMPUTED_VALUE"""),0.0)</f>
        <v>0</v>
      </c>
      <c r="G1360" s="6">
        <f>IFERROR(__xludf.DUMMYFUNCTION("""COMPUTED_VALUE"""),0.0)</f>
        <v>0</v>
      </c>
    </row>
    <row r="1361">
      <c r="A1361" s="6">
        <f>IFERROR(__xludf.DUMMYFUNCTION("""COMPUTED_VALUE"""),2019.0)</f>
        <v>2019</v>
      </c>
      <c r="B1361" s="6" t="str">
        <f>IFERROR(__xludf.DUMMYFUNCTION("""COMPUTED_VALUE"""),"Julho")</f>
        <v>Julho</v>
      </c>
      <c r="C1361" s="6" t="str">
        <f>IFERROR(__xludf.DUMMYFUNCTION("""COMPUTED_VALUE"""),"TENTATIVA DE HOMICÍDIO")</f>
        <v>TENTATIVA DE HOMICÍDIO</v>
      </c>
      <c r="D1361" s="6">
        <f>IFERROR(__xludf.DUMMYFUNCTION("""COMPUTED_VALUE"""),1.0)</f>
        <v>1</v>
      </c>
      <c r="E1361" s="6">
        <f>IFERROR(__xludf.DUMMYFUNCTION("""COMPUTED_VALUE"""),2.0)</f>
        <v>2</v>
      </c>
      <c r="F1361" s="6">
        <f>IFERROR(__xludf.DUMMYFUNCTION("""COMPUTED_VALUE"""),11.0)</f>
        <v>11</v>
      </c>
      <c r="G1361" s="6">
        <f>IFERROR(__xludf.DUMMYFUNCTION("""COMPUTED_VALUE"""),14.0)</f>
        <v>14</v>
      </c>
    </row>
    <row r="1362">
      <c r="A1362" s="6">
        <f>IFERROR(__xludf.DUMMYFUNCTION("""COMPUTED_VALUE"""),2019.0)</f>
        <v>2019</v>
      </c>
      <c r="B1362" s="6" t="str">
        <f>IFERROR(__xludf.DUMMYFUNCTION("""COMPUTED_VALUE"""),"Julho")</f>
        <v>Julho</v>
      </c>
      <c r="C1362" s="6" t="str">
        <f>IFERROR(__xludf.DUMMYFUNCTION("""COMPUTED_VALUE"""),"LESÃO CORPORAL DOLOSA")</f>
        <v>LESÃO CORPORAL DOLOSA</v>
      </c>
      <c r="D1362" s="6">
        <f>IFERROR(__xludf.DUMMYFUNCTION("""COMPUTED_VALUE"""),842.0)</f>
        <v>842</v>
      </c>
      <c r="E1362" s="6">
        <f>IFERROR(__xludf.DUMMYFUNCTION("""COMPUTED_VALUE"""),741.0)</f>
        <v>741</v>
      </c>
      <c r="F1362" s="6">
        <f>IFERROR(__xludf.DUMMYFUNCTION("""COMPUTED_VALUE"""),2831.0)</f>
        <v>2831</v>
      </c>
      <c r="G1362" s="6">
        <f>IFERROR(__xludf.DUMMYFUNCTION("""COMPUTED_VALUE"""),4414.0)</f>
        <v>4414</v>
      </c>
    </row>
    <row r="1363">
      <c r="A1363" s="6">
        <f>IFERROR(__xludf.DUMMYFUNCTION("""COMPUTED_VALUE"""),2019.0)</f>
        <v>2019</v>
      </c>
      <c r="B1363" s="6" t="str">
        <f>IFERROR(__xludf.DUMMYFUNCTION("""COMPUTED_VALUE"""),"Julho")</f>
        <v>Julho</v>
      </c>
      <c r="C1363" s="6" t="str">
        <f>IFERROR(__xludf.DUMMYFUNCTION("""COMPUTED_VALUE"""),"MAUS TRATOS")</f>
        <v>MAUS TRATOS</v>
      </c>
      <c r="D1363" s="6">
        <f>IFERROR(__xludf.DUMMYFUNCTION("""COMPUTED_VALUE"""),2.0)</f>
        <v>2</v>
      </c>
      <c r="E1363" s="6">
        <f>IFERROR(__xludf.DUMMYFUNCTION("""COMPUTED_VALUE"""),2.0)</f>
        <v>2</v>
      </c>
      <c r="F1363" s="6">
        <f>IFERROR(__xludf.DUMMYFUNCTION("""COMPUTED_VALUE"""),15.0)</f>
        <v>15</v>
      </c>
      <c r="G1363" s="6">
        <f>IFERROR(__xludf.DUMMYFUNCTION("""COMPUTED_VALUE"""),19.0)</f>
        <v>19</v>
      </c>
    </row>
    <row r="1364">
      <c r="A1364" s="6">
        <f>IFERROR(__xludf.DUMMYFUNCTION("""COMPUTED_VALUE"""),2019.0)</f>
        <v>2019</v>
      </c>
      <c r="B1364" s="6" t="str">
        <f>IFERROR(__xludf.DUMMYFUNCTION("""COMPUTED_VALUE"""),"Julho")</f>
        <v>Julho</v>
      </c>
      <c r="C1364" s="6" t="str">
        <f>IFERROR(__xludf.DUMMYFUNCTION("""COMPUTED_VALUE"""),"CALÚNIA - DIFAMAÇÃO - INJÚRIA")</f>
        <v>CALÚNIA - DIFAMAÇÃO - INJÚRIA</v>
      </c>
      <c r="D1364" s="6">
        <f>IFERROR(__xludf.DUMMYFUNCTION("""COMPUTED_VALUE"""),172.0)</f>
        <v>172</v>
      </c>
      <c r="E1364" s="6">
        <f>IFERROR(__xludf.DUMMYFUNCTION("""COMPUTED_VALUE"""),151.0)</f>
        <v>151</v>
      </c>
      <c r="F1364" s="6">
        <f>IFERROR(__xludf.DUMMYFUNCTION("""COMPUTED_VALUE"""),649.0)</f>
        <v>649</v>
      </c>
      <c r="G1364" s="6">
        <f>IFERROR(__xludf.DUMMYFUNCTION("""COMPUTED_VALUE"""),972.0)</f>
        <v>972</v>
      </c>
    </row>
    <row r="1365">
      <c r="A1365" s="6">
        <f>IFERROR(__xludf.DUMMYFUNCTION("""COMPUTED_VALUE"""),2019.0)</f>
        <v>2019</v>
      </c>
      <c r="B1365" s="6" t="str">
        <f>IFERROR(__xludf.DUMMYFUNCTION("""COMPUTED_VALUE"""),"Julho")</f>
        <v>Julho</v>
      </c>
      <c r="C1365" s="6" t="str">
        <f>IFERROR(__xludf.DUMMYFUNCTION("""COMPUTED_VALUE"""),"CONSTRANGIMENTO ILEGAL")</f>
        <v>CONSTRANGIMENTO ILEGAL</v>
      </c>
      <c r="D1365" s="6">
        <f>IFERROR(__xludf.DUMMYFUNCTION("""COMPUTED_VALUE"""),1.0)</f>
        <v>1</v>
      </c>
      <c r="E1365" s="6">
        <f>IFERROR(__xludf.DUMMYFUNCTION("""COMPUTED_VALUE"""),0.0)</f>
        <v>0</v>
      </c>
      <c r="F1365" s="6">
        <f>IFERROR(__xludf.DUMMYFUNCTION("""COMPUTED_VALUE"""),5.0)</f>
        <v>5</v>
      </c>
      <c r="G1365" s="6">
        <f>IFERROR(__xludf.DUMMYFUNCTION("""COMPUTED_VALUE"""),6.0)</f>
        <v>6</v>
      </c>
    </row>
    <row r="1366">
      <c r="A1366" s="6">
        <f>IFERROR(__xludf.DUMMYFUNCTION("""COMPUTED_VALUE"""),2019.0)</f>
        <v>2019</v>
      </c>
      <c r="B1366" s="6" t="str">
        <f>IFERROR(__xludf.DUMMYFUNCTION("""COMPUTED_VALUE"""),"Julho")</f>
        <v>Julho</v>
      </c>
      <c r="C1366" s="6" t="str">
        <f>IFERROR(__xludf.DUMMYFUNCTION("""COMPUTED_VALUE"""),"AMEAÇA")</f>
        <v>AMEAÇA</v>
      </c>
      <c r="D1366" s="6">
        <f>IFERROR(__xludf.DUMMYFUNCTION("""COMPUTED_VALUE"""),811.0)</f>
        <v>811</v>
      </c>
      <c r="E1366" s="6">
        <f>IFERROR(__xludf.DUMMYFUNCTION("""COMPUTED_VALUE"""),743.0)</f>
        <v>743</v>
      </c>
      <c r="F1366" s="6">
        <f>IFERROR(__xludf.DUMMYFUNCTION("""COMPUTED_VALUE"""),2894.0)</f>
        <v>2894</v>
      </c>
      <c r="G1366" s="6">
        <f>IFERROR(__xludf.DUMMYFUNCTION("""COMPUTED_VALUE"""),4448.0)</f>
        <v>4448</v>
      </c>
    </row>
    <row r="1367">
      <c r="A1367" s="6">
        <f>IFERROR(__xludf.DUMMYFUNCTION("""COMPUTED_VALUE"""),2019.0)</f>
        <v>2019</v>
      </c>
      <c r="B1367" s="6" t="str">
        <f>IFERROR(__xludf.DUMMYFUNCTION("""COMPUTED_VALUE"""),"Julho")</f>
        <v>Julho</v>
      </c>
      <c r="C1367" s="6" t="str">
        <f>IFERROR(__xludf.DUMMYFUNCTION("""COMPUTED_VALUE"""),"INVASÃO DE DOMICÍLIO")</f>
        <v>INVASÃO DE DOMICÍLIO</v>
      </c>
      <c r="D1367" s="6">
        <f>IFERROR(__xludf.DUMMYFUNCTION("""COMPUTED_VALUE"""),1.0)</f>
        <v>1</v>
      </c>
      <c r="E1367" s="6">
        <f>IFERROR(__xludf.DUMMYFUNCTION("""COMPUTED_VALUE"""),2.0)</f>
        <v>2</v>
      </c>
      <c r="F1367" s="6">
        <f>IFERROR(__xludf.DUMMYFUNCTION("""COMPUTED_VALUE"""),12.0)</f>
        <v>12</v>
      </c>
      <c r="G1367" s="6">
        <f>IFERROR(__xludf.DUMMYFUNCTION("""COMPUTED_VALUE"""),15.0)</f>
        <v>15</v>
      </c>
    </row>
    <row r="1368">
      <c r="A1368" s="6">
        <f>IFERROR(__xludf.DUMMYFUNCTION("""COMPUTED_VALUE"""),2019.0)</f>
        <v>2019</v>
      </c>
      <c r="B1368" s="6" t="str">
        <f>IFERROR(__xludf.DUMMYFUNCTION("""COMPUTED_VALUE"""),"Julho")</f>
        <v>Julho</v>
      </c>
      <c r="C1368" s="6" t="str">
        <f>IFERROR(__xludf.DUMMYFUNCTION("""COMPUTED_VALUE"""),"DANO")</f>
        <v>DANO</v>
      </c>
      <c r="D1368" s="6">
        <f>IFERROR(__xludf.DUMMYFUNCTION("""COMPUTED_VALUE"""),9.0)</f>
        <v>9</v>
      </c>
      <c r="E1368" s="6">
        <f>IFERROR(__xludf.DUMMYFUNCTION("""COMPUTED_VALUE"""),9.0)</f>
        <v>9</v>
      </c>
      <c r="F1368" s="6">
        <f>IFERROR(__xludf.DUMMYFUNCTION("""COMPUTED_VALUE"""),51.0)</f>
        <v>51</v>
      </c>
      <c r="G1368" s="6">
        <f>IFERROR(__xludf.DUMMYFUNCTION("""COMPUTED_VALUE"""),69.0)</f>
        <v>69</v>
      </c>
    </row>
    <row r="1369">
      <c r="A1369" s="6">
        <f>IFERROR(__xludf.DUMMYFUNCTION("""COMPUTED_VALUE"""),2019.0)</f>
        <v>2019</v>
      </c>
      <c r="B1369" s="6" t="str">
        <f>IFERROR(__xludf.DUMMYFUNCTION("""COMPUTED_VALUE"""),"Julho")</f>
        <v>Julho</v>
      </c>
      <c r="C1369" s="6" t="str">
        <f>IFERROR(__xludf.DUMMYFUNCTION("""COMPUTED_VALUE"""),"ESTUPRO CONSUMADO")</f>
        <v>ESTUPRO CONSUMADO</v>
      </c>
      <c r="D1369" s="6">
        <f>IFERROR(__xludf.DUMMYFUNCTION("""COMPUTED_VALUE"""),9.0)</f>
        <v>9</v>
      </c>
      <c r="E1369" s="6">
        <f>IFERROR(__xludf.DUMMYFUNCTION("""COMPUTED_VALUE"""),6.0)</f>
        <v>6</v>
      </c>
      <c r="F1369" s="6">
        <f>IFERROR(__xludf.DUMMYFUNCTION("""COMPUTED_VALUE"""),17.0)</f>
        <v>17</v>
      </c>
      <c r="G1369" s="6">
        <f>IFERROR(__xludf.DUMMYFUNCTION("""COMPUTED_VALUE"""),32.0)</f>
        <v>32</v>
      </c>
    </row>
    <row r="1370">
      <c r="A1370" s="6">
        <f>IFERROR(__xludf.DUMMYFUNCTION("""COMPUTED_VALUE"""),2019.0)</f>
        <v>2019</v>
      </c>
      <c r="B1370" s="6" t="str">
        <f>IFERROR(__xludf.DUMMYFUNCTION("""COMPUTED_VALUE"""),"Julho")</f>
        <v>Julho</v>
      </c>
      <c r="C1370" s="6" t="str">
        <f>IFERROR(__xludf.DUMMYFUNCTION("""COMPUTED_VALUE"""),"ESTUPRO TENTADO")</f>
        <v>ESTUPRO TENTADO</v>
      </c>
      <c r="D1370" s="6">
        <f>IFERROR(__xludf.DUMMYFUNCTION("""COMPUTED_VALUE"""),0.0)</f>
        <v>0</v>
      </c>
      <c r="E1370" s="6">
        <f>IFERROR(__xludf.DUMMYFUNCTION("""COMPUTED_VALUE"""),0.0)</f>
        <v>0</v>
      </c>
      <c r="F1370" s="6">
        <f>IFERROR(__xludf.DUMMYFUNCTION("""COMPUTED_VALUE"""),1.0)</f>
        <v>1</v>
      </c>
      <c r="G1370" s="6">
        <f>IFERROR(__xludf.DUMMYFUNCTION("""COMPUTED_VALUE"""),1.0)</f>
        <v>1</v>
      </c>
    </row>
    <row r="1371">
      <c r="A1371" s="6">
        <f>IFERROR(__xludf.DUMMYFUNCTION("""COMPUTED_VALUE"""),2019.0)</f>
        <v>2019</v>
      </c>
      <c r="B1371" s="6" t="str">
        <f>IFERROR(__xludf.DUMMYFUNCTION("""COMPUTED_VALUE"""),"Julho")</f>
        <v>Julho</v>
      </c>
      <c r="C1371" s="6" t="str">
        <f>IFERROR(__xludf.DUMMYFUNCTION("""COMPUTED_VALUE"""),"ESTUPRO DE VULNERÁVEL CONSUMADO")</f>
        <v>ESTUPRO DE VULNERÁVEL CONSUMADO</v>
      </c>
      <c r="D1371" s="6">
        <f>IFERROR(__xludf.DUMMYFUNCTION("""COMPUTED_VALUE"""),3.0)</f>
        <v>3</v>
      </c>
      <c r="E1371" s="6">
        <f>IFERROR(__xludf.DUMMYFUNCTION("""COMPUTED_VALUE"""),4.0)</f>
        <v>4</v>
      </c>
      <c r="F1371" s="6">
        <f>IFERROR(__xludf.DUMMYFUNCTION("""COMPUTED_VALUE"""),16.0)</f>
        <v>16</v>
      </c>
      <c r="G1371" s="6">
        <f>IFERROR(__xludf.DUMMYFUNCTION("""COMPUTED_VALUE"""),23.0)</f>
        <v>23</v>
      </c>
    </row>
    <row r="1372">
      <c r="A1372" s="6">
        <f>IFERROR(__xludf.DUMMYFUNCTION("""COMPUTED_VALUE"""),2019.0)</f>
        <v>2019</v>
      </c>
      <c r="B1372" s="6" t="str">
        <f>IFERROR(__xludf.DUMMYFUNCTION("""COMPUTED_VALUE"""),"Julho")</f>
        <v>Julho</v>
      </c>
      <c r="C1372" s="6" t="str">
        <f>IFERROR(__xludf.DUMMYFUNCTION("""COMPUTED_VALUE"""),"OUTROS C/C/ DIGNIDADE SEXUAL")</f>
        <v>OUTROS C/C/ DIGNIDADE SEXUAL</v>
      </c>
      <c r="D1372" s="6">
        <f>IFERROR(__xludf.DUMMYFUNCTION("""COMPUTED_VALUE"""),0.0)</f>
        <v>0</v>
      </c>
      <c r="E1372" s="6">
        <f>IFERROR(__xludf.DUMMYFUNCTION("""COMPUTED_VALUE"""),0.0)</f>
        <v>0</v>
      </c>
      <c r="F1372" s="6">
        <f>IFERROR(__xludf.DUMMYFUNCTION("""COMPUTED_VALUE"""),2.0)</f>
        <v>2</v>
      </c>
      <c r="G1372" s="6">
        <f>IFERROR(__xludf.DUMMYFUNCTION("""COMPUTED_VALUE"""),2.0)</f>
        <v>2</v>
      </c>
    </row>
    <row r="1373">
      <c r="A1373" s="6">
        <f>IFERROR(__xludf.DUMMYFUNCTION("""COMPUTED_VALUE"""),2019.0)</f>
        <v>2019</v>
      </c>
      <c r="B1373" s="6" t="str">
        <f>IFERROR(__xludf.DUMMYFUNCTION("""COMPUTED_VALUE"""),"Agosto")</f>
        <v>Agosto</v>
      </c>
      <c r="C1373" s="6" t="str">
        <f>IFERROR(__xludf.DUMMYFUNCTION("""COMPUTED_VALUE"""),"HOMICÍDIO DOLOSO (exclui FEMINICÍDIO)")</f>
        <v>HOMICÍDIO DOLOSO (exclui FEMINICÍDIO)</v>
      </c>
      <c r="D1373" s="6">
        <f>IFERROR(__xludf.DUMMYFUNCTION("""COMPUTED_VALUE"""),2.0)</f>
        <v>2</v>
      </c>
      <c r="E1373" s="6">
        <f>IFERROR(__xludf.DUMMYFUNCTION("""COMPUTED_VALUE"""),0.0)</f>
        <v>0</v>
      </c>
      <c r="F1373" s="6">
        <f>IFERROR(__xludf.DUMMYFUNCTION("""COMPUTED_VALUE"""),1.0)</f>
        <v>1</v>
      </c>
      <c r="G1373" s="6">
        <f>IFERROR(__xludf.DUMMYFUNCTION("""COMPUTED_VALUE"""),3.0)</f>
        <v>3</v>
      </c>
    </row>
    <row r="1374">
      <c r="A1374" s="6">
        <f>IFERROR(__xludf.DUMMYFUNCTION("""COMPUTED_VALUE"""),2019.0)</f>
        <v>2019</v>
      </c>
      <c r="B1374" s="6" t="str">
        <f>IFERROR(__xludf.DUMMYFUNCTION("""COMPUTED_VALUE"""),"Agosto")</f>
        <v>Agosto</v>
      </c>
      <c r="C1374" s="6" t="str">
        <f>IFERROR(__xludf.DUMMYFUNCTION("""COMPUTED_VALUE"""),"FEMINICÍDIO")</f>
        <v>FEMINICÍDIO</v>
      </c>
      <c r="D1374" s="6">
        <f>IFERROR(__xludf.DUMMYFUNCTION("""COMPUTED_VALUE"""),2.0)</f>
        <v>2</v>
      </c>
      <c r="E1374" s="6">
        <f>IFERROR(__xludf.DUMMYFUNCTION("""COMPUTED_VALUE"""),3.0)</f>
        <v>3</v>
      </c>
      <c r="F1374" s="6">
        <f>IFERROR(__xludf.DUMMYFUNCTION("""COMPUTED_VALUE"""),6.0)</f>
        <v>6</v>
      </c>
      <c r="G1374" s="6">
        <f>IFERROR(__xludf.DUMMYFUNCTION("""COMPUTED_VALUE"""),11.0)</f>
        <v>11</v>
      </c>
    </row>
    <row r="1375">
      <c r="A1375" s="6">
        <f>IFERROR(__xludf.DUMMYFUNCTION("""COMPUTED_VALUE"""),2019.0)</f>
        <v>2019</v>
      </c>
      <c r="B1375" s="6" t="str">
        <f>IFERROR(__xludf.DUMMYFUNCTION("""COMPUTED_VALUE"""),"Agosto")</f>
        <v>Agosto</v>
      </c>
      <c r="C1375" s="6" t="str">
        <f>IFERROR(__xludf.DUMMYFUNCTION("""COMPUTED_VALUE"""),"HOMICÍDIO CULPOSO")</f>
        <v>HOMICÍDIO CULPOSO</v>
      </c>
      <c r="D1375" s="6">
        <f>IFERROR(__xludf.DUMMYFUNCTION("""COMPUTED_VALUE"""),0.0)</f>
        <v>0</v>
      </c>
      <c r="E1375" s="6">
        <f>IFERROR(__xludf.DUMMYFUNCTION("""COMPUTED_VALUE"""),0.0)</f>
        <v>0</v>
      </c>
      <c r="F1375" s="6">
        <f>IFERROR(__xludf.DUMMYFUNCTION("""COMPUTED_VALUE"""),0.0)</f>
        <v>0</v>
      </c>
      <c r="G1375" s="6">
        <f>IFERROR(__xludf.DUMMYFUNCTION("""COMPUTED_VALUE"""),0.0)</f>
        <v>0</v>
      </c>
    </row>
    <row r="1376">
      <c r="A1376" s="6">
        <f>IFERROR(__xludf.DUMMYFUNCTION("""COMPUTED_VALUE"""),2019.0)</f>
        <v>2019</v>
      </c>
      <c r="B1376" s="6" t="str">
        <f>IFERROR(__xludf.DUMMYFUNCTION("""COMPUTED_VALUE"""),"Agosto")</f>
        <v>Agosto</v>
      </c>
      <c r="C1376" s="6" t="str">
        <f>IFERROR(__xludf.DUMMYFUNCTION("""COMPUTED_VALUE"""),"TENTATIVA DE HOMICÍDIO")</f>
        <v>TENTATIVA DE HOMICÍDIO</v>
      </c>
      <c r="D1376" s="6">
        <f>IFERROR(__xludf.DUMMYFUNCTION("""COMPUTED_VALUE"""),2.0)</f>
        <v>2</v>
      </c>
      <c r="E1376" s="6">
        <f>IFERROR(__xludf.DUMMYFUNCTION("""COMPUTED_VALUE"""),3.0)</f>
        <v>3</v>
      </c>
      <c r="F1376" s="6">
        <f>IFERROR(__xludf.DUMMYFUNCTION("""COMPUTED_VALUE"""),12.0)</f>
        <v>12</v>
      </c>
      <c r="G1376" s="6">
        <f>IFERROR(__xludf.DUMMYFUNCTION("""COMPUTED_VALUE"""),17.0)</f>
        <v>17</v>
      </c>
    </row>
    <row r="1377">
      <c r="A1377" s="6">
        <f>IFERROR(__xludf.DUMMYFUNCTION("""COMPUTED_VALUE"""),2019.0)</f>
        <v>2019</v>
      </c>
      <c r="B1377" s="6" t="str">
        <f>IFERROR(__xludf.DUMMYFUNCTION("""COMPUTED_VALUE"""),"Agosto")</f>
        <v>Agosto</v>
      </c>
      <c r="C1377" s="6" t="str">
        <f>IFERROR(__xludf.DUMMYFUNCTION("""COMPUTED_VALUE"""),"LESÃO CORPORAL DOLOSA")</f>
        <v>LESÃO CORPORAL DOLOSA</v>
      </c>
      <c r="D1377" s="6">
        <f>IFERROR(__xludf.DUMMYFUNCTION("""COMPUTED_VALUE"""),913.0)</f>
        <v>913</v>
      </c>
      <c r="E1377" s="6">
        <f>IFERROR(__xludf.DUMMYFUNCTION("""COMPUTED_VALUE"""),805.0)</f>
        <v>805</v>
      </c>
      <c r="F1377" s="6">
        <f>IFERROR(__xludf.DUMMYFUNCTION("""COMPUTED_VALUE"""),2914.0)</f>
        <v>2914</v>
      </c>
      <c r="G1377" s="6">
        <f>IFERROR(__xludf.DUMMYFUNCTION("""COMPUTED_VALUE"""),4632.0)</f>
        <v>4632</v>
      </c>
    </row>
    <row r="1378">
      <c r="A1378" s="6">
        <f>IFERROR(__xludf.DUMMYFUNCTION("""COMPUTED_VALUE"""),2019.0)</f>
        <v>2019</v>
      </c>
      <c r="B1378" s="6" t="str">
        <f>IFERROR(__xludf.DUMMYFUNCTION("""COMPUTED_VALUE"""),"Agosto")</f>
        <v>Agosto</v>
      </c>
      <c r="C1378" s="6" t="str">
        <f>IFERROR(__xludf.DUMMYFUNCTION("""COMPUTED_VALUE"""),"MAUS TRATOS")</f>
        <v>MAUS TRATOS</v>
      </c>
      <c r="D1378" s="6">
        <f>IFERROR(__xludf.DUMMYFUNCTION("""COMPUTED_VALUE"""),3.0)</f>
        <v>3</v>
      </c>
      <c r="E1378" s="6">
        <f>IFERROR(__xludf.DUMMYFUNCTION("""COMPUTED_VALUE"""),2.0)</f>
        <v>2</v>
      </c>
      <c r="F1378" s="6">
        <f>IFERROR(__xludf.DUMMYFUNCTION("""COMPUTED_VALUE"""),17.0)</f>
        <v>17</v>
      </c>
      <c r="G1378" s="6">
        <f>IFERROR(__xludf.DUMMYFUNCTION("""COMPUTED_VALUE"""),22.0)</f>
        <v>22</v>
      </c>
    </row>
    <row r="1379">
      <c r="A1379" s="6">
        <f>IFERROR(__xludf.DUMMYFUNCTION("""COMPUTED_VALUE"""),2019.0)</f>
        <v>2019</v>
      </c>
      <c r="B1379" s="6" t="str">
        <f>IFERROR(__xludf.DUMMYFUNCTION("""COMPUTED_VALUE"""),"Agosto")</f>
        <v>Agosto</v>
      </c>
      <c r="C1379" s="6" t="str">
        <f>IFERROR(__xludf.DUMMYFUNCTION("""COMPUTED_VALUE"""),"CALÚNIA - DIFAMAÇÃO - INJÚRIA")</f>
        <v>CALÚNIA - DIFAMAÇÃO - INJÚRIA</v>
      </c>
      <c r="D1379" s="6">
        <f>IFERROR(__xludf.DUMMYFUNCTION("""COMPUTED_VALUE"""),191.0)</f>
        <v>191</v>
      </c>
      <c r="E1379" s="6">
        <f>IFERROR(__xludf.DUMMYFUNCTION("""COMPUTED_VALUE"""),168.0)</f>
        <v>168</v>
      </c>
      <c r="F1379" s="6">
        <f>IFERROR(__xludf.DUMMYFUNCTION("""COMPUTED_VALUE"""),702.0)</f>
        <v>702</v>
      </c>
      <c r="G1379" s="6">
        <f>IFERROR(__xludf.DUMMYFUNCTION("""COMPUTED_VALUE"""),1061.0)</f>
        <v>1061</v>
      </c>
    </row>
    <row r="1380">
      <c r="A1380" s="6">
        <f>IFERROR(__xludf.DUMMYFUNCTION("""COMPUTED_VALUE"""),2019.0)</f>
        <v>2019</v>
      </c>
      <c r="B1380" s="6" t="str">
        <f>IFERROR(__xludf.DUMMYFUNCTION("""COMPUTED_VALUE"""),"Agosto")</f>
        <v>Agosto</v>
      </c>
      <c r="C1380" s="6" t="str">
        <f>IFERROR(__xludf.DUMMYFUNCTION("""COMPUTED_VALUE"""),"CONSTRANGIMENTO ILEGAL")</f>
        <v>CONSTRANGIMENTO ILEGAL</v>
      </c>
      <c r="D1380" s="6">
        <f>IFERROR(__xludf.DUMMYFUNCTION("""COMPUTED_VALUE"""),1.0)</f>
        <v>1</v>
      </c>
      <c r="E1380" s="6">
        <f>IFERROR(__xludf.DUMMYFUNCTION("""COMPUTED_VALUE"""),0.0)</f>
        <v>0</v>
      </c>
      <c r="F1380" s="6">
        <f>IFERROR(__xludf.DUMMYFUNCTION("""COMPUTED_VALUE"""),6.0)</f>
        <v>6</v>
      </c>
      <c r="G1380" s="6">
        <f>IFERROR(__xludf.DUMMYFUNCTION("""COMPUTED_VALUE"""),7.0)</f>
        <v>7</v>
      </c>
    </row>
    <row r="1381">
      <c r="A1381" s="6">
        <f>IFERROR(__xludf.DUMMYFUNCTION("""COMPUTED_VALUE"""),2019.0)</f>
        <v>2019</v>
      </c>
      <c r="B1381" s="6" t="str">
        <f>IFERROR(__xludf.DUMMYFUNCTION("""COMPUTED_VALUE"""),"Agosto")</f>
        <v>Agosto</v>
      </c>
      <c r="C1381" s="6" t="str">
        <f>IFERROR(__xludf.DUMMYFUNCTION("""COMPUTED_VALUE"""),"AMEAÇA")</f>
        <v>AMEAÇA</v>
      </c>
      <c r="D1381" s="6">
        <f>IFERROR(__xludf.DUMMYFUNCTION("""COMPUTED_VALUE"""),884.0)</f>
        <v>884</v>
      </c>
      <c r="E1381" s="6">
        <f>IFERROR(__xludf.DUMMYFUNCTION("""COMPUTED_VALUE"""),812.0)</f>
        <v>812</v>
      </c>
      <c r="F1381" s="6">
        <f>IFERROR(__xludf.DUMMYFUNCTION("""COMPUTED_VALUE"""),3012.0)</f>
        <v>3012</v>
      </c>
      <c r="G1381" s="6">
        <f>IFERROR(__xludf.DUMMYFUNCTION("""COMPUTED_VALUE"""),4708.0)</f>
        <v>4708</v>
      </c>
    </row>
    <row r="1382">
      <c r="A1382" s="6">
        <f>IFERROR(__xludf.DUMMYFUNCTION("""COMPUTED_VALUE"""),2019.0)</f>
        <v>2019</v>
      </c>
      <c r="B1382" s="6" t="str">
        <f>IFERROR(__xludf.DUMMYFUNCTION("""COMPUTED_VALUE"""),"Agosto")</f>
        <v>Agosto</v>
      </c>
      <c r="C1382" s="6" t="str">
        <f>IFERROR(__xludf.DUMMYFUNCTION("""COMPUTED_VALUE"""),"INVASÃO DE DOMICÍLIO")</f>
        <v>INVASÃO DE DOMICÍLIO</v>
      </c>
      <c r="D1382" s="6">
        <f>IFERROR(__xludf.DUMMYFUNCTION("""COMPUTED_VALUE"""),1.0)</f>
        <v>1</v>
      </c>
      <c r="E1382" s="6">
        <f>IFERROR(__xludf.DUMMYFUNCTION("""COMPUTED_VALUE"""),2.0)</f>
        <v>2</v>
      </c>
      <c r="F1382" s="6">
        <f>IFERROR(__xludf.DUMMYFUNCTION("""COMPUTED_VALUE"""),13.0)</f>
        <v>13</v>
      </c>
      <c r="G1382" s="6">
        <f>IFERROR(__xludf.DUMMYFUNCTION("""COMPUTED_VALUE"""),16.0)</f>
        <v>16</v>
      </c>
    </row>
    <row r="1383">
      <c r="A1383" s="6">
        <f>IFERROR(__xludf.DUMMYFUNCTION("""COMPUTED_VALUE"""),2019.0)</f>
        <v>2019</v>
      </c>
      <c r="B1383" s="6" t="str">
        <f>IFERROR(__xludf.DUMMYFUNCTION("""COMPUTED_VALUE"""),"Agosto")</f>
        <v>Agosto</v>
      </c>
      <c r="C1383" s="6" t="str">
        <f>IFERROR(__xludf.DUMMYFUNCTION("""COMPUTED_VALUE"""),"DANO")</f>
        <v>DANO</v>
      </c>
      <c r="D1383" s="6">
        <f>IFERROR(__xludf.DUMMYFUNCTION("""COMPUTED_VALUE"""),11.0)</f>
        <v>11</v>
      </c>
      <c r="E1383" s="6">
        <f>IFERROR(__xludf.DUMMYFUNCTION("""COMPUTED_VALUE"""),10.0)</f>
        <v>10</v>
      </c>
      <c r="F1383" s="6">
        <f>IFERROR(__xludf.DUMMYFUNCTION("""COMPUTED_VALUE"""),56.0)</f>
        <v>56</v>
      </c>
      <c r="G1383" s="6">
        <f>IFERROR(__xludf.DUMMYFUNCTION("""COMPUTED_VALUE"""),77.0)</f>
        <v>77</v>
      </c>
    </row>
    <row r="1384">
      <c r="A1384" s="6">
        <f>IFERROR(__xludf.DUMMYFUNCTION("""COMPUTED_VALUE"""),2019.0)</f>
        <v>2019</v>
      </c>
      <c r="B1384" s="6" t="str">
        <f>IFERROR(__xludf.DUMMYFUNCTION("""COMPUTED_VALUE"""),"Agosto")</f>
        <v>Agosto</v>
      </c>
      <c r="C1384" s="6" t="str">
        <f>IFERROR(__xludf.DUMMYFUNCTION("""COMPUTED_VALUE"""),"ESTUPRO CONSUMADO")</f>
        <v>ESTUPRO CONSUMADO</v>
      </c>
      <c r="D1384" s="6">
        <f>IFERROR(__xludf.DUMMYFUNCTION("""COMPUTED_VALUE"""),10.0)</f>
        <v>10</v>
      </c>
      <c r="E1384" s="6">
        <f>IFERROR(__xludf.DUMMYFUNCTION("""COMPUTED_VALUE"""),7.0)</f>
        <v>7</v>
      </c>
      <c r="F1384" s="6">
        <f>IFERROR(__xludf.DUMMYFUNCTION("""COMPUTED_VALUE"""),18.0)</f>
        <v>18</v>
      </c>
      <c r="G1384" s="6">
        <f>IFERROR(__xludf.DUMMYFUNCTION("""COMPUTED_VALUE"""),35.0)</f>
        <v>35</v>
      </c>
    </row>
    <row r="1385">
      <c r="A1385" s="6">
        <f>IFERROR(__xludf.DUMMYFUNCTION("""COMPUTED_VALUE"""),2019.0)</f>
        <v>2019</v>
      </c>
      <c r="B1385" s="6" t="str">
        <f>IFERROR(__xludf.DUMMYFUNCTION("""COMPUTED_VALUE"""),"Agosto")</f>
        <v>Agosto</v>
      </c>
      <c r="C1385" s="6" t="str">
        <f>IFERROR(__xludf.DUMMYFUNCTION("""COMPUTED_VALUE"""),"ESTUPRO TENTADO")</f>
        <v>ESTUPRO TENTADO</v>
      </c>
      <c r="D1385" s="6">
        <f>IFERROR(__xludf.DUMMYFUNCTION("""COMPUTED_VALUE"""),0.0)</f>
        <v>0</v>
      </c>
      <c r="E1385" s="6">
        <f>IFERROR(__xludf.DUMMYFUNCTION("""COMPUTED_VALUE"""),0.0)</f>
        <v>0</v>
      </c>
      <c r="F1385" s="6">
        <f>IFERROR(__xludf.DUMMYFUNCTION("""COMPUTED_VALUE"""),1.0)</f>
        <v>1</v>
      </c>
      <c r="G1385" s="6">
        <f>IFERROR(__xludf.DUMMYFUNCTION("""COMPUTED_VALUE"""),1.0)</f>
        <v>1</v>
      </c>
    </row>
    <row r="1386">
      <c r="A1386" s="6">
        <f>IFERROR(__xludf.DUMMYFUNCTION("""COMPUTED_VALUE"""),2019.0)</f>
        <v>2019</v>
      </c>
      <c r="B1386" s="6" t="str">
        <f>IFERROR(__xludf.DUMMYFUNCTION("""COMPUTED_VALUE"""),"Agosto")</f>
        <v>Agosto</v>
      </c>
      <c r="C1386" s="6" t="str">
        <f>IFERROR(__xludf.DUMMYFUNCTION("""COMPUTED_VALUE"""),"ESTUPRO DE VULNERÁVEL CONSUMADO")</f>
        <v>ESTUPRO DE VULNERÁVEL CONSUMADO</v>
      </c>
      <c r="D1386" s="6">
        <f>IFERROR(__xludf.DUMMYFUNCTION("""COMPUTED_VALUE"""),3.0)</f>
        <v>3</v>
      </c>
      <c r="E1386" s="6">
        <f>IFERROR(__xludf.DUMMYFUNCTION("""COMPUTED_VALUE"""),4.0)</f>
        <v>4</v>
      </c>
      <c r="F1386" s="6">
        <f>IFERROR(__xludf.DUMMYFUNCTION("""COMPUTED_VALUE"""),18.0)</f>
        <v>18</v>
      </c>
      <c r="G1386" s="6">
        <f>IFERROR(__xludf.DUMMYFUNCTION("""COMPUTED_VALUE"""),25.0)</f>
        <v>25</v>
      </c>
    </row>
    <row r="1387">
      <c r="A1387" s="6">
        <f>IFERROR(__xludf.DUMMYFUNCTION("""COMPUTED_VALUE"""),2019.0)</f>
        <v>2019</v>
      </c>
      <c r="B1387" s="6" t="str">
        <f>IFERROR(__xludf.DUMMYFUNCTION("""COMPUTED_VALUE"""),"Agosto")</f>
        <v>Agosto</v>
      </c>
      <c r="C1387" s="6" t="str">
        <f>IFERROR(__xludf.DUMMYFUNCTION("""COMPUTED_VALUE"""),"OUTROS C/C/ DIGNIDADE SEXUAL")</f>
        <v>OUTROS C/C/ DIGNIDADE SEXUAL</v>
      </c>
      <c r="D1387" s="6">
        <f>IFERROR(__xludf.DUMMYFUNCTION("""COMPUTED_VALUE"""),0.0)</f>
        <v>0</v>
      </c>
      <c r="E1387" s="6">
        <f>IFERROR(__xludf.DUMMYFUNCTION("""COMPUTED_VALUE"""),0.0)</f>
        <v>0</v>
      </c>
      <c r="F1387" s="6">
        <f>IFERROR(__xludf.DUMMYFUNCTION("""COMPUTED_VALUE"""),2.0)</f>
        <v>2</v>
      </c>
      <c r="G1387" s="6">
        <f>IFERROR(__xludf.DUMMYFUNCTION("""COMPUTED_VALUE"""),2.0)</f>
        <v>2</v>
      </c>
    </row>
    <row r="1388">
      <c r="A1388" s="6">
        <f>IFERROR(__xludf.DUMMYFUNCTION("""COMPUTED_VALUE"""),2019.0)</f>
        <v>2019</v>
      </c>
      <c r="B1388" s="6" t="str">
        <f>IFERROR(__xludf.DUMMYFUNCTION("""COMPUTED_VALUE"""),"Setembro")</f>
        <v>Setembro</v>
      </c>
      <c r="C1388" s="6" t="str">
        <f>IFERROR(__xludf.DUMMYFUNCTION("""COMPUTED_VALUE"""),"HOMICÍDIO DOLOSO (exclui FEMINICÍDIO)")</f>
        <v>HOMICÍDIO DOLOSO (exclui FEMINICÍDIO)</v>
      </c>
      <c r="D1388" s="6">
        <f>IFERROR(__xludf.DUMMYFUNCTION("""COMPUTED_VALUE"""),1.0)</f>
        <v>1</v>
      </c>
      <c r="E1388" s="6">
        <f>IFERROR(__xludf.DUMMYFUNCTION("""COMPUTED_VALUE"""),1.0)</f>
        <v>1</v>
      </c>
      <c r="F1388" s="6">
        <f>IFERROR(__xludf.DUMMYFUNCTION("""COMPUTED_VALUE"""),2.0)</f>
        <v>2</v>
      </c>
      <c r="G1388" s="6">
        <f>IFERROR(__xludf.DUMMYFUNCTION("""COMPUTED_VALUE"""),4.0)</f>
        <v>4</v>
      </c>
    </row>
    <row r="1389">
      <c r="A1389" s="6">
        <f>IFERROR(__xludf.DUMMYFUNCTION("""COMPUTED_VALUE"""),2019.0)</f>
        <v>2019</v>
      </c>
      <c r="B1389" s="6" t="str">
        <f>IFERROR(__xludf.DUMMYFUNCTION("""COMPUTED_VALUE"""),"Setembro")</f>
        <v>Setembro</v>
      </c>
      <c r="C1389" s="6" t="str">
        <f>IFERROR(__xludf.DUMMYFUNCTION("""COMPUTED_VALUE"""),"FEMINICÍDIO")</f>
        <v>FEMINICÍDIO</v>
      </c>
      <c r="D1389" s="6">
        <f>IFERROR(__xludf.DUMMYFUNCTION("""COMPUTED_VALUE"""),2.0)</f>
        <v>2</v>
      </c>
      <c r="E1389" s="6">
        <f>IFERROR(__xludf.DUMMYFUNCTION("""COMPUTED_VALUE"""),3.0)</f>
        <v>3</v>
      </c>
      <c r="F1389" s="6">
        <f>IFERROR(__xludf.DUMMYFUNCTION("""COMPUTED_VALUE"""),5.0)</f>
        <v>5</v>
      </c>
      <c r="G1389" s="6">
        <f>IFERROR(__xludf.DUMMYFUNCTION("""COMPUTED_VALUE"""),10.0)</f>
        <v>10</v>
      </c>
    </row>
    <row r="1390">
      <c r="A1390" s="6">
        <f>IFERROR(__xludf.DUMMYFUNCTION("""COMPUTED_VALUE"""),2019.0)</f>
        <v>2019</v>
      </c>
      <c r="B1390" s="6" t="str">
        <f>IFERROR(__xludf.DUMMYFUNCTION("""COMPUTED_VALUE"""),"Setembro")</f>
        <v>Setembro</v>
      </c>
      <c r="C1390" s="6" t="str">
        <f>IFERROR(__xludf.DUMMYFUNCTION("""COMPUTED_VALUE"""),"HOMICÍDIO CULPOSO")</f>
        <v>HOMICÍDIO CULPOSO</v>
      </c>
      <c r="D1390" s="6">
        <f>IFERROR(__xludf.DUMMYFUNCTION("""COMPUTED_VALUE"""),0.0)</f>
        <v>0</v>
      </c>
      <c r="E1390" s="6">
        <f>IFERROR(__xludf.DUMMYFUNCTION("""COMPUTED_VALUE"""),0.0)</f>
        <v>0</v>
      </c>
      <c r="F1390" s="6">
        <f>IFERROR(__xludf.DUMMYFUNCTION("""COMPUTED_VALUE"""),0.0)</f>
        <v>0</v>
      </c>
      <c r="G1390" s="6">
        <f>IFERROR(__xludf.DUMMYFUNCTION("""COMPUTED_VALUE"""),0.0)</f>
        <v>0</v>
      </c>
    </row>
    <row r="1391">
      <c r="A1391" s="6">
        <f>IFERROR(__xludf.DUMMYFUNCTION("""COMPUTED_VALUE"""),2019.0)</f>
        <v>2019</v>
      </c>
      <c r="B1391" s="6" t="str">
        <f>IFERROR(__xludf.DUMMYFUNCTION("""COMPUTED_VALUE"""),"Setembro")</f>
        <v>Setembro</v>
      </c>
      <c r="C1391" s="6" t="str">
        <f>IFERROR(__xludf.DUMMYFUNCTION("""COMPUTED_VALUE"""),"TENTATIVA DE HOMICÍDIO")</f>
        <v>TENTATIVA DE HOMICÍDIO</v>
      </c>
      <c r="D1391" s="6">
        <f>IFERROR(__xludf.DUMMYFUNCTION("""COMPUTED_VALUE"""),2.0)</f>
        <v>2</v>
      </c>
      <c r="E1391" s="6">
        <f>IFERROR(__xludf.DUMMYFUNCTION("""COMPUTED_VALUE"""),2.0)</f>
        <v>2</v>
      </c>
      <c r="F1391" s="6">
        <f>IFERROR(__xludf.DUMMYFUNCTION("""COMPUTED_VALUE"""),12.0)</f>
        <v>12</v>
      </c>
      <c r="G1391" s="6">
        <f>IFERROR(__xludf.DUMMYFUNCTION("""COMPUTED_VALUE"""),16.0)</f>
        <v>16</v>
      </c>
    </row>
    <row r="1392">
      <c r="A1392" s="6">
        <f>IFERROR(__xludf.DUMMYFUNCTION("""COMPUTED_VALUE"""),2019.0)</f>
        <v>2019</v>
      </c>
      <c r="B1392" s="6" t="str">
        <f>IFERROR(__xludf.DUMMYFUNCTION("""COMPUTED_VALUE"""),"Setembro")</f>
        <v>Setembro</v>
      </c>
      <c r="C1392" s="6" t="str">
        <f>IFERROR(__xludf.DUMMYFUNCTION("""COMPUTED_VALUE"""),"LESÃO CORPORAL DOLOSA")</f>
        <v>LESÃO CORPORAL DOLOSA</v>
      </c>
      <c r="D1392" s="6">
        <f>IFERROR(__xludf.DUMMYFUNCTION("""COMPUTED_VALUE"""),948.0)</f>
        <v>948</v>
      </c>
      <c r="E1392" s="6">
        <f>IFERROR(__xludf.DUMMYFUNCTION("""COMPUTED_VALUE"""),812.0)</f>
        <v>812</v>
      </c>
      <c r="F1392" s="6">
        <f>IFERROR(__xludf.DUMMYFUNCTION("""COMPUTED_VALUE"""),2914.0)</f>
        <v>2914</v>
      </c>
      <c r="G1392" s="6">
        <f>IFERROR(__xludf.DUMMYFUNCTION("""COMPUTED_VALUE"""),4674.0)</f>
        <v>4674</v>
      </c>
    </row>
    <row r="1393">
      <c r="A1393" s="6">
        <f>IFERROR(__xludf.DUMMYFUNCTION("""COMPUTED_VALUE"""),2019.0)</f>
        <v>2019</v>
      </c>
      <c r="B1393" s="6" t="str">
        <f>IFERROR(__xludf.DUMMYFUNCTION("""COMPUTED_VALUE"""),"Setembro")</f>
        <v>Setembro</v>
      </c>
      <c r="C1393" s="6" t="str">
        <f>IFERROR(__xludf.DUMMYFUNCTION("""COMPUTED_VALUE"""),"MAUS TRATOS")</f>
        <v>MAUS TRATOS</v>
      </c>
      <c r="D1393" s="6">
        <f>IFERROR(__xludf.DUMMYFUNCTION("""COMPUTED_VALUE"""),3.0)</f>
        <v>3</v>
      </c>
      <c r="E1393" s="6">
        <f>IFERROR(__xludf.DUMMYFUNCTION("""COMPUTED_VALUE"""),2.0)</f>
        <v>2</v>
      </c>
      <c r="F1393" s="6">
        <f>IFERROR(__xludf.DUMMYFUNCTION("""COMPUTED_VALUE"""),16.0)</f>
        <v>16</v>
      </c>
      <c r="G1393" s="6">
        <f>IFERROR(__xludf.DUMMYFUNCTION("""COMPUTED_VALUE"""),21.0)</f>
        <v>21</v>
      </c>
    </row>
    <row r="1394">
      <c r="A1394" s="6">
        <f>IFERROR(__xludf.DUMMYFUNCTION("""COMPUTED_VALUE"""),2019.0)</f>
        <v>2019</v>
      </c>
      <c r="B1394" s="6" t="str">
        <f>IFERROR(__xludf.DUMMYFUNCTION("""COMPUTED_VALUE"""),"Setembro")</f>
        <v>Setembro</v>
      </c>
      <c r="C1394" s="6" t="str">
        <f>IFERROR(__xludf.DUMMYFUNCTION("""COMPUTED_VALUE"""),"CALÚNIA - DIFAMAÇÃO - INJÚRIA")</f>
        <v>CALÚNIA - DIFAMAÇÃO - INJÚRIA</v>
      </c>
      <c r="D1394" s="6">
        <f>IFERROR(__xludf.DUMMYFUNCTION("""COMPUTED_VALUE"""),187.0)</f>
        <v>187</v>
      </c>
      <c r="E1394" s="6">
        <f>IFERROR(__xludf.DUMMYFUNCTION("""COMPUTED_VALUE"""),159.0)</f>
        <v>159</v>
      </c>
      <c r="F1394" s="6">
        <f>IFERROR(__xludf.DUMMYFUNCTION("""COMPUTED_VALUE"""),694.0)</f>
        <v>694</v>
      </c>
      <c r="G1394" s="6">
        <f>IFERROR(__xludf.DUMMYFUNCTION("""COMPUTED_VALUE"""),1040.0)</f>
        <v>1040</v>
      </c>
    </row>
    <row r="1395">
      <c r="A1395" s="6">
        <f>IFERROR(__xludf.DUMMYFUNCTION("""COMPUTED_VALUE"""),2019.0)</f>
        <v>2019</v>
      </c>
      <c r="B1395" s="6" t="str">
        <f>IFERROR(__xludf.DUMMYFUNCTION("""COMPUTED_VALUE"""),"Setembro")</f>
        <v>Setembro</v>
      </c>
      <c r="C1395" s="6" t="str">
        <f>IFERROR(__xludf.DUMMYFUNCTION("""COMPUTED_VALUE"""),"CONSTRANGIMENTO ILEGAL")</f>
        <v>CONSTRANGIMENTO ILEGAL</v>
      </c>
      <c r="D1395" s="6">
        <f>IFERROR(__xludf.DUMMYFUNCTION("""COMPUTED_VALUE"""),1.0)</f>
        <v>1</v>
      </c>
      <c r="E1395" s="6">
        <f>IFERROR(__xludf.DUMMYFUNCTION("""COMPUTED_VALUE"""),0.0)</f>
        <v>0</v>
      </c>
      <c r="F1395" s="6">
        <f>IFERROR(__xludf.DUMMYFUNCTION("""COMPUTED_VALUE"""),6.0)</f>
        <v>6</v>
      </c>
      <c r="G1395" s="6">
        <f>IFERROR(__xludf.DUMMYFUNCTION("""COMPUTED_VALUE"""),7.0)</f>
        <v>7</v>
      </c>
    </row>
    <row r="1396">
      <c r="A1396" s="6">
        <f>IFERROR(__xludf.DUMMYFUNCTION("""COMPUTED_VALUE"""),2019.0)</f>
        <v>2019</v>
      </c>
      <c r="B1396" s="6" t="str">
        <f>IFERROR(__xludf.DUMMYFUNCTION("""COMPUTED_VALUE"""),"Setembro")</f>
        <v>Setembro</v>
      </c>
      <c r="C1396" s="6" t="str">
        <f>IFERROR(__xludf.DUMMYFUNCTION("""COMPUTED_VALUE"""),"AMEAÇA")</f>
        <v>AMEAÇA</v>
      </c>
      <c r="D1396" s="6">
        <f>IFERROR(__xludf.DUMMYFUNCTION("""COMPUTED_VALUE"""),872.0)</f>
        <v>872</v>
      </c>
      <c r="E1396" s="6">
        <f>IFERROR(__xludf.DUMMYFUNCTION("""COMPUTED_VALUE"""),804.0)</f>
        <v>804</v>
      </c>
      <c r="F1396" s="6">
        <f>IFERROR(__xludf.DUMMYFUNCTION("""COMPUTED_VALUE"""),2984.0)</f>
        <v>2984</v>
      </c>
      <c r="G1396" s="6">
        <f>IFERROR(__xludf.DUMMYFUNCTION("""COMPUTED_VALUE"""),4660.0)</f>
        <v>4660</v>
      </c>
    </row>
    <row r="1397">
      <c r="A1397" s="6">
        <f>IFERROR(__xludf.DUMMYFUNCTION("""COMPUTED_VALUE"""),2019.0)</f>
        <v>2019</v>
      </c>
      <c r="B1397" s="6" t="str">
        <f>IFERROR(__xludf.DUMMYFUNCTION("""COMPUTED_VALUE"""),"Setembro")</f>
        <v>Setembro</v>
      </c>
      <c r="C1397" s="6" t="str">
        <f>IFERROR(__xludf.DUMMYFUNCTION("""COMPUTED_VALUE"""),"INVASÃO DE DOMICÍLIO")</f>
        <v>INVASÃO DE DOMICÍLIO</v>
      </c>
      <c r="D1397" s="6">
        <f>IFERROR(__xludf.DUMMYFUNCTION("""COMPUTED_VALUE"""),1.0)</f>
        <v>1</v>
      </c>
      <c r="E1397" s="6">
        <f>IFERROR(__xludf.DUMMYFUNCTION("""COMPUTED_VALUE"""),2.0)</f>
        <v>2</v>
      </c>
      <c r="F1397" s="6">
        <f>IFERROR(__xludf.DUMMYFUNCTION("""COMPUTED_VALUE"""),13.0)</f>
        <v>13</v>
      </c>
      <c r="G1397" s="6">
        <f>IFERROR(__xludf.DUMMYFUNCTION("""COMPUTED_VALUE"""),16.0)</f>
        <v>16</v>
      </c>
    </row>
    <row r="1398">
      <c r="A1398" s="6">
        <f>IFERROR(__xludf.DUMMYFUNCTION("""COMPUTED_VALUE"""),2019.0)</f>
        <v>2019</v>
      </c>
      <c r="B1398" s="6" t="str">
        <f>IFERROR(__xludf.DUMMYFUNCTION("""COMPUTED_VALUE"""),"Setembro")</f>
        <v>Setembro</v>
      </c>
      <c r="C1398" s="6" t="str">
        <f>IFERROR(__xludf.DUMMYFUNCTION("""COMPUTED_VALUE"""),"DANO")</f>
        <v>DANO</v>
      </c>
      <c r="D1398" s="6">
        <f>IFERROR(__xludf.DUMMYFUNCTION("""COMPUTED_VALUE"""),11.0)</f>
        <v>11</v>
      </c>
      <c r="E1398" s="6">
        <f>IFERROR(__xludf.DUMMYFUNCTION("""COMPUTED_VALUE"""),10.0)</f>
        <v>10</v>
      </c>
      <c r="F1398" s="6">
        <f>IFERROR(__xludf.DUMMYFUNCTION("""COMPUTED_VALUE"""),54.0)</f>
        <v>54</v>
      </c>
      <c r="G1398" s="6">
        <f>IFERROR(__xludf.DUMMYFUNCTION("""COMPUTED_VALUE"""),75.0)</f>
        <v>75</v>
      </c>
    </row>
    <row r="1399">
      <c r="A1399" s="6">
        <f>IFERROR(__xludf.DUMMYFUNCTION("""COMPUTED_VALUE"""),2019.0)</f>
        <v>2019</v>
      </c>
      <c r="B1399" s="6" t="str">
        <f>IFERROR(__xludf.DUMMYFUNCTION("""COMPUTED_VALUE"""),"Setembro")</f>
        <v>Setembro</v>
      </c>
      <c r="C1399" s="6" t="str">
        <f>IFERROR(__xludf.DUMMYFUNCTION("""COMPUTED_VALUE"""),"ESTUPRO CONSUMADO")</f>
        <v>ESTUPRO CONSUMADO</v>
      </c>
      <c r="D1399" s="6">
        <f>IFERROR(__xludf.DUMMYFUNCTION("""COMPUTED_VALUE"""),10.0)</f>
        <v>10</v>
      </c>
      <c r="E1399" s="6">
        <f>IFERROR(__xludf.DUMMYFUNCTION("""COMPUTED_VALUE"""),7.0)</f>
        <v>7</v>
      </c>
      <c r="F1399" s="6">
        <f>IFERROR(__xludf.DUMMYFUNCTION("""COMPUTED_VALUE"""),17.0)</f>
        <v>17</v>
      </c>
      <c r="G1399" s="6">
        <f>IFERROR(__xludf.DUMMYFUNCTION("""COMPUTED_VALUE"""),34.0)</f>
        <v>34</v>
      </c>
    </row>
    <row r="1400">
      <c r="A1400" s="6">
        <f>IFERROR(__xludf.DUMMYFUNCTION("""COMPUTED_VALUE"""),2019.0)</f>
        <v>2019</v>
      </c>
      <c r="B1400" s="6" t="str">
        <f>IFERROR(__xludf.DUMMYFUNCTION("""COMPUTED_VALUE"""),"Setembro")</f>
        <v>Setembro</v>
      </c>
      <c r="C1400" s="6" t="str">
        <f>IFERROR(__xludf.DUMMYFUNCTION("""COMPUTED_VALUE"""),"ESTUPRO TENTADO")</f>
        <v>ESTUPRO TENTADO</v>
      </c>
      <c r="D1400" s="6">
        <f>IFERROR(__xludf.DUMMYFUNCTION("""COMPUTED_VALUE"""),0.0)</f>
        <v>0</v>
      </c>
      <c r="E1400" s="6">
        <f>IFERROR(__xludf.DUMMYFUNCTION("""COMPUTED_VALUE"""),0.0)</f>
        <v>0</v>
      </c>
      <c r="F1400" s="6">
        <f>IFERROR(__xludf.DUMMYFUNCTION("""COMPUTED_VALUE"""),1.0)</f>
        <v>1</v>
      </c>
      <c r="G1400" s="6">
        <f>IFERROR(__xludf.DUMMYFUNCTION("""COMPUTED_VALUE"""),1.0)</f>
        <v>1</v>
      </c>
    </row>
    <row r="1401">
      <c r="A1401" s="6">
        <f>IFERROR(__xludf.DUMMYFUNCTION("""COMPUTED_VALUE"""),2019.0)</f>
        <v>2019</v>
      </c>
      <c r="B1401" s="6" t="str">
        <f>IFERROR(__xludf.DUMMYFUNCTION("""COMPUTED_VALUE"""),"Setembro")</f>
        <v>Setembro</v>
      </c>
      <c r="C1401" s="6" t="str">
        <f>IFERROR(__xludf.DUMMYFUNCTION("""COMPUTED_VALUE"""),"ESTUPRO DE VULNERÁVEL CONSUMADO")</f>
        <v>ESTUPRO DE VULNERÁVEL CONSUMADO</v>
      </c>
      <c r="D1401" s="6">
        <f>IFERROR(__xludf.DUMMYFUNCTION("""COMPUTED_VALUE"""),3.0)</f>
        <v>3</v>
      </c>
      <c r="E1401" s="6">
        <f>IFERROR(__xludf.DUMMYFUNCTION("""COMPUTED_VALUE"""),4.0)</f>
        <v>4</v>
      </c>
      <c r="F1401" s="6">
        <f>IFERROR(__xludf.DUMMYFUNCTION("""COMPUTED_VALUE"""),17.0)</f>
        <v>17</v>
      </c>
      <c r="G1401" s="6">
        <f>IFERROR(__xludf.DUMMYFUNCTION("""COMPUTED_VALUE"""),24.0)</f>
        <v>24</v>
      </c>
    </row>
    <row r="1402">
      <c r="A1402" s="6">
        <f>IFERROR(__xludf.DUMMYFUNCTION("""COMPUTED_VALUE"""),2019.0)</f>
        <v>2019</v>
      </c>
      <c r="B1402" s="6" t="str">
        <f>IFERROR(__xludf.DUMMYFUNCTION("""COMPUTED_VALUE"""),"Setembro")</f>
        <v>Setembro</v>
      </c>
      <c r="C1402" s="6" t="str">
        <f>IFERROR(__xludf.DUMMYFUNCTION("""COMPUTED_VALUE"""),"OUTROS C/C/ DIGNIDADE SEXUAL")</f>
        <v>OUTROS C/C/ DIGNIDADE SEXUAL</v>
      </c>
      <c r="D1402" s="6">
        <f>IFERROR(__xludf.DUMMYFUNCTION("""COMPUTED_VALUE"""),0.0)</f>
        <v>0</v>
      </c>
      <c r="E1402" s="6">
        <f>IFERROR(__xludf.DUMMYFUNCTION("""COMPUTED_VALUE"""),0.0)</f>
        <v>0</v>
      </c>
      <c r="F1402" s="6">
        <f>IFERROR(__xludf.DUMMYFUNCTION("""COMPUTED_VALUE"""),2.0)</f>
        <v>2</v>
      </c>
      <c r="G1402" s="6">
        <f>IFERROR(__xludf.DUMMYFUNCTION("""COMPUTED_VALUE"""),2.0)</f>
        <v>2</v>
      </c>
    </row>
    <row r="1403">
      <c r="A1403" s="6">
        <f>IFERROR(__xludf.DUMMYFUNCTION("""COMPUTED_VALUE"""),2019.0)</f>
        <v>2019</v>
      </c>
      <c r="B1403" s="6" t="str">
        <f>IFERROR(__xludf.DUMMYFUNCTION("""COMPUTED_VALUE"""),"Outubro")</f>
        <v>Outubro</v>
      </c>
      <c r="C1403" s="6" t="str">
        <f>IFERROR(__xludf.DUMMYFUNCTION("""COMPUTED_VALUE"""),"HOMICÍDIO DOLOSO (exclui FEMINICÍDIO)")</f>
        <v>HOMICÍDIO DOLOSO (exclui FEMINICÍDIO)</v>
      </c>
      <c r="D1403" s="6">
        <f>IFERROR(__xludf.DUMMYFUNCTION("""COMPUTED_VALUE"""),1.0)</f>
        <v>1</v>
      </c>
      <c r="E1403" s="6">
        <f>IFERROR(__xludf.DUMMYFUNCTION("""COMPUTED_VALUE"""),0.0)</f>
        <v>0</v>
      </c>
      <c r="F1403" s="6">
        <f>IFERROR(__xludf.DUMMYFUNCTION("""COMPUTED_VALUE"""),2.0)</f>
        <v>2</v>
      </c>
      <c r="G1403" s="6">
        <f>IFERROR(__xludf.DUMMYFUNCTION("""COMPUTED_VALUE"""),3.0)</f>
        <v>3</v>
      </c>
    </row>
    <row r="1404">
      <c r="A1404" s="6">
        <f>IFERROR(__xludf.DUMMYFUNCTION("""COMPUTED_VALUE"""),2019.0)</f>
        <v>2019</v>
      </c>
      <c r="B1404" s="6" t="str">
        <f>IFERROR(__xludf.DUMMYFUNCTION("""COMPUTED_VALUE"""),"Outubro")</f>
        <v>Outubro</v>
      </c>
      <c r="C1404" s="6" t="str">
        <f>IFERROR(__xludf.DUMMYFUNCTION("""COMPUTED_VALUE"""),"FEMINICÍDIO")</f>
        <v>FEMINICÍDIO</v>
      </c>
      <c r="D1404" s="6">
        <f>IFERROR(__xludf.DUMMYFUNCTION("""COMPUTED_VALUE"""),3.0)</f>
        <v>3</v>
      </c>
      <c r="E1404" s="6">
        <f>IFERROR(__xludf.DUMMYFUNCTION("""COMPUTED_VALUE"""),3.0)</f>
        <v>3</v>
      </c>
      <c r="F1404" s="6">
        <f>IFERROR(__xludf.DUMMYFUNCTION("""COMPUTED_VALUE"""),6.0)</f>
        <v>6</v>
      </c>
      <c r="G1404" s="6">
        <f>IFERROR(__xludf.DUMMYFUNCTION("""COMPUTED_VALUE"""),12.0)</f>
        <v>12</v>
      </c>
    </row>
    <row r="1405">
      <c r="A1405" s="6">
        <f>IFERROR(__xludf.DUMMYFUNCTION("""COMPUTED_VALUE"""),2019.0)</f>
        <v>2019</v>
      </c>
      <c r="B1405" s="6" t="str">
        <f>IFERROR(__xludf.DUMMYFUNCTION("""COMPUTED_VALUE"""),"Outubro")</f>
        <v>Outubro</v>
      </c>
      <c r="C1405" s="6" t="str">
        <f>IFERROR(__xludf.DUMMYFUNCTION("""COMPUTED_VALUE"""),"HOMICÍDIO CULPOSO")</f>
        <v>HOMICÍDIO CULPOSO</v>
      </c>
      <c r="D1405" s="6">
        <f>IFERROR(__xludf.DUMMYFUNCTION("""COMPUTED_VALUE"""),0.0)</f>
        <v>0</v>
      </c>
      <c r="E1405" s="6">
        <f>IFERROR(__xludf.DUMMYFUNCTION("""COMPUTED_VALUE"""),0.0)</f>
        <v>0</v>
      </c>
      <c r="F1405" s="6">
        <f>IFERROR(__xludf.DUMMYFUNCTION("""COMPUTED_VALUE"""),0.0)</f>
        <v>0</v>
      </c>
      <c r="G1405" s="6">
        <f>IFERROR(__xludf.DUMMYFUNCTION("""COMPUTED_VALUE"""),0.0)</f>
        <v>0</v>
      </c>
    </row>
    <row r="1406">
      <c r="A1406" s="6">
        <f>IFERROR(__xludf.DUMMYFUNCTION("""COMPUTED_VALUE"""),2019.0)</f>
        <v>2019</v>
      </c>
      <c r="B1406" s="6" t="str">
        <f>IFERROR(__xludf.DUMMYFUNCTION("""COMPUTED_VALUE"""),"Outubro")</f>
        <v>Outubro</v>
      </c>
      <c r="C1406" s="6" t="str">
        <f>IFERROR(__xludf.DUMMYFUNCTION("""COMPUTED_VALUE"""),"TENTATIVA DE HOMICÍDIO")</f>
        <v>TENTATIVA DE HOMICÍDIO</v>
      </c>
      <c r="D1406" s="6">
        <f>IFERROR(__xludf.DUMMYFUNCTION("""COMPUTED_VALUE"""),1.0)</f>
        <v>1</v>
      </c>
      <c r="E1406" s="6">
        <f>IFERROR(__xludf.DUMMYFUNCTION("""COMPUTED_VALUE"""),1.0)</f>
        <v>1</v>
      </c>
      <c r="F1406" s="6">
        <f>IFERROR(__xludf.DUMMYFUNCTION("""COMPUTED_VALUE"""),11.0)</f>
        <v>11</v>
      </c>
      <c r="G1406" s="6">
        <f>IFERROR(__xludf.DUMMYFUNCTION("""COMPUTED_VALUE"""),13.0)</f>
        <v>13</v>
      </c>
    </row>
    <row r="1407">
      <c r="A1407" s="6">
        <f>IFERROR(__xludf.DUMMYFUNCTION("""COMPUTED_VALUE"""),2019.0)</f>
        <v>2019</v>
      </c>
      <c r="B1407" s="6" t="str">
        <f>IFERROR(__xludf.DUMMYFUNCTION("""COMPUTED_VALUE"""),"Outubro")</f>
        <v>Outubro</v>
      </c>
      <c r="C1407" s="6" t="str">
        <f>IFERROR(__xludf.DUMMYFUNCTION("""COMPUTED_VALUE"""),"LESÃO CORPORAL DOLOSA")</f>
        <v>LESÃO CORPORAL DOLOSA</v>
      </c>
      <c r="D1407" s="6">
        <f>IFERROR(__xludf.DUMMYFUNCTION("""COMPUTED_VALUE"""),912.0)</f>
        <v>912</v>
      </c>
      <c r="E1407" s="6">
        <f>IFERROR(__xludf.DUMMYFUNCTION("""COMPUTED_VALUE"""),784.0)</f>
        <v>784</v>
      </c>
      <c r="F1407" s="6">
        <f>IFERROR(__xludf.DUMMYFUNCTION("""COMPUTED_VALUE"""),2814.0)</f>
        <v>2814</v>
      </c>
      <c r="G1407" s="6">
        <f>IFERROR(__xludf.DUMMYFUNCTION("""COMPUTED_VALUE"""),4510.0)</f>
        <v>4510</v>
      </c>
    </row>
    <row r="1408">
      <c r="A1408" s="6">
        <f>IFERROR(__xludf.DUMMYFUNCTION("""COMPUTED_VALUE"""),2019.0)</f>
        <v>2019</v>
      </c>
      <c r="B1408" s="6" t="str">
        <f>IFERROR(__xludf.DUMMYFUNCTION("""COMPUTED_VALUE"""),"Outubro")</f>
        <v>Outubro</v>
      </c>
      <c r="C1408" s="6" t="str">
        <f>IFERROR(__xludf.DUMMYFUNCTION("""COMPUTED_VALUE"""),"MAUS TRATOS")</f>
        <v>MAUS TRATOS</v>
      </c>
      <c r="D1408" s="6">
        <f>IFERROR(__xludf.DUMMYFUNCTION("""COMPUTED_VALUE"""),2.0)</f>
        <v>2</v>
      </c>
      <c r="E1408" s="6">
        <f>IFERROR(__xludf.DUMMYFUNCTION("""COMPUTED_VALUE"""),2.0)</f>
        <v>2</v>
      </c>
      <c r="F1408" s="6">
        <f>IFERROR(__xludf.DUMMYFUNCTION("""COMPUTED_VALUE"""),14.0)</f>
        <v>14</v>
      </c>
      <c r="G1408" s="6">
        <f>IFERROR(__xludf.DUMMYFUNCTION("""COMPUTED_VALUE"""),18.0)</f>
        <v>18</v>
      </c>
    </row>
    <row r="1409">
      <c r="A1409" s="6">
        <f>IFERROR(__xludf.DUMMYFUNCTION("""COMPUTED_VALUE"""),2019.0)</f>
        <v>2019</v>
      </c>
      <c r="B1409" s="6" t="str">
        <f>IFERROR(__xludf.DUMMYFUNCTION("""COMPUTED_VALUE"""),"Outubro")</f>
        <v>Outubro</v>
      </c>
      <c r="C1409" s="6" t="str">
        <f>IFERROR(__xludf.DUMMYFUNCTION("""COMPUTED_VALUE"""),"CALÚNIA - DIFAMAÇÃO - INJÚRIA")</f>
        <v>CALÚNIA - DIFAMAÇÃO - INJÚRIA</v>
      </c>
      <c r="D1409" s="6">
        <f>IFERROR(__xludf.DUMMYFUNCTION("""COMPUTED_VALUE"""),178.0)</f>
        <v>178</v>
      </c>
      <c r="E1409" s="6">
        <f>IFERROR(__xludf.DUMMYFUNCTION("""COMPUTED_VALUE"""),151.0)</f>
        <v>151</v>
      </c>
      <c r="F1409" s="6">
        <f>IFERROR(__xludf.DUMMYFUNCTION("""COMPUTED_VALUE"""),654.0)</f>
        <v>654</v>
      </c>
      <c r="G1409" s="6">
        <f>IFERROR(__xludf.DUMMYFUNCTION("""COMPUTED_VALUE"""),983.0)</f>
        <v>983</v>
      </c>
    </row>
    <row r="1410">
      <c r="A1410" s="6">
        <f>IFERROR(__xludf.DUMMYFUNCTION("""COMPUTED_VALUE"""),2019.0)</f>
        <v>2019</v>
      </c>
      <c r="B1410" s="6" t="str">
        <f>IFERROR(__xludf.DUMMYFUNCTION("""COMPUTED_VALUE"""),"Outubro")</f>
        <v>Outubro</v>
      </c>
      <c r="C1410" s="6" t="str">
        <f>IFERROR(__xludf.DUMMYFUNCTION("""COMPUTED_VALUE"""),"CONSTRANGIMENTO ILEGAL")</f>
        <v>CONSTRANGIMENTO ILEGAL</v>
      </c>
      <c r="D1410" s="6">
        <f>IFERROR(__xludf.DUMMYFUNCTION("""COMPUTED_VALUE"""),1.0)</f>
        <v>1</v>
      </c>
      <c r="E1410" s="6">
        <f>IFERROR(__xludf.DUMMYFUNCTION("""COMPUTED_VALUE"""),0.0)</f>
        <v>0</v>
      </c>
      <c r="F1410" s="6">
        <f>IFERROR(__xludf.DUMMYFUNCTION("""COMPUTED_VALUE"""),5.0)</f>
        <v>5</v>
      </c>
      <c r="G1410" s="6">
        <f>IFERROR(__xludf.DUMMYFUNCTION("""COMPUTED_VALUE"""),6.0)</f>
        <v>6</v>
      </c>
    </row>
    <row r="1411">
      <c r="A1411" s="6">
        <f>IFERROR(__xludf.DUMMYFUNCTION("""COMPUTED_VALUE"""),2019.0)</f>
        <v>2019</v>
      </c>
      <c r="B1411" s="6" t="str">
        <f>IFERROR(__xludf.DUMMYFUNCTION("""COMPUTED_VALUE"""),"Outubro")</f>
        <v>Outubro</v>
      </c>
      <c r="C1411" s="6" t="str">
        <f>IFERROR(__xludf.DUMMYFUNCTION("""COMPUTED_VALUE"""),"AMEAÇA")</f>
        <v>AMEAÇA</v>
      </c>
      <c r="D1411" s="6">
        <f>IFERROR(__xludf.DUMMYFUNCTION("""COMPUTED_VALUE"""),842.0)</f>
        <v>842</v>
      </c>
      <c r="E1411" s="6">
        <f>IFERROR(__xludf.DUMMYFUNCTION("""COMPUTED_VALUE"""),771.0)</f>
        <v>771</v>
      </c>
      <c r="F1411" s="6">
        <f>IFERROR(__xludf.DUMMYFUNCTION("""COMPUTED_VALUE"""),2884.0)</f>
        <v>2884</v>
      </c>
      <c r="G1411" s="6">
        <f>IFERROR(__xludf.DUMMYFUNCTION("""COMPUTED_VALUE"""),4497.0)</f>
        <v>4497</v>
      </c>
    </row>
    <row r="1412">
      <c r="A1412" s="6">
        <f>IFERROR(__xludf.DUMMYFUNCTION("""COMPUTED_VALUE"""),2019.0)</f>
        <v>2019</v>
      </c>
      <c r="B1412" s="6" t="str">
        <f>IFERROR(__xludf.DUMMYFUNCTION("""COMPUTED_VALUE"""),"Outubro")</f>
        <v>Outubro</v>
      </c>
      <c r="C1412" s="6" t="str">
        <f>IFERROR(__xludf.DUMMYFUNCTION("""COMPUTED_VALUE"""),"INVASÃO DE DOMICÍLIO")</f>
        <v>INVASÃO DE DOMICÍLIO</v>
      </c>
      <c r="D1412" s="6">
        <f>IFERROR(__xludf.DUMMYFUNCTION("""COMPUTED_VALUE"""),1.0)</f>
        <v>1</v>
      </c>
      <c r="E1412" s="6">
        <f>IFERROR(__xludf.DUMMYFUNCTION("""COMPUTED_VALUE"""),1.0)</f>
        <v>1</v>
      </c>
      <c r="F1412" s="6">
        <f>IFERROR(__xludf.DUMMYFUNCTION("""COMPUTED_VALUE"""),11.0)</f>
        <v>11</v>
      </c>
      <c r="G1412" s="6">
        <f>IFERROR(__xludf.DUMMYFUNCTION("""COMPUTED_VALUE"""),13.0)</f>
        <v>13</v>
      </c>
    </row>
    <row r="1413">
      <c r="A1413" s="6">
        <f>IFERROR(__xludf.DUMMYFUNCTION("""COMPUTED_VALUE"""),2019.0)</f>
        <v>2019</v>
      </c>
      <c r="B1413" s="6" t="str">
        <f>IFERROR(__xludf.DUMMYFUNCTION("""COMPUTED_VALUE"""),"Outubro")</f>
        <v>Outubro</v>
      </c>
      <c r="C1413" s="6" t="str">
        <f>IFERROR(__xludf.DUMMYFUNCTION("""COMPUTED_VALUE"""),"DANO")</f>
        <v>DANO</v>
      </c>
      <c r="D1413" s="6">
        <f>IFERROR(__xludf.DUMMYFUNCTION("""COMPUTED_VALUE"""),9.0)</f>
        <v>9</v>
      </c>
      <c r="E1413" s="6">
        <f>IFERROR(__xludf.DUMMYFUNCTION("""COMPUTED_VALUE"""),9.0)</f>
        <v>9</v>
      </c>
      <c r="F1413" s="6">
        <f>IFERROR(__xludf.DUMMYFUNCTION("""COMPUTED_VALUE"""),51.0)</f>
        <v>51</v>
      </c>
      <c r="G1413" s="6">
        <f>IFERROR(__xludf.DUMMYFUNCTION("""COMPUTED_VALUE"""),69.0)</f>
        <v>69</v>
      </c>
    </row>
    <row r="1414">
      <c r="A1414" s="6">
        <f>IFERROR(__xludf.DUMMYFUNCTION("""COMPUTED_VALUE"""),2019.0)</f>
        <v>2019</v>
      </c>
      <c r="B1414" s="6" t="str">
        <f>IFERROR(__xludf.DUMMYFUNCTION("""COMPUTED_VALUE"""),"Outubro")</f>
        <v>Outubro</v>
      </c>
      <c r="C1414" s="6" t="str">
        <f>IFERROR(__xludf.DUMMYFUNCTION("""COMPUTED_VALUE"""),"ESTUPRO CONSUMADO")</f>
        <v>ESTUPRO CONSUMADO</v>
      </c>
      <c r="D1414" s="6">
        <f>IFERROR(__xludf.DUMMYFUNCTION("""COMPUTED_VALUE"""),9.0)</f>
        <v>9</v>
      </c>
      <c r="E1414" s="6">
        <f>IFERROR(__xludf.DUMMYFUNCTION("""COMPUTED_VALUE"""),6.0)</f>
        <v>6</v>
      </c>
      <c r="F1414" s="6">
        <f>IFERROR(__xludf.DUMMYFUNCTION("""COMPUTED_VALUE"""),16.0)</f>
        <v>16</v>
      </c>
      <c r="G1414" s="6">
        <f>IFERROR(__xludf.DUMMYFUNCTION("""COMPUTED_VALUE"""),31.0)</f>
        <v>31</v>
      </c>
    </row>
    <row r="1415">
      <c r="A1415" s="6">
        <f>IFERROR(__xludf.DUMMYFUNCTION("""COMPUTED_VALUE"""),2019.0)</f>
        <v>2019</v>
      </c>
      <c r="B1415" s="6" t="str">
        <f>IFERROR(__xludf.DUMMYFUNCTION("""COMPUTED_VALUE"""),"Outubro")</f>
        <v>Outubro</v>
      </c>
      <c r="C1415" s="6" t="str">
        <f>IFERROR(__xludf.DUMMYFUNCTION("""COMPUTED_VALUE"""),"ESTUPRO TENTADO")</f>
        <v>ESTUPRO TENTADO</v>
      </c>
      <c r="D1415" s="6">
        <f>IFERROR(__xludf.DUMMYFUNCTION("""COMPUTED_VALUE"""),0.0)</f>
        <v>0</v>
      </c>
      <c r="E1415" s="6">
        <f>IFERROR(__xludf.DUMMYFUNCTION("""COMPUTED_VALUE"""),0.0)</f>
        <v>0</v>
      </c>
      <c r="F1415" s="6">
        <f>IFERROR(__xludf.DUMMYFUNCTION("""COMPUTED_VALUE"""),1.0)</f>
        <v>1</v>
      </c>
      <c r="G1415" s="6">
        <f>IFERROR(__xludf.DUMMYFUNCTION("""COMPUTED_VALUE"""),1.0)</f>
        <v>1</v>
      </c>
    </row>
    <row r="1416">
      <c r="A1416" s="6">
        <f>IFERROR(__xludf.DUMMYFUNCTION("""COMPUTED_VALUE"""),2019.0)</f>
        <v>2019</v>
      </c>
      <c r="B1416" s="6" t="str">
        <f>IFERROR(__xludf.DUMMYFUNCTION("""COMPUTED_VALUE"""),"Outubro")</f>
        <v>Outubro</v>
      </c>
      <c r="C1416" s="6" t="str">
        <f>IFERROR(__xludf.DUMMYFUNCTION("""COMPUTED_VALUE"""),"ESTUPRO DE VULNERÁVEL CONSUMADO")</f>
        <v>ESTUPRO DE VULNERÁVEL CONSUMADO</v>
      </c>
      <c r="D1416" s="6">
        <f>IFERROR(__xludf.DUMMYFUNCTION("""COMPUTED_VALUE"""),2.0)</f>
        <v>2</v>
      </c>
      <c r="E1416" s="6">
        <f>IFERROR(__xludf.DUMMYFUNCTION("""COMPUTED_VALUE"""),3.0)</f>
        <v>3</v>
      </c>
      <c r="F1416" s="6">
        <f>IFERROR(__xludf.DUMMYFUNCTION("""COMPUTED_VALUE"""),15.0)</f>
        <v>15</v>
      </c>
      <c r="G1416" s="6">
        <f>IFERROR(__xludf.DUMMYFUNCTION("""COMPUTED_VALUE"""),20.0)</f>
        <v>20</v>
      </c>
    </row>
    <row r="1417">
      <c r="A1417" s="6">
        <f>IFERROR(__xludf.DUMMYFUNCTION("""COMPUTED_VALUE"""),2019.0)</f>
        <v>2019</v>
      </c>
      <c r="B1417" s="6" t="str">
        <f>IFERROR(__xludf.DUMMYFUNCTION("""COMPUTED_VALUE"""),"Outubro")</f>
        <v>Outubro</v>
      </c>
      <c r="C1417" s="6" t="str">
        <f>IFERROR(__xludf.DUMMYFUNCTION("""COMPUTED_VALUE"""),"OUTROS C/C/ DIGNIDADE SEXUAL")</f>
        <v>OUTROS C/C/ DIGNIDADE SEXUAL</v>
      </c>
      <c r="D1417" s="6">
        <f>IFERROR(__xludf.DUMMYFUNCTION("""COMPUTED_VALUE"""),0.0)</f>
        <v>0</v>
      </c>
      <c r="E1417" s="6">
        <f>IFERROR(__xludf.DUMMYFUNCTION("""COMPUTED_VALUE"""),0.0)</f>
        <v>0</v>
      </c>
      <c r="F1417" s="6">
        <f>IFERROR(__xludf.DUMMYFUNCTION("""COMPUTED_VALUE"""),1.0)</f>
        <v>1</v>
      </c>
      <c r="G1417" s="6">
        <f>IFERROR(__xludf.DUMMYFUNCTION("""COMPUTED_VALUE"""),1.0)</f>
        <v>1</v>
      </c>
    </row>
    <row r="1418">
      <c r="A1418" s="6">
        <f>IFERROR(__xludf.DUMMYFUNCTION("""COMPUTED_VALUE"""),2019.0)</f>
        <v>2019</v>
      </c>
      <c r="B1418" s="6" t="str">
        <f>IFERROR(__xludf.DUMMYFUNCTION("""COMPUTED_VALUE"""),"Novembro")</f>
        <v>Novembro</v>
      </c>
      <c r="C1418" s="6" t="str">
        <f>IFERROR(__xludf.DUMMYFUNCTION("""COMPUTED_VALUE"""),"HOMICÍDIO DOLOSO (exclui FEMINICÍDIO)")</f>
        <v>HOMICÍDIO DOLOSO (exclui FEMINICÍDIO)</v>
      </c>
      <c r="D1418" s="6">
        <f>IFERROR(__xludf.DUMMYFUNCTION("""COMPUTED_VALUE"""),1.0)</f>
        <v>1</v>
      </c>
      <c r="E1418" s="6">
        <f>IFERROR(__xludf.DUMMYFUNCTION("""COMPUTED_VALUE"""),0.0)</f>
        <v>0</v>
      </c>
      <c r="F1418" s="6">
        <f>IFERROR(__xludf.DUMMYFUNCTION("""COMPUTED_VALUE"""),2.0)</f>
        <v>2</v>
      </c>
      <c r="G1418" s="6">
        <f>IFERROR(__xludf.DUMMYFUNCTION("""COMPUTED_VALUE"""),3.0)</f>
        <v>3</v>
      </c>
    </row>
    <row r="1419">
      <c r="A1419" s="6">
        <f>IFERROR(__xludf.DUMMYFUNCTION("""COMPUTED_VALUE"""),2019.0)</f>
        <v>2019</v>
      </c>
      <c r="B1419" s="6" t="str">
        <f>IFERROR(__xludf.DUMMYFUNCTION("""COMPUTED_VALUE"""),"Novembro")</f>
        <v>Novembro</v>
      </c>
      <c r="C1419" s="6" t="str">
        <f>IFERROR(__xludf.DUMMYFUNCTION("""COMPUTED_VALUE"""),"FEMINICÍDIO")</f>
        <v>FEMINICÍDIO</v>
      </c>
      <c r="D1419" s="6">
        <f>IFERROR(__xludf.DUMMYFUNCTION("""COMPUTED_VALUE"""),2.0)</f>
        <v>2</v>
      </c>
      <c r="E1419" s="6">
        <f>IFERROR(__xludf.DUMMYFUNCTION("""COMPUTED_VALUE"""),3.0)</f>
        <v>3</v>
      </c>
      <c r="F1419" s="6">
        <f>IFERROR(__xludf.DUMMYFUNCTION("""COMPUTED_VALUE"""),5.0)</f>
        <v>5</v>
      </c>
      <c r="G1419" s="6">
        <f>IFERROR(__xludf.DUMMYFUNCTION("""COMPUTED_VALUE"""),10.0)</f>
        <v>10</v>
      </c>
    </row>
    <row r="1420">
      <c r="A1420" s="6">
        <f>IFERROR(__xludf.DUMMYFUNCTION("""COMPUTED_VALUE"""),2019.0)</f>
        <v>2019</v>
      </c>
      <c r="B1420" s="6" t="str">
        <f>IFERROR(__xludf.DUMMYFUNCTION("""COMPUTED_VALUE"""),"Novembro")</f>
        <v>Novembro</v>
      </c>
      <c r="C1420" s="6" t="str">
        <f>IFERROR(__xludf.DUMMYFUNCTION("""COMPUTED_VALUE"""),"HOMICÍDIO CULPOSO")</f>
        <v>HOMICÍDIO CULPOSO</v>
      </c>
      <c r="D1420" s="6">
        <f>IFERROR(__xludf.DUMMYFUNCTION("""COMPUTED_VALUE"""),0.0)</f>
        <v>0</v>
      </c>
      <c r="E1420" s="6">
        <f>IFERROR(__xludf.DUMMYFUNCTION("""COMPUTED_VALUE"""),0.0)</f>
        <v>0</v>
      </c>
      <c r="F1420" s="6">
        <f>IFERROR(__xludf.DUMMYFUNCTION("""COMPUTED_VALUE"""),0.0)</f>
        <v>0</v>
      </c>
      <c r="G1420" s="6">
        <f>IFERROR(__xludf.DUMMYFUNCTION("""COMPUTED_VALUE"""),0.0)</f>
        <v>0</v>
      </c>
    </row>
    <row r="1421">
      <c r="A1421" s="6">
        <f>IFERROR(__xludf.DUMMYFUNCTION("""COMPUTED_VALUE"""),2019.0)</f>
        <v>2019</v>
      </c>
      <c r="B1421" s="6" t="str">
        <f>IFERROR(__xludf.DUMMYFUNCTION("""COMPUTED_VALUE"""),"Novembro")</f>
        <v>Novembro</v>
      </c>
      <c r="C1421" s="6" t="str">
        <f>IFERROR(__xludf.DUMMYFUNCTION("""COMPUTED_VALUE"""),"TENTATIVA DE HOMICÍDIO")</f>
        <v>TENTATIVA DE HOMICÍDIO</v>
      </c>
      <c r="D1421" s="6">
        <f>IFERROR(__xludf.DUMMYFUNCTION("""COMPUTED_VALUE"""),2.0)</f>
        <v>2</v>
      </c>
      <c r="E1421" s="6">
        <f>IFERROR(__xludf.DUMMYFUNCTION("""COMPUTED_VALUE"""),2.0)</f>
        <v>2</v>
      </c>
      <c r="F1421" s="6">
        <f>IFERROR(__xludf.DUMMYFUNCTION("""COMPUTED_VALUE"""),12.0)</f>
        <v>12</v>
      </c>
      <c r="G1421" s="6">
        <f>IFERROR(__xludf.DUMMYFUNCTION("""COMPUTED_VALUE"""),16.0)</f>
        <v>16</v>
      </c>
    </row>
    <row r="1422">
      <c r="A1422" s="6">
        <f>IFERROR(__xludf.DUMMYFUNCTION("""COMPUTED_VALUE"""),2019.0)</f>
        <v>2019</v>
      </c>
      <c r="B1422" s="6" t="str">
        <f>IFERROR(__xludf.DUMMYFUNCTION("""COMPUTED_VALUE"""),"Novembro")</f>
        <v>Novembro</v>
      </c>
      <c r="C1422" s="6" t="str">
        <f>IFERROR(__xludf.DUMMYFUNCTION("""COMPUTED_VALUE"""),"LESÃO CORPORAL DOLOSA")</f>
        <v>LESÃO CORPORAL DOLOSA</v>
      </c>
      <c r="D1422" s="6">
        <f>IFERROR(__xludf.DUMMYFUNCTION("""COMPUTED_VALUE"""),948.0)</f>
        <v>948</v>
      </c>
      <c r="E1422" s="6">
        <f>IFERROR(__xludf.DUMMYFUNCTION("""COMPUTED_VALUE"""),812.0)</f>
        <v>812</v>
      </c>
      <c r="F1422" s="6">
        <f>IFERROR(__xludf.DUMMYFUNCTION("""COMPUTED_VALUE"""),2914.0)</f>
        <v>2914</v>
      </c>
      <c r="G1422" s="6">
        <f>IFERROR(__xludf.DUMMYFUNCTION("""COMPUTED_VALUE"""),4674.0)</f>
        <v>4674</v>
      </c>
    </row>
    <row r="1423">
      <c r="A1423" s="6">
        <f>IFERROR(__xludf.DUMMYFUNCTION("""COMPUTED_VALUE"""),2019.0)</f>
        <v>2019</v>
      </c>
      <c r="B1423" s="6" t="str">
        <f>IFERROR(__xludf.DUMMYFUNCTION("""COMPUTED_VALUE"""),"Novembro")</f>
        <v>Novembro</v>
      </c>
      <c r="C1423" s="6" t="str">
        <f>IFERROR(__xludf.DUMMYFUNCTION("""COMPUTED_VALUE"""),"MAUS TRATOS")</f>
        <v>MAUS TRATOS</v>
      </c>
      <c r="D1423" s="6">
        <f>IFERROR(__xludf.DUMMYFUNCTION("""COMPUTED_VALUE"""),3.0)</f>
        <v>3</v>
      </c>
      <c r="E1423" s="6">
        <f>IFERROR(__xludf.DUMMYFUNCTION("""COMPUTED_VALUE"""),2.0)</f>
        <v>2</v>
      </c>
      <c r="F1423" s="6">
        <f>IFERROR(__xludf.DUMMYFUNCTION("""COMPUTED_VALUE"""),16.0)</f>
        <v>16</v>
      </c>
      <c r="G1423" s="6">
        <f>IFERROR(__xludf.DUMMYFUNCTION("""COMPUTED_VALUE"""),21.0)</f>
        <v>21</v>
      </c>
    </row>
    <row r="1424">
      <c r="A1424" s="6">
        <f>IFERROR(__xludf.DUMMYFUNCTION("""COMPUTED_VALUE"""),2019.0)</f>
        <v>2019</v>
      </c>
      <c r="B1424" s="6" t="str">
        <f>IFERROR(__xludf.DUMMYFUNCTION("""COMPUTED_VALUE"""),"Novembro")</f>
        <v>Novembro</v>
      </c>
      <c r="C1424" s="6" t="str">
        <f>IFERROR(__xludf.DUMMYFUNCTION("""COMPUTED_VALUE"""),"CALÚNIA - DIFAMAÇÃO - INJÚRIA")</f>
        <v>CALÚNIA - DIFAMAÇÃO - INJÚRIA</v>
      </c>
      <c r="D1424" s="6">
        <f>IFERROR(__xludf.DUMMYFUNCTION("""COMPUTED_VALUE"""),187.0)</f>
        <v>187</v>
      </c>
      <c r="E1424" s="6">
        <f>IFERROR(__xludf.DUMMYFUNCTION("""COMPUTED_VALUE"""),159.0)</f>
        <v>159</v>
      </c>
      <c r="F1424" s="6">
        <f>IFERROR(__xludf.DUMMYFUNCTION("""COMPUTED_VALUE"""),694.0)</f>
        <v>694</v>
      </c>
      <c r="G1424" s="6">
        <f>IFERROR(__xludf.DUMMYFUNCTION("""COMPUTED_VALUE"""),1040.0)</f>
        <v>1040</v>
      </c>
    </row>
    <row r="1425">
      <c r="A1425" s="6">
        <f>IFERROR(__xludf.DUMMYFUNCTION("""COMPUTED_VALUE"""),2019.0)</f>
        <v>2019</v>
      </c>
      <c r="B1425" s="6" t="str">
        <f>IFERROR(__xludf.DUMMYFUNCTION("""COMPUTED_VALUE"""),"Novembro")</f>
        <v>Novembro</v>
      </c>
      <c r="C1425" s="6" t="str">
        <f>IFERROR(__xludf.DUMMYFUNCTION("""COMPUTED_VALUE"""),"CONSTRANGIMENTO ILEGAL")</f>
        <v>CONSTRANGIMENTO ILEGAL</v>
      </c>
      <c r="D1425" s="6">
        <f>IFERROR(__xludf.DUMMYFUNCTION("""COMPUTED_VALUE"""),1.0)</f>
        <v>1</v>
      </c>
      <c r="E1425" s="6">
        <f>IFERROR(__xludf.DUMMYFUNCTION("""COMPUTED_VALUE"""),0.0)</f>
        <v>0</v>
      </c>
      <c r="F1425" s="6">
        <f>IFERROR(__xludf.DUMMYFUNCTION("""COMPUTED_VALUE"""),6.0)</f>
        <v>6</v>
      </c>
      <c r="G1425" s="6">
        <f>IFERROR(__xludf.DUMMYFUNCTION("""COMPUTED_VALUE"""),7.0)</f>
        <v>7</v>
      </c>
    </row>
    <row r="1426">
      <c r="A1426" s="6">
        <f>IFERROR(__xludf.DUMMYFUNCTION("""COMPUTED_VALUE"""),2019.0)</f>
        <v>2019</v>
      </c>
      <c r="B1426" s="6" t="str">
        <f>IFERROR(__xludf.DUMMYFUNCTION("""COMPUTED_VALUE"""),"Novembro")</f>
        <v>Novembro</v>
      </c>
      <c r="C1426" s="6" t="str">
        <f>IFERROR(__xludf.DUMMYFUNCTION("""COMPUTED_VALUE"""),"AMEAÇA")</f>
        <v>AMEAÇA</v>
      </c>
      <c r="D1426" s="6">
        <f>IFERROR(__xludf.DUMMYFUNCTION("""COMPUTED_VALUE"""),872.0)</f>
        <v>872</v>
      </c>
      <c r="E1426" s="6">
        <f>IFERROR(__xludf.DUMMYFUNCTION("""COMPUTED_VALUE"""),804.0)</f>
        <v>804</v>
      </c>
      <c r="F1426" s="6">
        <f>IFERROR(__xludf.DUMMYFUNCTION("""COMPUTED_VALUE"""),2984.0)</f>
        <v>2984</v>
      </c>
      <c r="G1426" s="6">
        <f>IFERROR(__xludf.DUMMYFUNCTION("""COMPUTED_VALUE"""),4660.0)</f>
        <v>4660</v>
      </c>
    </row>
    <row r="1427">
      <c r="A1427" s="6">
        <f>IFERROR(__xludf.DUMMYFUNCTION("""COMPUTED_VALUE"""),2019.0)</f>
        <v>2019</v>
      </c>
      <c r="B1427" s="6" t="str">
        <f>IFERROR(__xludf.DUMMYFUNCTION("""COMPUTED_VALUE"""),"Novembro")</f>
        <v>Novembro</v>
      </c>
      <c r="C1427" s="6" t="str">
        <f>IFERROR(__xludf.DUMMYFUNCTION("""COMPUTED_VALUE"""),"INVASÃO DE DOMICÍLIO")</f>
        <v>INVASÃO DE DOMICÍLIO</v>
      </c>
      <c r="D1427" s="6">
        <f>IFERROR(__xludf.DUMMYFUNCTION("""COMPUTED_VALUE"""),1.0)</f>
        <v>1</v>
      </c>
      <c r="E1427" s="6">
        <f>IFERROR(__xludf.DUMMYFUNCTION("""COMPUTED_VALUE"""),2.0)</f>
        <v>2</v>
      </c>
      <c r="F1427" s="6">
        <f>IFERROR(__xludf.DUMMYFUNCTION("""COMPUTED_VALUE"""),13.0)</f>
        <v>13</v>
      </c>
      <c r="G1427" s="6">
        <f>IFERROR(__xludf.DUMMYFUNCTION("""COMPUTED_VALUE"""),16.0)</f>
        <v>16</v>
      </c>
    </row>
    <row r="1428">
      <c r="A1428" s="6">
        <f>IFERROR(__xludf.DUMMYFUNCTION("""COMPUTED_VALUE"""),2019.0)</f>
        <v>2019</v>
      </c>
      <c r="B1428" s="6" t="str">
        <f>IFERROR(__xludf.DUMMYFUNCTION("""COMPUTED_VALUE"""),"Novembro")</f>
        <v>Novembro</v>
      </c>
      <c r="C1428" s="6" t="str">
        <f>IFERROR(__xludf.DUMMYFUNCTION("""COMPUTED_VALUE"""),"DANO")</f>
        <v>DANO</v>
      </c>
      <c r="D1428" s="6">
        <f>IFERROR(__xludf.DUMMYFUNCTION("""COMPUTED_VALUE"""),11.0)</f>
        <v>11</v>
      </c>
      <c r="E1428" s="6">
        <f>IFERROR(__xludf.DUMMYFUNCTION("""COMPUTED_VALUE"""),10.0)</f>
        <v>10</v>
      </c>
      <c r="F1428" s="6">
        <f>IFERROR(__xludf.DUMMYFUNCTION("""COMPUTED_VALUE"""),54.0)</f>
        <v>54</v>
      </c>
      <c r="G1428" s="6">
        <f>IFERROR(__xludf.DUMMYFUNCTION("""COMPUTED_VALUE"""),75.0)</f>
        <v>75</v>
      </c>
    </row>
    <row r="1429">
      <c r="A1429" s="6">
        <f>IFERROR(__xludf.DUMMYFUNCTION("""COMPUTED_VALUE"""),2019.0)</f>
        <v>2019</v>
      </c>
      <c r="B1429" s="6" t="str">
        <f>IFERROR(__xludf.DUMMYFUNCTION("""COMPUTED_VALUE"""),"Novembro")</f>
        <v>Novembro</v>
      </c>
      <c r="C1429" s="6" t="str">
        <f>IFERROR(__xludf.DUMMYFUNCTION("""COMPUTED_VALUE"""),"ESTUPRO CONSUMADO")</f>
        <v>ESTUPRO CONSUMADO</v>
      </c>
      <c r="D1429" s="6">
        <f>IFERROR(__xludf.DUMMYFUNCTION("""COMPUTED_VALUE"""),10.0)</f>
        <v>10</v>
      </c>
      <c r="E1429" s="6">
        <f>IFERROR(__xludf.DUMMYFUNCTION("""COMPUTED_VALUE"""),7.0)</f>
        <v>7</v>
      </c>
      <c r="F1429" s="6">
        <f>IFERROR(__xludf.DUMMYFUNCTION("""COMPUTED_VALUE"""),17.0)</f>
        <v>17</v>
      </c>
      <c r="G1429" s="6">
        <f>IFERROR(__xludf.DUMMYFUNCTION("""COMPUTED_VALUE"""),34.0)</f>
        <v>34</v>
      </c>
    </row>
    <row r="1430">
      <c r="A1430" s="6">
        <f>IFERROR(__xludf.DUMMYFUNCTION("""COMPUTED_VALUE"""),2019.0)</f>
        <v>2019</v>
      </c>
      <c r="B1430" s="6" t="str">
        <f>IFERROR(__xludf.DUMMYFUNCTION("""COMPUTED_VALUE"""),"Novembro")</f>
        <v>Novembro</v>
      </c>
      <c r="C1430" s="6" t="str">
        <f>IFERROR(__xludf.DUMMYFUNCTION("""COMPUTED_VALUE"""),"ESTUPRO TENTADO")</f>
        <v>ESTUPRO TENTADO</v>
      </c>
      <c r="D1430" s="6">
        <f>IFERROR(__xludf.DUMMYFUNCTION("""COMPUTED_VALUE"""),0.0)</f>
        <v>0</v>
      </c>
      <c r="E1430" s="6">
        <f>IFERROR(__xludf.DUMMYFUNCTION("""COMPUTED_VALUE"""),0.0)</f>
        <v>0</v>
      </c>
      <c r="F1430" s="6">
        <f>IFERROR(__xludf.DUMMYFUNCTION("""COMPUTED_VALUE"""),1.0)</f>
        <v>1</v>
      </c>
      <c r="G1430" s="6">
        <f>IFERROR(__xludf.DUMMYFUNCTION("""COMPUTED_VALUE"""),1.0)</f>
        <v>1</v>
      </c>
    </row>
    <row r="1431">
      <c r="A1431" s="6">
        <f>IFERROR(__xludf.DUMMYFUNCTION("""COMPUTED_VALUE"""),2019.0)</f>
        <v>2019</v>
      </c>
      <c r="B1431" s="6" t="str">
        <f>IFERROR(__xludf.DUMMYFUNCTION("""COMPUTED_VALUE"""),"Novembro")</f>
        <v>Novembro</v>
      </c>
      <c r="C1431" s="6" t="str">
        <f>IFERROR(__xludf.DUMMYFUNCTION("""COMPUTED_VALUE"""),"ESTUPRO DE VULNERÁVEL CONSUMADO")</f>
        <v>ESTUPRO DE VULNERÁVEL CONSUMADO</v>
      </c>
      <c r="D1431" s="6">
        <f>IFERROR(__xludf.DUMMYFUNCTION("""COMPUTED_VALUE"""),3.0)</f>
        <v>3</v>
      </c>
      <c r="E1431" s="6">
        <f>IFERROR(__xludf.DUMMYFUNCTION("""COMPUTED_VALUE"""),4.0)</f>
        <v>4</v>
      </c>
      <c r="F1431" s="6">
        <f>IFERROR(__xludf.DUMMYFUNCTION("""COMPUTED_VALUE"""),17.0)</f>
        <v>17</v>
      </c>
      <c r="G1431" s="6">
        <f>IFERROR(__xludf.DUMMYFUNCTION("""COMPUTED_VALUE"""),24.0)</f>
        <v>24</v>
      </c>
    </row>
    <row r="1432">
      <c r="A1432" s="6">
        <f>IFERROR(__xludf.DUMMYFUNCTION("""COMPUTED_VALUE"""),2019.0)</f>
        <v>2019</v>
      </c>
      <c r="B1432" s="6" t="str">
        <f>IFERROR(__xludf.DUMMYFUNCTION("""COMPUTED_VALUE"""),"Novembro")</f>
        <v>Novembro</v>
      </c>
      <c r="C1432" s="6" t="str">
        <f>IFERROR(__xludf.DUMMYFUNCTION("""COMPUTED_VALUE"""),"OUTROS C/C/ DIGNIDADE SEXUAL")</f>
        <v>OUTROS C/C/ DIGNIDADE SEXUAL</v>
      </c>
      <c r="D1432" s="6">
        <f>IFERROR(__xludf.DUMMYFUNCTION("""COMPUTED_VALUE"""),0.0)</f>
        <v>0</v>
      </c>
      <c r="E1432" s="6">
        <f>IFERROR(__xludf.DUMMYFUNCTION("""COMPUTED_VALUE"""),0.0)</f>
        <v>0</v>
      </c>
      <c r="F1432" s="6">
        <f>IFERROR(__xludf.DUMMYFUNCTION("""COMPUTED_VALUE"""),2.0)</f>
        <v>2</v>
      </c>
      <c r="G1432" s="6">
        <f>IFERROR(__xludf.DUMMYFUNCTION("""COMPUTED_VALUE"""),2.0)</f>
        <v>2</v>
      </c>
    </row>
    <row r="1433">
      <c r="A1433" s="6">
        <f>IFERROR(__xludf.DUMMYFUNCTION("""COMPUTED_VALUE"""),2019.0)</f>
        <v>2019</v>
      </c>
      <c r="B1433" s="6" t="str">
        <f>IFERROR(__xludf.DUMMYFUNCTION("""COMPUTED_VALUE"""),"Dezembro")</f>
        <v>Dezembro</v>
      </c>
      <c r="C1433" s="6" t="str">
        <f>IFERROR(__xludf.DUMMYFUNCTION("""COMPUTED_VALUE"""),"HOMICÍDIO DOLOSO (exclui FEMINICÍDIO)")</f>
        <v>HOMICÍDIO DOLOSO (exclui FEMINICÍDIO)</v>
      </c>
      <c r="D1433" s="6">
        <f>IFERROR(__xludf.DUMMYFUNCTION("""COMPUTED_VALUE"""),1.0)</f>
        <v>1</v>
      </c>
      <c r="E1433" s="6">
        <f>IFERROR(__xludf.DUMMYFUNCTION("""COMPUTED_VALUE"""),0.0)</f>
        <v>0</v>
      </c>
      <c r="F1433" s="6">
        <f>IFERROR(__xludf.DUMMYFUNCTION("""COMPUTED_VALUE"""),2.0)</f>
        <v>2</v>
      </c>
      <c r="G1433" s="6">
        <f>IFERROR(__xludf.DUMMYFUNCTION("""COMPUTED_VALUE"""),3.0)</f>
        <v>3</v>
      </c>
    </row>
    <row r="1434">
      <c r="A1434" s="6">
        <f>IFERROR(__xludf.DUMMYFUNCTION("""COMPUTED_VALUE"""),2019.0)</f>
        <v>2019</v>
      </c>
      <c r="B1434" s="6" t="str">
        <f>IFERROR(__xludf.DUMMYFUNCTION("""COMPUTED_VALUE"""),"Dezembro")</f>
        <v>Dezembro</v>
      </c>
      <c r="C1434" s="6" t="str">
        <f>IFERROR(__xludf.DUMMYFUNCTION("""COMPUTED_VALUE"""),"FEMINICÍDIO")</f>
        <v>FEMINICÍDIO</v>
      </c>
      <c r="D1434" s="6">
        <f>IFERROR(__xludf.DUMMYFUNCTION("""COMPUTED_VALUE"""),3.0)</f>
        <v>3</v>
      </c>
      <c r="E1434" s="6">
        <f>IFERROR(__xludf.DUMMYFUNCTION("""COMPUTED_VALUE"""),3.0)</f>
        <v>3</v>
      </c>
      <c r="F1434" s="6">
        <f>IFERROR(__xludf.DUMMYFUNCTION("""COMPUTED_VALUE"""),6.0)</f>
        <v>6</v>
      </c>
      <c r="G1434" s="6">
        <f>IFERROR(__xludf.DUMMYFUNCTION("""COMPUTED_VALUE"""),12.0)</f>
        <v>12</v>
      </c>
    </row>
    <row r="1435">
      <c r="A1435" s="6">
        <f>IFERROR(__xludf.DUMMYFUNCTION("""COMPUTED_VALUE"""),2019.0)</f>
        <v>2019</v>
      </c>
      <c r="B1435" s="6" t="str">
        <f>IFERROR(__xludf.DUMMYFUNCTION("""COMPUTED_VALUE"""),"Dezembro")</f>
        <v>Dezembro</v>
      </c>
      <c r="C1435" s="6" t="str">
        <f>IFERROR(__xludf.DUMMYFUNCTION("""COMPUTED_VALUE"""),"HOMICÍDIO CULPOSO")</f>
        <v>HOMICÍDIO CULPOSO</v>
      </c>
      <c r="D1435" s="6">
        <f>IFERROR(__xludf.DUMMYFUNCTION("""COMPUTED_VALUE"""),0.0)</f>
        <v>0</v>
      </c>
      <c r="E1435" s="6">
        <f>IFERROR(__xludf.DUMMYFUNCTION("""COMPUTED_VALUE"""),0.0)</f>
        <v>0</v>
      </c>
      <c r="F1435" s="6">
        <f>IFERROR(__xludf.DUMMYFUNCTION("""COMPUTED_VALUE"""),0.0)</f>
        <v>0</v>
      </c>
      <c r="G1435" s="6">
        <f>IFERROR(__xludf.DUMMYFUNCTION("""COMPUTED_VALUE"""),0.0)</f>
        <v>0</v>
      </c>
    </row>
    <row r="1436">
      <c r="A1436" s="6">
        <f>IFERROR(__xludf.DUMMYFUNCTION("""COMPUTED_VALUE"""),2019.0)</f>
        <v>2019</v>
      </c>
      <c r="B1436" s="6" t="str">
        <f>IFERROR(__xludf.DUMMYFUNCTION("""COMPUTED_VALUE"""),"Dezembro")</f>
        <v>Dezembro</v>
      </c>
      <c r="C1436" s="6" t="str">
        <f>IFERROR(__xludf.DUMMYFUNCTION("""COMPUTED_VALUE"""),"TENTATIVA DE HOMICÍDIO")</f>
        <v>TENTATIVA DE HOMICÍDIO</v>
      </c>
      <c r="D1436" s="6">
        <f>IFERROR(__xludf.DUMMYFUNCTION("""COMPUTED_VALUE"""),1.0)</f>
        <v>1</v>
      </c>
      <c r="E1436" s="6">
        <f>IFERROR(__xludf.DUMMYFUNCTION("""COMPUTED_VALUE"""),1.0)</f>
        <v>1</v>
      </c>
      <c r="F1436" s="6">
        <f>IFERROR(__xludf.DUMMYFUNCTION("""COMPUTED_VALUE"""),11.0)</f>
        <v>11</v>
      </c>
      <c r="G1436" s="6">
        <f>IFERROR(__xludf.DUMMYFUNCTION("""COMPUTED_VALUE"""),13.0)</f>
        <v>13</v>
      </c>
    </row>
    <row r="1437">
      <c r="A1437" s="6">
        <f>IFERROR(__xludf.DUMMYFUNCTION("""COMPUTED_VALUE"""),2019.0)</f>
        <v>2019</v>
      </c>
      <c r="B1437" s="6" t="str">
        <f>IFERROR(__xludf.DUMMYFUNCTION("""COMPUTED_VALUE"""),"Dezembro")</f>
        <v>Dezembro</v>
      </c>
      <c r="C1437" s="6" t="str">
        <f>IFERROR(__xludf.DUMMYFUNCTION("""COMPUTED_VALUE"""),"LESÃO CORPORAL DOLOSA")</f>
        <v>LESÃO CORPORAL DOLOSA</v>
      </c>
      <c r="D1437" s="6">
        <f>IFERROR(__xludf.DUMMYFUNCTION("""COMPUTED_VALUE"""),912.0)</f>
        <v>912</v>
      </c>
      <c r="E1437" s="6">
        <f>IFERROR(__xludf.DUMMYFUNCTION("""COMPUTED_VALUE"""),784.0)</f>
        <v>784</v>
      </c>
      <c r="F1437" s="6">
        <f>IFERROR(__xludf.DUMMYFUNCTION("""COMPUTED_VALUE"""),2814.0)</f>
        <v>2814</v>
      </c>
      <c r="G1437" s="6">
        <f>IFERROR(__xludf.DUMMYFUNCTION("""COMPUTED_VALUE"""),4510.0)</f>
        <v>4510</v>
      </c>
    </row>
    <row r="1438">
      <c r="A1438" s="6">
        <f>IFERROR(__xludf.DUMMYFUNCTION("""COMPUTED_VALUE"""),2019.0)</f>
        <v>2019</v>
      </c>
      <c r="B1438" s="6" t="str">
        <f>IFERROR(__xludf.DUMMYFUNCTION("""COMPUTED_VALUE"""),"Dezembro")</f>
        <v>Dezembro</v>
      </c>
      <c r="C1438" s="6" t="str">
        <f>IFERROR(__xludf.DUMMYFUNCTION("""COMPUTED_VALUE"""),"MAUS TRATOS")</f>
        <v>MAUS TRATOS</v>
      </c>
      <c r="D1438" s="6">
        <f>IFERROR(__xludf.DUMMYFUNCTION("""COMPUTED_VALUE"""),2.0)</f>
        <v>2</v>
      </c>
      <c r="E1438" s="6">
        <f>IFERROR(__xludf.DUMMYFUNCTION("""COMPUTED_VALUE"""),2.0)</f>
        <v>2</v>
      </c>
      <c r="F1438" s="6">
        <f>IFERROR(__xludf.DUMMYFUNCTION("""COMPUTED_VALUE"""),14.0)</f>
        <v>14</v>
      </c>
      <c r="G1438" s="6">
        <f>IFERROR(__xludf.DUMMYFUNCTION("""COMPUTED_VALUE"""),18.0)</f>
        <v>18</v>
      </c>
    </row>
    <row r="1439">
      <c r="A1439" s="6">
        <f>IFERROR(__xludf.DUMMYFUNCTION("""COMPUTED_VALUE"""),2019.0)</f>
        <v>2019</v>
      </c>
      <c r="B1439" s="6" t="str">
        <f>IFERROR(__xludf.DUMMYFUNCTION("""COMPUTED_VALUE"""),"Dezembro")</f>
        <v>Dezembro</v>
      </c>
      <c r="C1439" s="6" t="str">
        <f>IFERROR(__xludf.DUMMYFUNCTION("""COMPUTED_VALUE"""),"CALÚNIA - DIFAMAÇÃO - INJÚRIA")</f>
        <v>CALÚNIA - DIFAMAÇÃO - INJÚRIA</v>
      </c>
      <c r="D1439" s="6">
        <f>IFERROR(__xludf.DUMMYFUNCTION("""COMPUTED_VALUE"""),178.0)</f>
        <v>178</v>
      </c>
      <c r="E1439" s="6">
        <f>IFERROR(__xludf.DUMMYFUNCTION("""COMPUTED_VALUE"""),151.0)</f>
        <v>151</v>
      </c>
      <c r="F1439" s="6">
        <f>IFERROR(__xludf.DUMMYFUNCTION("""COMPUTED_VALUE"""),654.0)</f>
        <v>654</v>
      </c>
      <c r="G1439" s="6">
        <f>IFERROR(__xludf.DUMMYFUNCTION("""COMPUTED_VALUE"""),983.0)</f>
        <v>983</v>
      </c>
    </row>
    <row r="1440">
      <c r="A1440" s="6">
        <f>IFERROR(__xludf.DUMMYFUNCTION("""COMPUTED_VALUE"""),2019.0)</f>
        <v>2019</v>
      </c>
      <c r="B1440" s="6" t="str">
        <f>IFERROR(__xludf.DUMMYFUNCTION("""COMPUTED_VALUE"""),"Dezembro")</f>
        <v>Dezembro</v>
      </c>
      <c r="C1440" s="6" t="str">
        <f>IFERROR(__xludf.DUMMYFUNCTION("""COMPUTED_VALUE"""),"CONSTRANGIMENTO ILEGAL")</f>
        <v>CONSTRANGIMENTO ILEGAL</v>
      </c>
      <c r="D1440" s="6">
        <f>IFERROR(__xludf.DUMMYFUNCTION("""COMPUTED_VALUE"""),1.0)</f>
        <v>1</v>
      </c>
      <c r="E1440" s="6">
        <f>IFERROR(__xludf.DUMMYFUNCTION("""COMPUTED_VALUE"""),0.0)</f>
        <v>0</v>
      </c>
      <c r="F1440" s="6">
        <f>IFERROR(__xludf.DUMMYFUNCTION("""COMPUTED_VALUE"""),5.0)</f>
        <v>5</v>
      </c>
      <c r="G1440" s="6">
        <f>IFERROR(__xludf.DUMMYFUNCTION("""COMPUTED_VALUE"""),6.0)</f>
        <v>6</v>
      </c>
    </row>
    <row r="1441">
      <c r="A1441" s="6">
        <f>IFERROR(__xludf.DUMMYFUNCTION("""COMPUTED_VALUE"""),2019.0)</f>
        <v>2019</v>
      </c>
      <c r="B1441" s="6" t="str">
        <f>IFERROR(__xludf.DUMMYFUNCTION("""COMPUTED_VALUE"""),"Dezembro")</f>
        <v>Dezembro</v>
      </c>
      <c r="C1441" s="6" t="str">
        <f>IFERROR(__xludf.DUMMYFUNCTION("""COMPUTED_VALUE"""),"AMEAÇA")</f>
        <v>AMEAÇA</v>
      </c>
      <c r="D1441" s="6">
        <f>IFERROR(__xludf.DUMMYFUNCTION("""COMPUTED_VALUE"""),842.0)</f>
        <v>842</v>
      </c>
      <c r="E1441" s="6">
        <f>IFERROR(__xludf.DUMMYFUNCTION("""COMPUTED_VALUE"""),771.0)</f>
        <v>771</v>
      </c>
      <c r="F1441" s="6">
        <f>IFERROR(__xludf.DUMMYFUNCTION("""COMPUTED_VALUE"""),2884.0)</f>
        <v>2884</v>
      </c>
      <c r="G1441" s="6">
        <f>IFERROR(__xludf.DUMMYFUNCTION("""COMPUTED_VALUE"""),4497.0)</f>
        <v>4497</v>
      </c>
    </row>
    <row r="1442">
      <c r="A1442" s="6">
        <f>IFERROR(__xludf.DUMMYFUNCTION("""COMPUTED_VALUE"""),2019.0)</f>
        <v>2019</v>
      </c>
      <c r="B1442" s="6" t="str">
        <f>IFERROR(__xludf.DUMMYFUNCTION("""COMPUTED_VALUE"""),"Dezembro")</f>
        <v>Dezembro</v>
      </c>
      <c r="C1442" s="6" t="str">
        <f>IFERROR(__xludf.DUMMYFUNCTION("""COMPUTED_VALUE"""),"INVASÃO DE DOMICÍLIO")</f>
        <v>INVASÃO DE DOMICÍLIO</v>
      </c>
      <c r="D1442" s="6">
        <f>IFERROR(__xludf.DUMMYFUNCTION("""COMPUTED_VALUE"""),1.0)</f>
        <v>1</v>
      </c>
      <c r="E1442" s="6">
        <f>IFERROR(__xludf.DUMMYFUNCTION("""COMPUTED_VALUE"""),1.0)</f>
        <v>1</v>
      </c>
      <c r="F1442" s="6">
        <f>IFERROR(__xludf.DUMMYFUNCTION("""COMPUTED_VALUE"""),11.0)</f>
        <v>11</v>
      </c>
      <c r="G1442" s="6">
        <f>IFERROR(__xludf.DUMMYFUNCTION("""COMPUTED_VALUE"""),13.0)</f>
        <v>13</v>
      </c>
    </row>
    <row r="1443">
      <c r="A1443" s="6">
        <f>IFERROR(__xludf.DUMMYFUNCTION("""COMPUTED_VALUE"""),2019.0)</f>
        <v>2019</v>
      </c>
      <c r="B1443" s="6" t="str">
        <f>IFERROR(__xludf.DUMMYFUNCTION("""COMPUTED_VALUE"""),"Dezembro")</f>
        <v>Dezembro</v>
      </c>
      <c r="C1443" s="6" t="str">
        <f>IFERROR(__xludf.DUMMYFUNCTION("""COMPUTED_VALUE"""),"DANO")</f>
        <v>DANO</v>
      </c>
      <c r="D1443" s="6">
        <f>IFERROR(__xludf.DUMMYFUNCTION("""COMPUTED_VALUE"""),9.0)</f>
        <v>9</v>
      </c>
      <c r="E1443" s="6">
        <f>IFERROR(__xludf.DUMMYFUNCTION("""COMPUTED_VALUE"""),9.0)</f>
        <v>9</v>
      </c>
      <c r="F1443" s="6">
        <f>IFERROR(__xludf.DUMMYFUNCTION("""COMPUTED_VALUE"""),51.0)</f>
        <v>51</v>
      </c>
      <c r="G1443" s="6">
        <f>IFERROR(__xludf.DUMMYFUNCTION("""COMPUTED_VALUE"""),69.0)</f>
        <v>69</v>
      </c>
    </row>
    <row r="1444">
      <c r="A1444" s="6">
        <f>IFERROR(__xludf.DUMMYFUNCTION("""COMPUTED_VALUE"""),2019.0)</f>
        <v>2019</v>
      </c>
      <c r="B1444" s="6" t="str">
        <f>IFERROR(__xludf.DUMMYFUNCTION("""COMPUTED_VALUE"""),"Dezembro")</f>
        <v>Dezembro</v>
      </c>
      <c r="C1444" s="6" t="str">
        <f>IFERROR(__xludf.DUMMYFUNCTION("""COMPUTED_VALUE"""),"ESTUPRO CONSUMADO")</f>
        <v>ESTUPRO CONSUMADO</v>
      </c>
      <c r="D1444" s="6">
        <f>IFERROR(__xludf.DUMMYFUNCTION("""COMPUTED_VALUE"""),9.0)</f>
        <v>9</v>
      </c>
      <c r="E1444" s="6">
        <f>IFERROR(__xludf.DUMMYFUNCTION("""COMPUTED_VALUE"""),6.0)</f>
        <v>6</v>
      </c>
      <c r="F1444" s="6">
        <f>IFERROR(__xludf.DUMMYFUNCTION("""COMPUTED_VALUE"""),16.0)</f>
        <v>16</v>
      </c>
      <c r="G1444" s="6">
        <f>IFERROR(__xludf.DUMMYFUNCTION("""COMPUTED_VALUE"""),31.0)</f>
        <v>31</v>
      </c>
    </row>
    <row r="1445">
      <c r="A1445" s="6">
        <f>IFERROR(__xludf.DUMMYFUNCTION("""COMPUTED_VALUE"""),2019.0)</f>
        <v>2019</v>
      </c>
      <c r="B1445" s="6" t="str">
        <f>IFERROR(__xludf.DUMMYFUNCTION("""COMPUTED_VALUE"""),"Dezembro")</f>
        <v>Dezembro</v>
      </c>
      <c r="C1445" s="6" t="str">
        <f>IFERROR(__xludf.DUMMYFUNCTION("""COMPUTED_VALUE"""),"ESTUPRO TENTADO")</f>
        <v>ESTUPRO TENTADO</v>
      </c>
      <c r="D1445" s="6">
        <f>IFERROR(__xludf.DUMMYFUNCTION("""COMPUTED_VALUE"""),0.0)</f>
        <v>0</v>
      </c>
      <c r="E1445" s="6">
        <f>IFERROR(__xludf.DUMMYFUNCTION("""COMPUTED_VALUE"""),0.0)</f>
        <v>0</v>
      </c>
      <c r="F1445" s="6">
        <f>IFERROR(__xludf.DUMMYFUNCTION("""COMPUTED_VALUE"""),1.0)</f>
        <v>1</v>
      </c>
      <c r="G1445" s="6">
        <f>IFERROR(__xludf.DUMMYFUNCTION("""COMPUTED_VALUE"""),1.0)</f>
        <v>1</v>
      </c>
    </row>
    <row r="1446">
      <c r="A1446" s="6">
        <f>IFERROR(__xludf.DUMMYFUNCTION("""COMPUTED_VALUE"""),2019.0)</f>
        <v>2019</v>
      </c>
      <c r="B1446" s="6" t="str">
        <f>IFERROR(__xludf.DUMMYFUNCTION("""COMPUTED_VALUE"""),"Dezembro")</f>
        <v>Dezembro</v>
      </c>
      <c r="C1446" s="6" t="str">
        <f>IFERROR(__xludf.DUMMYFUNCTION("""COMPUTED_VALUE"""),"ESTUPRO DE VULNERÁVEL CONSUMADO")</f>
        <v>ESTUPRO DE VULNERÁVEL CONSUMADO</v>
      </c>
      <c r="D1446" s="6">
        <f>IFERROR(__xludf.DUMMYFUNCTION("""COMPUTED_VALUE"""),2.0)</f>
        <v>2</v>
      </c>
      <c r="E1446" s="6">
        <f>IFERROR(__xludf.DUMMYFUNCTION("""COMPUTED_VALUE"""),3.0)</f>
        <v>3</v>
      </c>
      <c r="F1446" s="6">
        <f>IFERROR(__xludf.DUMMYFUNCTION("""COMPUTED_VALUE"""),15.0)</f>
        <v>15</v>
      </c>
      <c r="G1446" s="6">
        <f>IFERROR(__xludf.DUMMYFUNCTION("""COMPUTED_VALUE"""),20.0)</f>
        <v>20</v>
      </c>
    </row>
    <row r="1447">
      <c r="A1447" s="6">
        <f>IFERROR(__xludf.DUMMYFUNCTION("""COMPUTED_VALUE"""),2019.0)</f>
        <v>2019</v>
      </c>
      <c r="B1447" s="6" t="str">
        <f>IFERROR(__xludf.DUMMYFUNCTION("""COMPUTED_VALUE"""),"Dezembro")</f>
        <v>Dezembro</v>
      </c>
      <c r="C1447" s="6" t="str">
        <f>IFERROR(__xludf.DUMMYFUNCTION("""COMPUTED_VALUE"""),"OUTROS C/C/ DIGNIDADE SEXUAL")</f>
        <v>OUTROS C/C/ DIGNIDADE SEXUAL</v>
      </c>
      <c r="D1447" s="6">
        <f>IFERROR(__xludf.DUMMYFUNCTION("""COMPUTED_VALUE"""),0.0)</f>
        <v>0</v>
      </c>
      <c r="E1447" s="6">
        <f>IFERROR(__xludf.DUMMYFUNCTION("""COMPUTED_VALUE"""),0.0)</f>
        <v>0</v>
      </c>
      <c r="F1447" s="6">
        <f>IFERROR(__xludf.DUMMYFUNCTION("""COMPUTED_VALUE"""),1.0)</f>
        <v>1</v>
      </c>
      <c r="G1447" s="6">
        <f>IFERROR(__xludf.DUMMYFUNCTION("""COMPUTED_VALUE"""),1.0)</f>
        <v>1</v>
      </c>
    </row>
    <row r="1448">
      <c r="A1448" s="6">
        <f>IFERROR(__xludf.DUMMYFUNCTION("""COMPUTED_VALUE"""),2020.0)</f>
        <v>2020</v>
      </c>
      <c r="B1448" s="6" t="str">
        <f>IFERROR(__xludf.DUMMYFUNCTION("""COMPUTED_VALUE"""),"Janeiro")</f>
        <v>Janeiro</v>
      </c>
      <c r="C1448" s="6" t="str">
        <f>IFERROR(__xludf.DUMMYFUNCTION("""COMPUTED_VALUE"""),"HOMICÍDIO DOLOSO (exclui FEMINICÍDIO)")</f>
        <v>HOMICÍDIO DOLOSO (exclui FEMINICÍDIO)</v>
      </c>
      <c r="D1448" s="6">
        <f>IFERROR(__xludf.DUMMYFUNCTION("""COMPUTED_VALUE"""),1.0)</f>
        <v>1</v>
      </c>
      <c r="E1448" s="6">
        <f>IFERROR(__xludf.DUMMYFUNCTION("""COMPUTED_VALUE"""),0.0)</f>
        <v>0</v>
      </c>
      <c r="F1448" s="6">
        <f>IFERROR(__xludf.DUMMYFUNCTION("""COMPUTED_VALUE"""),2.0)</f>
        <v>2</v>
      </c>
      <c r="G1448" s="6">
        <f>IFERROR(__xludf.DUMMYFUNCTION("""COMPUTED_VALUE"""),3.0)</f>
        <v>3</v>
      </c>
    </row>
    <row r="1449">
      <c r="A1449" s="6">
        <f>IFERROR(__xludf.DUMMYFUNCTION("""COMPUTED_VALUE"""),2020.0)</f>
        <v>2020</v>
      </c>
      <c r="B1449" s="6" t="str">
        <f>IFERROR(__xludf.DUMMYFUNCTION("""COMPUTED_VALUE"""),"Janeiro")</f>
        <v>Janeiro</v>
      </c>
      <c r="C1449" s="6" t="str">
        <f>IFERROR(__xludf.DUMMYFUNCTION("""COMPUTED_VALUE"""),"FEMINICÍDIO")</f>
        <v>FEMINICÍDIO</v>
      </c>
      <c r="D1449" s="6">
        <f>IFERROR(__xludf.DUMMYFUNCTION("""COMPUTED_VALUE"""),3.0)</f>
        <v>3</v>
      </c>
      <c r="E1449" s="6">
        <f>IFERROR(__xludf.DUMMYFUNCTION("""COMPUTED_VALUE"""),4.0)</f>
        <v>4</v>
      </c>
      <c r="F1449" s="6">
        <f>IFERROR(__xludf.DUMMYFUNCTION("""COMPUTED_VALUE"""),7.0)</f>
        <v>7</v>
      </c>
      <c r="G1449" s="6">
        <f>IFERROR(__xludf.DUMMYFUNCTION("""COMPUTED_VALUE"""),14.0)</f>
        <v>14</v>
      </c>
    </row>
    <row r="1450">
      <c r="A1450" s="6">
        <f>IFERROR(__xludf.DUMMYFUNCTION("""COMPUTED_VALUE"""),2020.0)</f>
        <v>2020</v>
      </c>
      <c r="B1450" s="6" t="str">
        <f>IFERROR(__xludf.DUMMYFUNCTION("""COMPUTED_VALUE"""),"Janeiro")</f>
        <v>Janeiro</v>
      </c>
      <c r="C1450" s="6" t="str">
        <f>IFERROR(__xludf.DUMMYFUNCTION("""COMPUTED_VALUE"""),"HOMICÍDIO CULPOSO")</f>
        <v>HOMICÍDIO CULPOSO</v>
      </c>
      <c r="D1450" s="6">
        <f>IFERROR(__xludf.DUMMYFUNCTION("""COMPUTED_VALUE"""),0.0)</f>
        <v>0</v>
      </c>
      <c r="E1450" s="6">
        <f>IFERROR(__xludf.DUMMYFUNCTION("""COMPUTED_VALUE"""),0.0)</f>
        <v>0</v>
      </c>
      <c r="F1450" s="6">
        <f>IFERROR(__xludf.DUMMYFUNCTION("""COMPUTED_VALUE"""),0.0)</f>
        <v>0</v>
      </c>
      <c r="G1450" s="6">
        <f>IFERROR(__xludf.DUMMYFUNCTION("""COMPUTED_VALUE"""),0.0)</f>
        <v>0</v>
      </c>
    </row>
    <row r="1451">
      <c r="A1451" s="6">
        <f>IFERROR(__xludf.DUMMYFUNCTION("""COMPUTED_VALUE"""),2020.0)</f>
        <v>2020</v>
      </c>
      <c r="B1451" s="6" t="str">
        <f>IFERROR(__xludf.DUMMYFUNCTION("""COMPUTED_VALUE"""),"Janeiro")</f>
        <v>Janeiro</v>
      </c>
      <c r="C1451" s="6" t="str">
        <f>IFERROR(__xludf.DUMMYFUNCTION("""COMPUTED_VALUE"""),"TENTATIVA DE HOMICÍDIO")</f>
        <v>TENTATIVA DE HOMICÍDIO</v>
      </c>
      <c r="D1451" s="6">
        <f>IFERROR(__xludf.DUMMYFUNCTION("""COMPUTED_VALUE"""),2.0)</f>
        <v>2</v>
      </c>
      <c r="E1451" s="6">
        <f>IFERROR(__xludf.DUMMYFUNCTION("""COMPUTED_VALUE"""),2.0)</f>
        <v>2</v>
      </c>
      <c r="F1451" s="6">
        <f>IFERROR(__xludf.DUMMYFUNCTION("""COMPUTED_VALUE"""),12.0)</f>
        <v>12</v>
      </c>
      <c r="G1451" s="6">
        <f>IFERROR(__xludf.DUMMYFUNCTION("""COMPUTED_VALUE"""),16.0)</f>
        <v>16</v>
      </c>
    </row>
    <row r="1452">
      <c r="A1452" s="6">
        <f>IFERROR(__xludf.DUMMYFUNCTION("""COMPUTED_VALUE"""),2020.0)</f>
        <v>2020</v>
      </c>
      <c r="B1452" s="6" t="str">
        <f>IFERROR(__xludf.DUMMYFUNCTION("""COMPUTED_VALUE"""),"Janeiro")</f>
        <v>Janeiro</v>
      </c>
      <c r="C1452" s="6" t="str">
        <f>IFERROR(__xludf.DUMMYFUNCTION("""COMPUTED_VALUE"""),"LESÃO CORPORAL DOLOSA")</f>
        <v>LESÃO CORPORAL DOLOSA</v>
      </c>
      <c r="D1452" s="6">
        <f>IFERROR(__xludf.DUMMYFUNCTION("""COMPUTED_VALUE"""),948.0)</f>
        <v>948</v>
      </c>
      <c r="E1452" s="6">
        <f>IFERROR(__xludf.DUMMYFUNCTION("""COMPUTED_VALUE"""),812.0)</f>
        <v>812</v>
      </c>
      <c r="F1452" s="6">
        <f>IFERROR(__xludf.DUMMYFUNCTION("""COMPUTED_VALUE"""),2914.0)</f>
        <v>2914</v>
      </c>
      <c r="G1452" s="6">
        <f>IFERROR(__xludf.DUMMYFUNCTION("""COMPUTED_VALUE"""),4674.0)</f>
        <v>4674</v>
      </c>
    </row>
    <row r="1453">
      <c r="A1453" s="6">
        <f>IFERROR(__xludf.DUMMYFUNCTION("""COMPUTED_VALUE"""),2020.0)</f>
        <v>2020</v>
      </c>
      <c r="B1453" s="6" t="str">
        <f>IFERROR(__xludf.DUMMYFUNCTION("""COMPUTED_VALUE"""),"Janeiro")</f>
        <v>Janeiro</v>
      </c>
      <c r="C1453" s="6" t="str">
        <f>IFERROR(__xludf.DUMMYFUNCTION("""COMPUTED_VALUE"""),"MAUS TRATOS")</f>
        <v>MAUS TRATOS</v>
      </c>
      <c r="D1453" s="6">
        <f>IFERROR(__xludf.DUMMYFUNCTION("""COMPUTED_VALUE"""),3.0)</f>
        <v>3</v>
      </c>
      <c r="E1453" s="6">
        <f>IFERROR(__xludf.DUMMYFUNCTION("""COMPUTED_VALUE"""),2.0)</f>
        <v>2</v>
      </c>
      <c r="F1453" s="6">
        <f>IFERROR(__xludf.DUMMYFUNCTION("""COMPUTED_VALUE"""),16.0)</f>
        <v>16</v>
      </c>
      <c r="G1453" s="6">
        <f>IFERROR(__xludf.DUMMYFUNCTION("""COMPUTED_VALUE"""),21.0)</f>
        <v>21</v>
      </c>
    </row>
    <row r="1454">
      <c r="A1454" s="6">
        <f>IFERROR(__xludf.DUMMYFUNCTION("""COMPUTED_VALUE"""),2020.0)</f>
        <v>2020</v>
      </c>
      <c r="B1454" s="6" t="str">
        <f>IFERROR(__xludf.DUMMYFUNCTION("""COMPUTED_VALUE"""),"Janeiro")</f>
        <v>Janeiro</v>
      </c>
      <c r="C1454" s="6" t="str">
        <f>IFERROR(__xludf.DUMMYFUNCTION("""COMPUTED_VALUE"""),"CALÚNIA - DIFAMAÇÃO - INJÚRIA")</f>
        <v>CALÚNIA - DIFAMAÇÃO - INJÚRIA</v>
      </c>
      <c r="D1454" s="6">
        <f>IFERROR(__xludf.DUMMYFUNCTION("""COMPUTED_VALUE"""),187.0)</f>
        <v>187</v>
      </c>
      <c r="E1454" s="6">
        <f>IFERROR(__xludf.DUMMYFUNCTION("""COMPUTED_VALUE"""),159.0)</f>
        <v>159</v>
      </c>
      <c r="F1454" s="6">
        <f>IFERROR(__xludf.DUMMYFUNCTION("""COMPUTED_VALUE"""),694.0)</f>
        <v>694</v>
      </c>
      <c r="G1454" s="6">
        <f>IFERROR(__xludf.DUMMYFUNCTION("""COMPUTED_VALUE"""),1040.0)</f>
        <v>1040</v>
      </c>
    </row>
    <row r="1455">
      <c r="A1455" s="6">
        <f>IFERROR(__xludf.DUMMYFUNCTION("""COMPUTED_VALUE"""),2020.0)</f>
        <v>2020</v>
      </c>
      <c r="B1455" s="6" t="str">
        <f>IFERROR(__xludf.DUMMYFUNCTION("""COMPUTED_VALUE"""),"Janeiro")</f>
        <v>Janeiro</v>
      </c>
      <c r="C1455" s="6" t="str">
        <f>IFERROR(__xludf.DUMMYFUNCTION("""COMPUTED_VALUE"""),"CONSTRANGIMENTO ILEGAL")</f>
        <v>CONSTRANGIMENTO ILEGAL</v>
      </c>
      <c r="D1455" s="6">
        <f>IFERROR(__xludf.DUMMYFUNCTION("""COMPUTED_VALUE"""),1.0)</f>
        <v>1</v>
      </c>
      <c r="E1455" s="6">
        <f>IFERROR(__xludf.DUMMYFUNCTION("""COMPUTED_VALUE"""),0.0)</f>
        <v>0</v>
      </c>
      <c r="F1455" s="6">
        <f>IFERROR(__xludf.DUMMYFUNCTION("""COMPUTED_VALUE"""),6.0)</f>
        <v>6</v>
      </c>
      <c r="G1455" s="6">
        <f>IFERROR(__xludf.DUMMYFUNCTION("""COMPUTED_VALUE"""),7.0)</f>
        <v>7</v>
      </c>
    </row>
    <row r="1456">
      <c r="A1456" s="6">
        <f>IFERROR(__xludf.DUMMYFUNCTION("""COMPUTED_VALUE"""),2020.0)</f>
        <v>2020</v>
      </c>
      <c r="B1456" s="6" t="str">
        <f>IFERROR(__xludf.DUMMYFUNCTION("""COMPUTED_VALUE"""),"Janeiro")</f>
        <v>Janeiro</v>
      </c>
      <c r="C1456" s="6" t="str">
        <f>IFERROR(__xludf.DUMMYFUNCTION("""COMPUTED_VALUE"""),"AMEAÇA")</f>
        <v>AMEAÇA</v>
      </c>
      <c r="D1456" s="6">
        <f>IFERROR(__xludf.DUMMYFUNCTION("""COMPUTED_VALUE"""),872.0)</f>
        <v>872</v>
      </c>
      <c r="E1456" s="6">
        <f>IFERROR(__xludf.DUMMYFUNCTION("""COMPUTED_VALUE"""),804.0)</f>
        <v>804</v>
      </c>
      <c r="F1456" s="6">
        <f>IFERROR(__xludf.DUMMYFUNCTION("""COMPUTED_VALUE"""),2984.0)</f>
        <v>2984</v>
      </c>
      <c r="G1456" s="6">
        <f>IFERROR(__xludf.DUMMYFUNCTION("""COMPUTED_VALUE"""),4660.0)</f>
        <v>4660</v>
      </c>
    </row>
    <row r="1457">
      <c r="A1457" s="6">
        <f>IFERROR(__xludf.DUMMYFUNCTION("""COMPUTED_VALUE"""),2020.0)</f>
        <v>2020</v>
      </c>
      <c r="B1457" s="6" t="str">
        <f>IFERROR(__xludf.DUMMYFUNCTION("""COMPUTED_VALUE"""),"Janeiro")</f>
        <v>Janeiro</v>
      </c>
      <c r="C1457" s="6" t="str">
        <f>IFERROR(__xludf.DUMMYFUNCTION("""COMPUTED_VALUE"""),"INVASÃO DE DOMICÍLIO")</f>
        <v>INVASÃO DE DOMICÍLIO</v>
      </c>
      <c r="D1457" s="6">
        <f>IFERROR(__xludf.DUMMYFUNCTION("""COMPUTED_VALUE"""),1.0)</f>
        <v>1</v>
      </c>
      <c r="E1457" s="6">
        <f>IFERROR(__xludf.DUMMYFUNCTION("""COMPUTED_VALUE"""),2.0)</f>
        <v>2</v>
      </c>
      <c r="F1457" s="6">
        <f>IFERROR(__xludf.DUMMYFUNCTION("""COMPUTED_VALUE"""),13.0)</f>
        <v>13</v>
      </c>
      <c r="G1457" s="6">
        <f>IFERROR(__xludf.DUMMYFUNCTION("""COMPUTED_VALUE"""),16.0)</f>
        <v>16</v>
      </c>
    </row>
    <row r="1458">
      <c r="A1458" s="6">
        <f>IFERROR(__xludf.DUMMYFUNCTION("""COMPUTED_VALUE"""),2020.0)</f>
        <v>2020</v>
      </c>
      <c r="B1458" s="6" t="str">
        <f>IFERROR(__xludf.DUMMYFUNCTION("""COMPUTED_VALUE"""),"Janeiro")</f>
        <v>Janeiro</v>
      </c>
      <c r="C1458" s="6" t="str">
        <f>IFERROR(__xludf.DUMMYFUNCTION("""COMPUTED_VALUE"""),"DANO")</f>
        <v>DANO</v>
      </c>
      <c r="D1458" s="6">
        <f>IFERROR(__xludf.DUMMYFUNCTION("""COMPUTED_VALUE"""),11.0)</f>
        <v>11</v>
      </c>
      <c r="E1458" s="6">
        <f>IFERROR(__xludf.DUMMYFUNCTION("""COMPUTED_VALUE"""),10.0)</f>
        <v>10</v>
      </c>
      <c r="F1458" s="6">
        <f>IFERROR(__xludf.DUMMYFUNCTION("""COMPUTED_VALUE"""),54.0)</f>
        <v>54</v>
      </c>
      <c r="G1458" s="6">
        <f>IFERROR(__xludf.DUMMYFUNCTION("""COMPUTED_VALUE"""),75.0)</f>
        <v>75</v>
      </c>
    </row>
    <row r="1459">
      <c r="A1459" s="6">
        <f>IFERROR(__xludf.DUMMYFUNCTION("""COMPUTED_VALUE"""),2020.0)</f>
        <v>2020</v>
      </c>
      <c r="B1459" s="6" t="str">
        <f>IFERROR(__xludf.DUMMYFUNCTION("""COMPUTED_VALUE"""),"Janeiro")</f>
        <v>Janeiro</v>
      </c>
      <c r="C1459" s="6" t="str">
        <f>IFERROR(__xludf.DUMMYFUNCTION("""COMPUTED_VALUE"""),"ESTUPRO CONSUMADO")</f>
        <v>ESTUPRO CONSUMADO</v>
      </c>
      <c r="D1459" s="6">
        <f>IFERROR(__xludf.DUMMYFUNCTION("""COMPUTED_VALUE"""),10.0)</f>
        <v>10</v>
      </c>
      <c r="E1459" s="6">
        <f>IFERROR(__xludf.DUMMYFUNCTION("""COMPUTED_VALUE"""),7.0)</f>
        <v>7</v>
      </c>
      <c r="F1459" s="6">
        <f>IFERROR(__xludf.DUMMYFUNCTION("""COMPUTED_VALUE"""),17.0)</f>
        <v>17</v>
      </c>
      <c r="G1459" s="6">
        <f>IFERROR(__xludf.DUMMYFUNCTION("""COMPUTED_VALUE"""),34.0)</f>
        <v>34</v>
      </c>
    </row>
    <row r="1460">
      <c r="A1460" s="6">
        <f>IFERROR(__xludf.DUMMYFUNCTION("""COMPUTED_VALUE"""),2020.0)</f>
        <v>2020</v>
      </c>
      <c r="B1460" s="6" t="str">
        <f>IFERROR(__xludf.DUMMYFUNCTION("""COMPUTED_VALUE"""),"Janeiro")</f>
        <v>Janeiro</v>
      </c>
      <c r="C1460" s="6" t="str">
        <f>IFERROR(__xludf.DUMMYFUNCTION("""COMPUTED_VALUE"""),"ESTUPRO TENTADO")</f>
        <v>ESTUPRO TENTADO</v>
      </c>
      <c r="D1460" s="6">
        <f>IFERROR(__xludf.DUMMYFUNCTION("""COMPUTED_VALUE"""),0.0)</f>
        <v>0</v>
      </c>
      <c r="E1460" s="6">
        <f>IFERROR(__xludf.DUMMYFUNCTION("""COMPUTED_VALUE"""),0.0)</f>
        <v>0</v>
      </c>
      <c r="F1460" s="6">
        <f>IFERROR(__xludf.DUMMYFUNCTION("""COMPUTED_VALUE"""),1.0)</f>
        <v>1</v>
      </c>
      <c r="G1460" s="6">
        <f>IFERROR(__xludf.DUMMYFUNCTION("""COMPUTED_VALUE"""),1.0)</f>
        <v>1</v>
      </c>
    </row>
    <row r="1461">
      <c r="A1461" s="6">
        <f>IFERROR(__xludf.DUMMYFUNCTION("""COMPUTED_VALUE"""),2020.0)</f>
        <v>2020</v>
      </c>
      <c r="B1461" s="6" t="str">
        <f>IFERROR(__xludf.DUMMYFUNCTION("""COMPUTED_VALUE"""),"Janeiro")</f>
        <v>Janeiro</v>
      </c>
      <c r="C1461" s="6" t="str">
        <f>IFERROR(__xludf.DUMMYFUNCTION("""COMPUTED_VALUE"""),"ESTUPRO DE VULNERÁVEL CONSUMADO")</f>
        <v>ESTUPRO DE VULNERÁVEL CONSUMADO</v>
      </c>
      <c r="D1461" s="6">
        <f>IFERROR(__xludf.DUMMYFUNCTION("""COMPUTED_VALUE"""),3.0)</f>
        <v>3</v>
      </c>
      <c r="E1461" s="6">
        <f>IFERROR(__xludf.DUMMYFUNCTION("""COMPUTED_VALUE"""),4.0)</f>
        <v>4</v>
      </c>
      <c r="F1461" s="6">
        <f>IFERROR(__xludf.DUMMYFUNCTION("""COMPUTED_VALUE"""),17.0)</f>
        <v>17</v>
      </c>
      <c r="G1461" s="6">
        <f>IFERROR(__xludf.DUMMYFUNCTION("""COMPUTED_VALUE"""),24.0)</f>
        <v>24</v>
      </c>
    </row>
    <row r="1462">
      <c r="A1462" s="6">
        <f>IFERROR(__xludf.DUMMYFUNCTION("""COMPUTED_VALUE"""),2020.0)</f>
        <v>2020</v>
      </c>
      <c r="B1462" s="6" t="str">
        <f>IFERROR(__xludf.DUMMYFUNCTION("""COMPUTED_VALUE"""),"Janeiro")</f>
        <v>Janeiro</v>
      </c>
      <c r="C1462" s="6" t="str">
        <f>IFERROR(__xludf.DUMMYFUNCTION("""COMPUTED_VALUE"""),"OUTROS C/C/ DIGNIDADE SEXUAL")</f>
        <v>OUTROS C/C/ DIGNIDADE SEXUAL</v>
      </c>
      <c r="D1462" s="6">
        <f>IFERROR(__xludf.DUMMYFUNCTION("""COMPUTED_VALUE"""),0.0)</f>
        <v>0</v>
      </c>
      <c r="E1462" s="6">
        <f>IFERROR(__xludf.DUMMYFUNCTION("""COMPUTED_VALUE"""),0.0)</f>
        <v>0</v>
      </c>
      <c r="F1462" s="6">
        <f>IFERROR(__xludf.DUMMYFUNCTION("""COMPUTED_VALUE"""),2.0)</f>
        <v>2</v>
      </c>
      <c r="G1462" s="6">
        <f>IFERROR(__xludf.DUMMYFUNCTION("""COMPUTED_VALUE"""),2.0)</f>
        <v>2</v>
      </c>
    </row>
    <row r="1463">
      <c r="A1463" s="6">
        <f>IFERROR(__xludf.DUMMYFUNCTION("""COMPUTED_VALUE"""),2020.0)</f>
        <v>2020</v>
      </c>
      <c r="B1463" s="6" t="str">
        <f>IFERROR(__xludf.DUMMYFUNCTION("""COMPUTED_VALUE"""),"Fevereiro")</f>
        <v>Fevereiro</v>
      </c>
      <c r="C1463" s="6" t="str">
        <f>IFERROR(__xludf.DUMMYFUNCTION("""COMPUTED_VALUE"""),"HOMICÍDIO DOLOSO (exclui FEMINICÍDIO)")</f>
        <v>HOMICÍDIO DOLOSO (exclui FEMINICÍDIO)</v>
      </c>
      <c r="D1463" s="6">
        <f>IFERROR(__xludf.DUMMYFUNCTION("""COMPUTED_VALUE"""),1.0)</f>
        <v>1</v>
      </c>
      <c r="E1463" s="6">
        <f>IFERROR(__xludf.DUMMYFUNCTION("""COMPUTED_VALUE"""),0.0)</f>
        <v>0</v>
      </c>
      <c r="F1463" s="6">
        <f>IFERROR(__xludf.DUMMYFUNCTION("""COMPUTED_VALUE"""),2.0)</f>
        <v>2</v>
      </c>
      <c r="G1463" s="6">
        <f>IFERROR(__xludf.DUMMYFUNCTION("""COMPUTED_VALUE"""),3.0)</f>
        <v>3</v>
      </c>
    </row>
    <row r="1464">
      <c r="A1464" s="6">
        <f>IFERROR(__xludf.DUMMYFUNCTION("""COMPUTED_VALUE"""),2020.0)</f>
        <v>2020</v>
      </c>
      <c r="B1464" s="6" t="str">
        <f>IFERROR(__xludf.DUMMYFUNCTION("""COMPUTED_VALUE"""),"Fevereiro")</f>
        <v>Fevereiro</v>
      </c>
      <c r="C1464" s="6" t="str">
        <f>IFERROR(__xludf.DUMMYFUNCTION("""COMPUTED_VALUE"""),"FEMINICÍDIO")</f>
        <v>FEMINICÍDIO</v>
      </c>
      <c r="D1464" s="6">
        <f>IFERROR(__xludf.DUMMYFUNCTION("""COMPUTED_VALUE"""),3.0)</f>
        <v>3</v>
      </c>
      <c r="E1464" s="6">
        <f>IFERROR(__xludf.DUMMYFUNCTION("""COMPUTED_VALUE"""),3.0)</f>
        <v>3</v>
      </c>
      <c r="F1464" s="6">
        <f>IFERROR(__xludf.DUMMYFUNCTION("""COMPUTED_VALUE"""),6.0)</f>
        <v>6</v>
      </c>
      <c r="G1464" s="6">
        <f>IFERROR(__xludf.DUMMYFUNCTION("""COMPUTED_VALUE"""),12.0)</f>
        <v>12</v>
      </c>
    </row>
    <row r="1465">
      <c r="A1465" s="6">
        <f>IFERROR(__xludf.DUMMYFUNCTION("""COMPUTED_VALUE"""),2020.0)</f>
        <v>2020</v>
      </c>
      <c r="B1465" s="6" t="str">
        <f>IFERROR(__xludf.DUMMYFUNCTION("""COMPUTED_VALUE"""),"Fevereiro")</f>
        <v>Fevereiro</v>
      </c>
      <c r="C1465" s="6" t="str">
        <f>IFERROR(__xludf.DUMMYFUNCTION("""COMPUTED_VALUE"""),"HOMICÍDIO CULPOSO")</f>
        <v>HOMICÍDIO CULPOSO</v>
      </c>
      <c r="D1465" s="6">
        <f>IFERROR(__xludf.DUMMYFUNCTION("""COMPUTED_VALUE"""),0.0)</f>
        <v>0</v>
      </c>
      <c r="E1465" s="6">
        <f>IFERROR(__xludf.DUMMYFUNCTION("""COMPUTED_VALUE"""),0.0)</f>
        <v>0</v>
      </c>
      <c r="F1465" s="6">
        <f>IFERROR(__xludf.DUMMYFUNCTION("""COMPUTED_VALUE"""),0.0)</f>
        <v>0</v>
      </c>
      <c r="G1465" s="6">
        <f>IFERROR(__xludf.DUMMYFUNCTION("""COMPUTED_VALUE"""),0.0)</f>
        <v>0</v>
      </c>
    </row>
    <row r="1466">
      <c r="A1466" s="6">
        <f>IFERROR(__xludf.DUMMYFUNCTION("""COMPUTED_VALUE"""),2020.0)</f>
        <v>2020</v>
      </c>
      <c r="B1466" s="6" t="str">
        <f>IFERROR(__xludf.DUMMYFUNCTION("""COMPUTED_VALUE"""),"Fevereiro")</f>
        <v>Fevereiro</v>
      </c>
      <c r="C1466" s="6" t="str">
        <f>IFERROR(__xludf.DUMMYFUNCTION("""COMPUTED_VALUE"""),"TENTATIVA DE HOMICÍDIO")</f>
        <v>TENTATIVA DE HOMICÍDIO</v>
      </c>
      <c r="D1466" s="6">
        <f>IFERROR(__xludf.DUMMYFUNCTION("""COMPUTED_VALUE"""),1.0)</f>
        <v>1</v>
      </c>
      <c r="E1466" s="6">
        <f>IFERROR(__xludf.DUMMYFUNCTION("""COMPUTED_VALUE"""),1.0)</f>
        <v>1</v>
      </c>
      <c r="F1466" s="6">
        <f>IFERROR(__xludf.DUMMYFUNCTION("""COMPUTED_VALUE"""),11.0)</f>
        <v>11</v>
      </c>
      <c r="G1466" s="6">
        <f>IFERROR(__xludf.DUMMYFUNCTION("""COMPUTED_VALUE"""),13.0)</f>
        <v>13</v>
      </c>
    </row>
    <row r="1467">
      <c r="A1467" s="6">
        <f>IFERROR(__xludf.DUMMYFUNCTION("""COMPUTED_VALUE"""),2020.0)</f>
        <v>2020</v>
      </c>
      <c r="B1467" s="6" t="str">
        <f>IFERROR(__xludf.DUMMYFUNCTION("""COMPUTED_VALUE"""),"Fevereiro")</f>
        <v>Fevereiro</v>
      </c>
      <c r="C1467" s="6" t="str">
        <f>IFERROR(__xludf.DUMMYFUNCTION("""COMPUTED_VALUE"""),"LESÃO CORPORAL DOLOSA")</f>
        <v>LESÃO CORPORAL DOLOSA</v>
      </c>
      <c r="D1467" s="6">
        <f>IFERROR(__xludf.DUMMYFUNCTION("""COMPUTED_VALUE"""),912.0)</f>
        <v>912</v>
      </c>
      <c r="E1467" s="6">
        <f>IFERROR(__xludf.DUMMYFUNCTION("""COMPUTED_VALUE"""),784.0)</f>
        <v>784</v>
      </c>
      <c r="F1467" s="6">
        <f>IFERROR(__xludf.DUMMYFUNCTION("""COMPUTED_VALUE"""),2814.0)</f>
        <v>2814</v>
      </c>
      <c r="G1467" s="6">
        <f>IFERROR(__xludf.DUMMYFUNCTION("""COMPUTED_VALUE"""),4510.0)</f>
        <v>4510</v>
      </c>
    </row>
    <row r="1468">
      <c r="A1468" s="6">
        <f>IFERROR(__xludf.DUMMYFUNCTION("""COMPUTED_VALUE"""),2020.0)</f>
        <v>2020</v>
      </c>
      <c r="B1468" s="6" t="str">
        <f>IFERROR(__xludf.DUMMYFUNCTION("""COMPUTED_VALUE"""),"Fevereiro")</f>
        <v>Fevereiro</v>
      </c>
      <c r="C1468" s="6" t="str">
        <f>IFERROR(__xludf.DUMMYFUNCTION("""COMPUTED_VALUE"""),"MAUS TRATOS")</f>
        <v>MAUS TRATOS</v>
      </c>
      <c r="D1468" s="6">
        <f>IFERROR(__xludf.DUMMYFUNCTION("""COMPUTED_VALUE"""),2.0)</f>
        <v>2</v>
      </c>
      <c r="E1468" s="6">
        <f>IFERROR(__xludf.DUMMYFUNCTION("""COMPUTED_VALUE"""),2.0)</f>
        <v>2</v>
      </c>
      <c r="F1468" s="6">
        <f>IFERROR(__xludf.DUMMYFUNCTION("""COMPUTED_VALUE"""),14.0)</f>
        <v>14</v>
      </c>
      <c r="G1468" s="6">
        <f>IFERROR(__xludf.DUMMYFUNCTION("""COMPUTED_VALUE"""),18.0)</f>
        <v>18</v>
      </c>
    </row>
    <row r="1469">
      <c r="A1469" s="6">
        <f>IFERROR(__xludf.DUMMYFUNCTION("""COMPUTED_VALUE"""),2020.0)</f>
        <v>2020</v>
      </c>
      <c r="B1469" s="6" t="str">
        <f>IFERROR(__xludf.DUMMYFUNCTION("""COMPUTED_VALUE"""),"Fevereiro")</f>
        <v>Fevereiro</v>
      </c>
      <c r="C1469" s="6" t="str">
        <f>IFERROR(__xludf.DUMMYFUNCTION("""COMPUTED_VALUE"""),"CALÚNIA - DIFAMAÇÃO - INJÚRIA")</f>
        <v>CALÚNIA - DIFAMAÇÃO - INJÚRIA</v>
      </c>
      <c r="D1469" s="6">
        <f>IFERROR(__xludf.DUMMYFUNCTION("""COMPUTED_VALUE"""),178.0)</f>
        <v>178</v>
      </c>
      <c r="E1469" s="6">
        <f>IFERROR(__xludf.DUMMYFUNCTION("""COMPUTED_VALUE"""),151.0)</f>
        <v>151</v>
      </c>
      <c r="F1469" s="6">
        <f>IFERROR(__xludf.DUMMYFUNCTION("""COMPUTED_VALUE"""),654.0)</f>
        <v>654</v>
      </c>
      <c r="G1469" s="6">
        <f>IFERROR(__xludf.DUMMYFUNCTION("""COMPUTED_VALUE"""),983.0)</f>
        <v>983</v>
      </c>
    </row>
    <row r="1470">
      <c r="A1470" s="6">
        <f>IFERROR(__xludf.DUMMYFUNCTION("""COMPUTED_VALUE"""),2020.0)</f>
        <v>2020</v>
      </c>
      <c r="B1470" s="6" t="str">
        <f>IFERROR(__xludf.DUMMYFUNCTION("""COMPUTED_VALUE"""),"Fevereiro")</f>
        <v>Fevereiro</v>
      </c>
      <c r="C1470" s="6" t="str">
        <f>IFERROR(__xludf.DUMMYFUNCTION("""COMPUTED_VALUE"""),"CONSTRANGIMENTO ILEGAL")</f>
        <v>CONSTRANGIMENTO ILEGAL</v>
      </c>
      <c r="D1470" s="6">
        <f>IFERROR(__xludf.DUMMYFUNCTION("""COMPUTED_VALUE"""),1.0)</f>
        <v>1</v>
      </c>
      <c r="E1470" s="6">
        <f>IFERROR(__xludf.DUMMYFUNCTION("""COMPUTED_VALUE"""),0.0)</f>
        <v>0</v>
      </c>
      <c r="F1470" s="6">
        <f>IFERROR(__xludf.DUMMYFUNCTION("""COMPUTED_VALUE"""),5.0)</f>
        <v>5</v>
      </c>
      <c r="G1470" s="6">
        <f>IFERROR(__xludf.DUMMYFUNCTION("""COMPUTED_VALUE"""),6.0)</f>
        <v>6</v>
      </c>
    </row>
    <row r="1471">
      <c r="A1471" s="6">
        <f>IFERROR(__xludf.DUMMYFUNCTION("""COMPUTED_VALUE"""),2020.0)</f>
        <v>2020</v>
      </c>
      <c r="B1471" s="6" t="str">
        <f>IFERROR(__xludf.DUMMYFUNCTION("""COMPUTED_VALUE"""),"Fevereiro")</f>
        <v>Fevereiro</v>
      </c>
      <c r="C1471" s="6" t="str">
        <f>IFERROR(__xludf.DUMMYFUNCTION("""COMPUTED_VALUE"""),"AMEAÇA")</f>
        <v>AMEAÇA</v>
      </c>
      <c r="D1471" s="6">
        <f>IFERROR(__xludf.DUMMYFUNCTION("""COMPUTED_VALUE"""),842.0)</f>
        <v>842</v>
      </c>
      <c r="E1471" s="6">
        <f>IFERROR(__xludf.DUMMYFUNCTION("""COMPUTED_VALUE"""),771.0)</f>
        <v>771</v>
      </c>
      <c r="F1471" s="6">
        <f>IFERROR(__xludf.DUMMYFUNCTION("""COMPUTED_VALUE"""),2884.0)</f>
        <v>2884</v>
      </c>
      <c r="G1471" s="6">
        <f>IFERROR(__xludf.DUMMYFUNCTION("""COMPUTED_VALUE"""),4497.0)</f>
        <v>4497</v>
      </c>
    </row>
    <row r="1472">
      <c r="A1472" s="6">
        <f>IFERROR(__xludf.DUMMYFUNCTION("""COMPUTED_VALUE"""),2020.0)</f>
        <v>2020</v>
      </c>
      <c r="B1472" s="6" t="str">
        <f>IFERROR(__xludf.DUMMYFUNCTION("""COMPUTED_VALUE"""),"Fevereiro")</f>
        <v>Fevereiro</v>
      </c>
      <c r="C1472" s="6" t="str">
        <f>IFERROR(__xludf.DUMMYFUNCTION("""COMPUTED_VALUE"""),"INVASÃO DE DOMICÍLIO")</f>
        <v>INVASÃO DE DOMICÍLIO</v>
      </c>
      <c r="D1472" s="6">
        <f>IFERROR(__xludf.DUMMYFUNCTION("""COMPUTED_VALUE"""),1.0)</f>
        <v>1</v>
      </c>
      <c r="E1472" s="6">
        <f>IFERROR(__xludf.DUMMYFUNCTION("""COMPUTED_VALUE"""),1.0)</f>
        <v>1</v>
      </c>
      <c r="F1472" s="6">
        <f>IFERROR(__xludf.DUMMYFUNCTION("""COMPUTED_VALUE"""),11.0)</f>
        <v>11</v>
      </c>
      <c r="G1472" s="6">
        <f>IFERROR(__xludf.DUMMYFUNCTION("""COMPUTED_VALUE"""),13.0)</f>
        <v>13</v>
      </c>
    </row>
    <row r="1473">
      <c r="A1473" s="6">
        <f>IFERROR(__xludf.DUMMYFUNCTION("""COMPUTED_VALUE"""),2020.0)</f>
        <v>2020</v>
      </c>
      <c r="B1473" s="6" t="str">
        <f>IFERROR(__xludf.DUMMYFUNCTION("""COMPUTED_VALUE"""),"Fevereiro")</f>
        <v>Fevereiro</v>
      </c>
      <c r="C1473" s="6" t="str">
        <f>IFERROR(__xludf.DUMMYFUNCTION("""COMPUTED_VALUE"""),"DANO")</f>
        <v>DANO</v>
      </c>
      <c r="D1473" s="6">
        <f>IFERROR(__xludf.DUMMYFUNCTION("""COMPUTED_VALUE"""),9.0)</f>
        <v>9</v>
      </c>
      <c r="E1473" s="6">
        <f>IFERROR(__xludf.DUMMYFUNCTION("""COMPUTED_VALUE"""),9.0)</f>
        <v>9</v>
      </c>
      <c r="F1473" s="6">
        <f>IFERROR(__xludf.DUMMYFUNCTION("""COMPUTED_VALUE"""),51.0)</f>
        <v>51</v>
      </c>
      <c r="G1473" s="6">
        <f>IFERROR(__xludf.DUMMYFUNCTION("""COMPUTED_VALUE"""),69.0)</f>
        <v>69</v>
      </c>
    </row>
    <row r="1474">
      <c r="A1474" s="6">
        <f>IFERROR(__xludf.DUMMYFUNCTION("""COMPUTED_VALUE"""),2020.0)</f>
        <v>2020</v>
      </c>
      <c r="B1474" s="6" t="str">
        <f>IFERROR(__xludf.DUMMYFUNCTION("""COMPUTED_VALUE"""),"Fevereiro")</f>
        <v>Fevereiro</v>
      </c>
      <c r="C1474" s="6" t="str">
        <f>IFERROR(__xludf.DUMMYFUNCTION("""COMPUTED_VALUE"""),"ESTUPRO CONSUMADO")</f>
        <v>ESTUPRO CONSUMADO</v>
      </c>
      <c r="D1474" s="6">
        <f>IFERROR(__xludf.DUMMYFUNCTION("""COMPUTED_VALUE"""),9.0)</f>
        <v>9</v>
      </c>
      <c r="E1474" s="6">
        <f>IFERROR(__xludf.DUMMYFUNCTION("""COMPUTED_VALUE"""),6.0)</f>
        <v>6</v>
      </c>
      <c r="F1474" s="6">
        <f>IFERROR(__xludf.DUMMYFUNCTION("""COMPUTED_VALUE"""),16.0)</f>
        <v>16</v>
      </c>
      <c r="G1474" s="6">
        <f>IFERROR(__xludf.DUMMYFUNCTION("""COMPUTED_VALUE"""),31.0)</f>
        <v>31</v>
      </c>
    </row>
    <row r="1475">
      <c r="A1475" s="6">
        <f>IFERROR(__xludf.DUMMYFUNCTION("""COMPUTED_VALUE"""),2020.0)</f>
        <v>2020</v>
      </c>
      <c r="B1475" s="6" t="str">
        <f>IFERROR(__xludf.DUMMYFUNCTION("""COMPUTED_VALUE"""),"Fevereiro")</f>
        <v>Fevereiro</v>
      </c>
      <c r="C1475" s="6" t="str">
        <f>IFERROR(__xludf.DUMMYFUNCTION("""COMPUTED_VALUE"""),"ESTUPRO TENTADO")</f>
        <v>ESTUPRO TENTADO</v>
      </c>
      <c r="D1475" s="6">
        <f>IFERROR(__xludf.DUMMYFUNCTION("""COMPUTED_VALUE"""),0.0)</f>
        <v>0</v>
      </c>
      <c r="E1475" s="6">
        <f>IFERROR(__xludf.DUMMYFUNCTION("""COMPUTED_VALUE"""),0.0)</f>
        <v>0</v>
      </c>
      <c r="F1475" s="6">
        <f>IFERROR(__xludf.DUMMYFUNCTION("""COMPUTED_VALUE"""),1.0)</f>
        <v>1</v>
      </c>
      <c r="G1475" s="6">
        <f>IFERROR(__xludf.DUMMYFUNCTION("""COMPUTED_VALUE"""),1.0)</f>
        <v>1</v>
      </c>
    </row>
    <row r="1476">
      <c r="A1476" s="6">
        <f>IFERROR(__xludf.DUMMYFUNCTION("""COMPUTED_VALUE"""),2020.0)</f>
        <v>2020</v>
      </c>
      <c r="B1476" s="6" t="str">
        <f>IFERROR(__xludf.DUMMYFUNCTION("""COMPUTED_VALUE"""),"Fevereiro")</f>
        <v>Fevereiro</v>
      </c>
      <c r="C1476" s="6" t="str">
        <f>IFERROR(__xludf.DUMMYFUNCTION("""COMPUTED_VALUE"""),"ESTUPRO DE VULNERÁVEL CONSUMADO")</f>
        <v>ESTUPRO DE VULNERÁVEL CONSUMADO</v>
      </c>
      <c r="D1476" s="6">
        <f>IFERROR(__xludf.DUMMYFUNCTION("""COMPUTED_VALUE"""),2.0)</f>
        <v>2</v>
      </c>
      <c r="E1476" s="6">
        <f>IFERROR(__xludf.DUMMYFUNCTION("""COMPUTED_VALUE"""),3.0)</f>
        <v>3</v>
      </c>
      <c r="F1476" s="6">
        <f>IFERROR(__xludf.DUMMYFUNCTION("""COMPUTED_VALUE"""),15.0)</f>
        <v>15</v>
      </c>
      <c r="G1476" s="6">
        <f>IFERROR(__xludf.DUMMYFUNCTION("""COMPUTED_VALUE"""),20.0)</f>
        <v>20</v>
      </c>
    </row>
    <row r="1477">
      <c r="A1477" s="6">
        <f>IFERROR(__xludf.DUMMYFUNCTION("""COMPUTED_VALUE"""),2020.0)</f>
        <v>2020</v>
      </c>
      <c r="B1477" s="6" t="str">
        <f>IFERROR(__xludf.DUMMYFUNCTION("""COMPUTED_VALUE"""),"Fevereiro")</f>
        <v>Fevereiro</v>
      </c>
      <c r="C1477" s="6" t="str">
        <f>IFERROR(__xludf.DUMMYFUNCTION("""COMPUTED_VALUE"""),"OUTROS C/C/ DIGNIDADE SEXUAL")</f>
        <v>OUTROS C/C/ DIGNIDADE SEXUAL</v>
      </c>
      <c r="D1477" s="6">
        <f>IFERROR(__xludf.DUMMYFUNCTION("""COMPUTED_VALUE"""),0.0)</f>
        <v>0</v>
      </c>
      <c r="E1477" s="6">
        <f>IFERROR(__xludf.DUMMYFUNCTION("""COMPUTED_VALUE"""),0.0)</f>
        <v>0</v>
      </c>
      <c r="F1477" s="6">
        <f>IFERROR(__xludf.DUMMYFUNCTION("""COMPUTED_VALUE"""),1.0)</f>
        <v>1</v>
      </c>
      <c r="G1477" s="6">
        <f>IFERROR(__xludf.DUMMYFUNCTION("""COMPUTED_VALUE"""),1.0)</f>
        <v>1</v>
      </c>
    </row>
    <row r="1478">
      <c r="A1478" s="6">
        <f>IFERROR(__xludf.DUMMYFUNCTION("""COMPUTED_VALUE"""),2020.0)</f>
        <v>2020</v>
      </c>
      <c r="B1478" s="6" t="str">
        <f>IFERROR(__xludf.DUMMYFUNCTION("""COMPUTED_VALUE"""),"Março")</f>
        <v>Março</v>
      </c>
      <c r="C1478" s="6" t="str">
        <f>IFERROR(__xludf.DUMMYFUNCTION("""COMPUTED_VALUE"""),"HOMICÍDIO DOLOSO (exclui FEMINICÍDIO)")</f>
        <v>HOMICÍDIO DOLOSO (exclui FEMINICÍDIO)</v>
      </c>
      <c r="D1478" s="6">
        <f>IFERROR(__xludf.DUMMYFUNCTION("""COMPUTED_VALUE"""),2.0)</f>
        <v>2</v>
      </c>
      <c r="E1478" s="6">
        <f>IFERROR(__xludf.DUMMYFUNCTION("""COMPUTED_VALUE"""),1.0)</f>
        <v>1</v>
      </c>
      <c r="F1478" s="6">
        <f>IFERROR(__xludf.DUMMYFUNCTION("""COMPUTED_VALUE"""),3.0)</f>
        <v>3</v>
      </c>
      <c r="G1478" s="6">
        <f>IFERROR(__xludf.DUMMYFUNCTION("""COMPUTED_VALUE"""),6.0)</f>
        <v>6</v>
      </c>
    </row>
    <row r="1479">
      <c r="A1479" s="6">
        <f>IFERROR(__xludf.DUMMYFUNCTION("""COMPUTED_VALUE"""),2020.0)</f>
        <v>2020</v>
      </c>
      <c r="B1479" s="6" t="str">
        <f>IFERROR(__xludf.DUMMYFUNCTION("""COMPUTED_VALUE"""),"Março")</f>
        <v>Março</v>
      </c>
      <c r="C1479" s="6" t="str">
        <f>IFERROR(__xludf.DUMMYFUNCTION("""COMPUTED_VALUE"""),"FEMINICÍDIO")</f>
        <v>FEMINICÍDIO</v>
      </c>
      <c r="D1479" s="6">
        <f>IFERROR(__xludf.DUMMYFUNCTION("""COMPUTED_VALUE"""),4.0)</f>
        <v>4</v>
      </c>
      <c r="E1479" s="6">
        <f>IFERROR(__xludf.DUMMYFUNCTION("""COMPUTED_VALUE"""),4.0)</f>
        <v>4</v>
      </c>
      <c r="F1479" s="6">
        <f>IFERROR(__xludf.DUMMYFUNCTION("""COMPUTED_VALUE"""),9.0)</f>
        <v>9</v>
      </c>
      <c r="G1479" s="6">
        <f>IFERROR(__xludf.DUMMYFUNCTION("""COMPUTED_VALUE"""),17.0)</f>
        <v>17</v>
      </c>
    </row>
    <row r="1480">
      <c r="A1480" s="6">
        <f>IFERROR(__xludf.DUMMYFUNCTION("""COMPUTED_VALUE"""),2020.0)</f>
        <v>2020</v>
      </c>
      <c r="B1480" s="6" t="str">
        <f>IFERROR(__xludf.DUMMYFUNCTION("""COMPUTED_VALUE"""),"Março")</f>
        <v>Março</v>
      </c>
      <c r="C1480" s="6" t="str">
        <f>IFERROR(__xludf.DUMMYFUNCTION("""COMPUTED_VALUE"""),"HOMICÍDIO CULPOSO")</f>
        <v>HOMICÍDIO CULPOSO</v>
      </c>
      <c r="D1480" s="6">
        <f>IFERROR(__xludf.DUMMYFUNCTION("""COMPUTED_VALUE"""),0.0)</f>
        <v>0</v>
      </c>
      <c r="E1480" s="6">
        <f>IFERROR(__xludf.DUMMYFUNCTION("""COMPUTED_VALUE"""),0.0)</f>
        <v>0</v>
      </c>
      <c r="F1480" s="6">
        <f>IFERROR(__xludf.DUMMYFUNCTION("""COMPUTED_VALUE"""),0.0)</f>
        <v>0</v>
      </c>
      <c r="G1480" s="6">
        <f>IFERROR(__xludf.DUMMYFUNCTION("""COMPUTED_VALUE"""),0.0)</f>
        <v>0</v>
      </c>
    </row>
    <row r="1481">
      <c r="A1481" s="6">
        <f>IFERROR(__xludf.DUMMYFUNCTION("""COMPUTED_VALUE"""),2020.0)</f>
        <v>2020</v>
      </c>
      <c r="B1481" s="6" t="str">
        <f>IFERROR(__xludf.DUMMYFUNCTION("""COMPUTED_VALUE"""),"Março")</f>
        <v>Março</v>
      </c>
      <c r="C1481" s="6" t="str">
        <f>IFERROR(__xludf.DUMMYFUNCTION("""COMPUTED_VALUE"""),"TENTATIVA DE HOMICÍDIO")</f>
        <v>TENTATIVA DE HOMICÍDIO</v>
      </c>
      <c r="D1481" s="6">
        <f>IFERROR(__xludf.DUMMYFUNCTION("""COMPUTED_VALUE"""),3.0)</f>
        <v>3</v>
      </c>
      <c r="E1481" s="6">
        <f>IFERROR(__xludf.DUMMYFUNCTION("""COMPUTED_VALUE"""),2.0)</f>
        <v>2</v>
      </c>
      <c r="F1481" s="6">
        <f>IFERROR(__xludf.DUMMYFUNCTION("""COMPUTED_VALUE"""),14.0)</f>
        <v>14</v>
      </c>
      <c r="G1481" s="6">
        <f>IFERROR(__xludf.DUMMYFUNCTION("""COMPUTED_VALUE"""),19.0)</f>
        <v>19</v>
      </c>
    </row>
    <row r="1482">
      <c r="A1482" s="6">
        <f>IFERROR(__xludf.DUMMYFUNCTION("""COMPUTED_VALUE"""),2020.0)</f>
        <v>2020</v>
      </c>
      <c r="B1482" s="6" t="str">
        <f>IFERROR(__xludf.DUMMYFUNCTION("""COMPUTED_VALUE"""),"Março")</f>
        <v>Março</v>
      </c>
      <c r="C1482" s="6" t="str">
        <f>IFERROR(__xludf.DUMMYFUNCTION("""COMPUTED_VALUE"""),"LESÃO CORPORAL DOLOSA")</f>
        <v>LESÃO CORPORAL DOLOSA</v>
      </c>
      <c r="D1482" s="6">
        <f>IFERROR(__xludf.DUMMYFUNCTION("""COMPUTED_VALUE"""),1124.0)</f>
        <v>1124</v>
      </c>
      <c r="E1482" s="6">
        <f>IFERROR(__xludf.DUMMYFUNCTION("""COMPUTED_VALUE"""),918.0)</f>
        <v>918</v>
      </c>
      <c r="F1482" s="6">
        <f>IFERROR(__xludf.DUMMYFUNCTION("""COMPUTED_VALUE"""),3416.0)</f>
        <v>3416</v>
      </c>
      <c r="G1482" s="6">
        <f>IFERROR(__xludf.DUMMYFUNCTION("""COMPUTED_VALUE"""),5458.0)</f>
        <v>5458</v>
      </c>
    </row>
    <row r="1483">
      <c r="A1483" s="6">
        <f>IFERROR(__xludf.DUMMYFUNCTION("""COMPUTED_VALUE"""),2020.0)</f>
        <v>2020</v>
      </c>
      <c r="B1483" s="6" t="str">
        <f>IFERROR(__xludf.DUMMYFUNCTION("""COMPUTED_VALUE"""),"Março")</f>
        <v>Março</v>
      </c>
      <c r="C1483" s="6" t="str">
        <f>IFERROR(__xludf.DUMMYFUNCTION("""COMPUTED_VALUE"""),"MAUS TRATOS")</f>
        <v>MAUS TRATOS</v>
      </c>
      <c r="D1483" s="6">
        <f>IFERROR(__xludf.DUMMYFUNCTION("""COMPUTED_VALUE"""),4.0)</f>
        <v>4</v>
      </c>
      <c r="E1483" s="6">
        <f>IFERROR(__xludf.DUMMYFUNCTION("""COMPUTED_VALUE"""),2.0)</f>
        <v>2</v>
      </c>
      <c r="F1483" s="6">
        <f>IFERROR(__xludf.DUMMYFUNCTION("""COMPUTED_VALUE"""),21.0)</f>
        <v>21</v>
      </c>
      <c r="G1483" s="6">
        <f>IFERROR(__xludf.DUMMYFUNCTION("""COMPUTED_VALUE"""),27.0)</f>
        <v>27</v>
      </c>
    </row>
    <row r="1484">
      <c r="A1484" s="6">
        <f>IFERROR(__xludf.DUMMYFUNCTION("""COMPUTED_VALUE"""),2020.0)</f>
        <v>2020</v>
      </c>
      <c r="B1484" s="6" t="str">
        <f>IFERROR(__xludf.DUMMYFUNCTION("""COMPUTED_VALUE"""),"Março")</f>
        <v>Março</v>
      </c>
      <c r="C1484" s="6" t="str">
        <f>IFERROR(__xludf.DUMMYFUNCTION("""COMPUTED_VALUE"""),"CALÚNIA - DIFAMAÇÃO - INJÚRIA")</f>
        <v>CALÚNIA - DIFAMAÇÃO - INJÚRIA</v>
      </c>
      <c r="D1484" s="6">
        <f>IFERROR(__xludf.DUMMYFUNCTION("""COMPUTED_VALUE"""),212.0)</f>
        <v>212</v>
      </c>
      <c r="E1484" s="6">
        <f>IFERROR(__xludf.DUMMYFUNCTION("""COMPUTED_VALUE"""),181.0)</f>
        <v>181</v>
      </c>
      <c r="F1484" s="6">
        <f>IFERROR(__xludf.DUMMYFUNCTION("""COMPUTED_VALUE"""),792.0)</f>
        <v>792</v>
      </c>
      <c r="G1484" s="6">
        <f>IFERROR(__xludf.DUMMYFUNCTION("""COMPUTED_VALUE"""),1185.0)</f>
        <v>1185</v>
      </c>
    </row>
    <row r="1485">
      <c r="A1485" s="6">
        <f>IFERROR(__xludf.DUMMYFUNCTION("""COMPUTED_VALUE"""),2020.0)</f>
        <v>2020</v>
      </c>
      <c r="B1485" s="6" t="str">
        <f>IFERROR(__xludf.DUMMYFUNCTION("""COMPUTED_VALUE"""),"Março")</f>
        <v>Março</v>
      </c>
      <c r="C1485" s="6" t="str">
        <f>IFERROR(__xludf.DUMMYFUNCTION("""COMPUTED_VALUE"""),"CONSTRANGIMENTO ILEGAL")</f>
        <v>CONSTRANGIMENTO ILEGAL</v>
      </c>
      <c r="D1485" s="6">
        <f>IFERROR(__xludf.DUMMYFUNCTION("""COMPUTED_VALUE"""),2.0)</f>
        <v>2</v>
      </c>
      <c r="E1485" s="6">
        <f>IFERROR(__xludf.DUMMYFUNCTION("""COMPUTED_VALUE"""),1.0)</f>
        <v>1</v>
      </c>
      <c r="F1485" s="6">
        <f>IFERROR(__xludf.DUMMYFUNCTION("""COMPUTED_VALUE"""),8.0)</f>
        <v>8</v>
      </c>
      <c r="G1485" s="6">
        <f>IFERROR(__xludf.DUMMYFUNCTION("""COMPUTED_VALUE"""),11.0)</f>
        <v>11</v>
      </c>
    </row>
    <row r="1486">
      <c r="A1486" s="6">
        <f>IFERROR(__xludf.DUMMYFUNCTION("""COMPUTED_VALUE"""),2020.0)</f>
        <v>2020</v>
      </c>
      <c r="B1486" s="6" t="str">
        <f>IFERROR(__xludf.DUMMYFUNCTION("""COMPUTED_VALUE"""),"Março")</f>
        <v>Março</v>
      </c>
      <c r="C1486" s="6" t="str">
        <f>IFERROR(__xludf.DUMMYFUNCTION("""COMPUTED_VALUE"""),"AMEAÇA")</f>
        <v>AMEAÇA</v>
      </c>
      <c r="D1486" s="6">
        <f>IFERROR(__xludf.DUMMYFUNCTION("""COMPUTED_VALUE"""),1084.0)</f>
        <v>1084</v>
      </c>
      <c r="E1486" s="6">
        <f>IFERROR(__xludf.DUMMYFUNCTION("""COMPUTED_VALUE"""),942.0)</f>
        <v>942</v>
      </c>
      <c r="F1486" s="6">
        <f>IFERROR(__xludf.DUMMYFUNCTION("""COMPUTED_VALUE"""),3584.0)</f>
        <v>3584</v>
      </c>
      <c r="G1486" s="6">
        <f>IFERROR(__xludf.DUMMYFUNCTION("""COMPUTED_VALUE"""),5610.0)</f>
        <v>5610</v>
      </c>
    </row>
    <row r="1487">
      <c r="A1487" s="6">
        <f>IFERROR(__xludf.DUMMYFUNCTION("""COMPUTED_VALUE"""),2020.0)</f>
        <v>2020</v>
      </c>
      <c r="B1487" s="6" t="str">
        <f>IFERROR(__xludf.DUMMYFUNCTION("""COMPUTED_VALUE"""),"Março")</f>
        <v>Março</v>
      </c>
      <c r="C1487" s="6" t="str">
        <f>IFERROR(__xludf.DUMMYFUNCTION("""COMPUTED_VALUE"""),"INVASÃO DE DOMICÍLIO")</f>
        <v>INVASÃO DE DOMICÍLIO</v>
      </c>
      <c r="D1487" s="6">
        <f>IFERROR(__xludf.DUMMYFUNCTION("""COMPUTED_VALUE"""),2.0)</f>
        <v>2</v>
      </c>
      <c r="E1487" s="6">
        <f>IFERROR(__xludf.DUMMYFUNCTION("""COMPUTED_VALUE"""),3.0)</f>
        <v>3</v>
      </c>
      <c r="F1487" s="6">
        <f>IFERROR(__xludf.DUMMYFUNCTION("""COMPUTED_VALUE"""),15.0)</f>
        <v>15</v>
      </c>
      <c r="G1487" s="6">
        <f>IFERROR(__xludf.DUMMYFUNCTION("""COMPUTED_VALUE"""),20.0)</f>
        <v>20</v>
      </c>
    </row>
    <row r="1488">
      <c r="A1488" s="6">
        <f>IFERROR(__xludf.DUMMYFUNCTION("""COMPUTED_VALUE"""),2020.0)</f>
        <v>2020</v>
      </c>
      <c r="B1488" s="6" t="str">
        <f>IFERROR(__xludf.DUMMYFUNCTION("""COMPUTED_VALUE"""),"Março")</f>
        <v>Março</v>
      </c>
      <c r="C1488" s="6" t="str">
        <f>IFERROR(__xludf.DUMMYFUNCTION("""COMPUTED_VALUE"""),"DANO")</f>
        <v>DANO</v>
      </c>
      <c r="D1488" s="6">
        <f>IFERROR(__xludf.DUMMYFUNCTION("""COMPUTED_VALUE"""),14.0)</f>
        <v>14</v>
      </c>
      <c r="E1488" s="6">
        <f>IFERROR(__xludf.DUMMYFUNCTION("""COMPUTED_VALUE"""),12.0)</f>
        <v>12</v>
      </c>
      <c r="F1488" s="6">
        <f>IFERROR(__xludf.DUMMYFUNCTION("""COMPUTED_VALUE"""),68.0)</f>
        <v>68</v>
      </c>
      <c r="G1488" s="6">
        <f>IFERROR(__xludf.DUMMYFUNCTION("""COMPUTED_VALUE"""),94.0)</f>
        <v>94</v>
      </c>
    </row>
    <row r="1489">
      <c r="A1489" s="6">
        <f>IFERROR(__xludf.DUMMYFUNCTION("""COMPUTED_VALUE"""),2020.0)</f>
        <v>2020</v>
      </c>
      <c r="B1489" s="6" t="str">
        <f>IFERROR(__xludf.DUMMYFUNCTION("""COMPUTED_VALUE"""),"Março")</f>
        <v>Março</v>
      </c>
      <c r="C1489" s="6" t="str">
        <f>IFERROR(__xludf.DUMMYFUNCTION("""COMPUTED_VALUE"""),"ESTUPRO CONSUMADO")</f>
        <v>ESTUPRO CONSUMADO</v>
      </c>
      <c r="D1489" s="6">
        <f>IFERROR(__xludf.DUMMYFUNCTION("""COMPUTED_VALUE"""),11.0)</f>
        <v>11</v>
      </c>
      <c r="E1489" s="6">
        <f>IFERROR(__xludf.DUMMYFUNCTION("""COMPUTED_VALUE"""),8.0)</f>
        <v>8</v>
      </c>
      <c r="F1489" s="6">
        <f>IFERROR(__xludf.DUMMYFUNCTION("""COMPUTED_VALUE"""),21.0)</f>
        <v>21</v>
      </c>
      <c r="G1489" s="6">
        <f>IFERROR(__xludf.DUMMYFUNCTION("""COMPUTED_VALUE"""),40.0)</f>
        <v>40</v>
      </c>
    </row>
    <row r="1490">
      <c r="A1490" s="6">
        <f>IFERROR(__xludf.DUMMYFUNCTION("""COMPUTED_VALUE"""),2020.0)</f>
        <v>2020</v>
      </c>
      <c r="B1490" s="6" t="str">
        <f>IFERROR(__xludf.DUMMYFUNCTION("""COMPUTED_VALUE"""),"Março")</f>
        <v>Março</v>
      </c>
      <c r="C1490" s="6" t="str">
        <f>IFERROR(__xludf.DUMMYFUNCTION("""COMPUTED_VALUE"""),"ESTUPRO TENTADO")</f>
        <v>ESTUPRO TENTADO</v>
      </c>
      <c r="D1490" s="6">
        <f>IFERROR(__xludf.DUMMYFUNCTION("""COMPUTED_VALUE"""),1.0)</f>
        <v>1</v>
      </c>
      <c r="E1490" s="6">
        <f>IFERROR(__xludf.DUMMYFUNCTION("""COMPUTED_VALUE"""),0.0)</f>
        <v>0</v>
      </c>
      <c r="F1490" s="6">
        <f>IFERROR(__xludf.DUMMYFUNCTION("""COMPUTED_VALUE"""),2.0)</f>
        <v>2</v>
      </c>
      <c r="G1490" s="6">
        <f>IFERROR(__xludf.DUMMYFUNCTION("""COMPUTED_VALUE"""),3.0)</f>
        <v>3</v>
      </c>
    </row>
    <row r="1491">
      <c r="A1491" s="6">
        <f>IFERROR(__xludf.DUMMYFUNCTION("""COMPUTED_VALUE"""),2020.0)</f>
        <v>2020</v>
      </c>
      <c r="B1491" s="6" t="str">
        <f>IFERROR(__xludf.DUMMYFUNCTION("""COMPUTED_VALUE"""),"Março")</f>
        <v>Março</v>
      </c>
      <c r="C1491" s="6" t="str">
        <f>IFERROR(__xludf.DUMMYFUNCTION("""COMPUTED_VALUE"""),"ESTUPRO DE VULNERÁVEL CONSUMADO")</f>
        <v>ESTUPRO DE VULNERÁVEL CONSUMADO</v>
      </c>
      <c r="D1491" s="6">
        <f>IFERROR(__xludf.DUMMYFUNCTION("""COMPUTED_VALUE"""),4.0)</f>
        <v>4</v>
      </c>
      <c r="E1491" s="6">
        <f>IFERROR(__xludf.DUMMYFUNCTION("""COMPUTED_VALUE"""),5.0)</f>
        <v>5</v>
      </c>
      <c r="F1491" s="6">
        <f>IFERROR(__xludf.DUMMYFUNCTION("""COMPUTED_VALUE"""),20.0)</f>
        <v>20</v>
      </c>
      <c r="G1491" s="6">
        <f>IFERROR(__xludf.DUMMYFUNCTION("""COMPUTED_VALUE"""),29.0)</f>
        <v>29</v>
      </c>
    </row>
    <row r="1492">
      <c r="A1492" s="6">
        <f>IFERROR(__xludf.DUMMYFUNCTION("""COMPUTED_VALUE"""),2020.0)</f>
        <v>2020</v>
      </c>
      <c r="B1492" s="6" t="str">
        <f>IFERROR(__xludf.DUMMYFUNCTION("""COMPUTED_VALUE"""),"Março")</f>
        <v>Março</v>
      </c>
      <c r="C1492" s="6" t="str">
        <f>IFERROR(__xludf.DUMMYFUNCTION("""COMPUTED_VALUE"""),"OUTROS C/C/ DIGNIDADE SEXUAL")</f>
        <v>OUTROS C/C/ DIGNIDADE SEXUAL</v>
      </c>
      <c r="D1492" s="6">
        <f>IFERROR(__xludf.DUMMYFUNCTION("""COMPUTED_VALUE"""),0.0)</f>
        <v>0</v>
      </c>
      <c r="E1492" s="6">
        <f>IFERROR(__xludf.DUMMYFUNCTION("""COMPUTED_VALUE"""),1.0)</f>
        <v>1</v>
      </c>
      <c r="F1492" s="6">
        <f>IFERROR(__xludf.DUMMYFUNCTION("""COMPUTED_VALUE"""),2.0)</f>
        <v>2</v>
      </c>
      <c r="G1492" s="6">
        <f>IFERROR(__xludf.DUMMYFUNCTION("""COMPUTED_VALUE"""),3.0)</f>
        <v>3</v>
      </c>
    </row>
    <row r="1493">
      <c r="A1493" s="6">
        <f>IFERROR(__xludf.DUMMYFUNCTION("""COMPUTED_VALUE"""),2020.0)</f>
        <v>2020</v>
      </c>
      <c r="B1493" s="6" t="str">
        <f>IFERROR(__xludf.DUMMYFUNCTION("""COMPUTED_VALUE"""),"Abril")</f>
        <v>Abril</v>
      </c>
      <c r="C1493" s="6" t="str">
        <f>IFERROR(__xludf.DUMMYFUNCTION("""COMPUTED_VALUE"""),"HOMICÍDIO DOLOSO (exclui FEMINICÍDIO)")</f>
        <v>HOMICÍDIO DOLOSO (exclui FEMINICÍDIO)</v>
      </c>
      <c r="D1493" s="6">
        <f>IFERROR(__xludf.DUMMYFUNCTION("""COMPUTED_VALUE"""),1.0)</f>
        <v>1</v>
      </c>
      <c r="E1493" s="6">
        <f>IFERROR(__xludf.DUMMYFUNCTION("""COMPUTED_VALUE"""),0.0)</f>
        <v>0</v>
      </c>
      <c r="F1493" s="6">
        <f>IFERROR(__xludf.DUMMYFUNCTION("""COMPUTED_VALUE"""),2.0)</f>
        <v>2</v>
      </c>
      <c r="G1493" s="6">
        <f>IFERROR(__xludf.DUMMYFUNCTION("""COMPUTED_VALUE"""),3.0)</f>
        <v>3</v>
      </c>
    </row>
    <row r="1494">
      <c r="A1494" s="6">
        <f>IFERROR(__xludf.DUMMYFUNCTION("""COMPUTED_VALUE"""),2020.0)</f>
        <v>2020</v>
      </c>
      <c r="B1494" s="6" t="str">
        <f>IFERROR(__xludf.DUMMYFUNCTION("""COMPUTED_VALUE"""),"Abril")</f>
        <v>Abril</v>
      </c>
      <c r="C1494" s="6" t="str">
        <f>IFERROR(__xludf.DUMMYFUNCTION("""COMPUTED_VALUE"""),"FEMINICÍDIO")</f>
        <v>FEMINICÍDIO</v>
      </c>
      <c r="D1494" s="6">
        <f>IFERROR(__xludf.DUMMYFUNCTION("""COMPUTED_VALUE"""),3.0)</f>
        <v>3</v>
      </c>
      <c r="E1494" s="6">
        <f>IFERROR(__xludf.DUMMYFUNCTION("""COMPUTED_VALUE"""),3.0)</f>
        <v>3</v>
      </c>
      <c r="F1494" s="6">
        <f>IFERROR(__xludf.DUMMYFUNCTION("""COMPUTED_VALUE"""),7.0)</f>
        <v>7</v>
      </c>
      <c r="G1494" s="6">
        <f>IFERROR(__xludf.DUMMYFUNCTION("""COMPUTED_VALUE"""),13.0)</f>
        <v>13</v>
      </c>
    </row>
    <row r="1495">
      <c r="A1495" s="6">
        <f>IFERROR(__xludf.DUMMYFUNCTION("""COMPUTED_VALUE"""),2020.0)</f>
        <v>2020</v>
      </c>
      <c r="B1495" s="6" t="str">
        <f>IFERROR(__xludf.DUMMYFUNCTION("""COMPUTED_VALUE"""),"Abril")</f>
        <v>Abril</v>
      </c>
      <c r="C1495" s="6" t="str">
        <f>IFERROR(__xludf.DUMMYFUNCTION("""COMPUTED_VALUE"""),"HOMICÍDIO CULPOSO")</f>
        <v>HOMICÍDIO CULPOSO</v>
      </c>
      <c r="D1495" s="6">
        <f>IFERROR(__xludf.DUMMYFUNCTION("""COMPUTED_VALUE"""),0.0)</f>
        <v>0</v>
      </c>
      <c r="E1495" s="6">
        <f>IFERROR(__xludf.DUMMYFUNCTION("""COMPUTED_VALUE"""),0.0)</f>
        <v>0</v>
      </c>
      <c r="F1495" s="6">
        <f>IFERROR(__xludf.DUMMYFUNCTION("""COMPUTED_VALUE"""),0.0)</f>
        <v>0</v>
      </c>
      <c r="G1495" s="6">
        <f>IFERROR(__xludf.DUMMYFUNCTION("""COMPUTED_VALUE"""),0.0)</f>
        <v>0</v>
      </c>
    </row>
    <row r="1496">
      <c r="A1496" s="6">
        <f>IFERROR(__xludf.DUMMYFUNCTION("""COMPUTED_VALUE"""),2020.0)</f>
        <v>2020</v>
      </c>
      <c r="B1496" s="6" t="str">
        <f>IFERROR(__xludf.DUMMYFUNCTION("""COMPUTED_VALUE"""),"Abril")</f>
        <v>Abril</v>
      </c>
      <c r="C1496" s="6" t="str">
        <f>IFERROR(__xludf.DUMMYFUNCTION("""COMPUTED_VALUE"""),"TENTATIVA DE HOMICÍDIO")</f>
        <v>TENTATIVA DE HOMICÍDIO</v>
      </c>
      <c r="D1496" s="6">
        <f>IFERROR(__xludf.DUMMYFUNCTION("""COMPUTED_VALUE"""),2.0)</f>
        <v>2</v>
      </c>
      <c r="E1496" s="6">
        <f>IFERROR(__xludf.DUMMYFUNCTION("""COMPUTED_VALUE"""),2.0)</f>
        <v>2</v>
      </c>
      <c r="F1496" s="6">
        <f>IFERROR(__xludf.DUMMYFUNCTION("""COMPUTED_VALUE"""),12.0)</f>
        <v>12</v>
      </c>
      <c r="G1496" s="6">
        <f>IFERROR(__xludf.DUMMYFUNCTION("""COMPUTED_VALUE"""),16.0)</f>
        <v>16</v>
      </c>
    </row>
    <row r="1497">
      <c r="A1497" s="6">
        <f>IFERROR(__xludf.DUMMYFUNCTION("""COMPUTED_VALUE"""),2020.0)</f>
        <v>2020</v>
      </c>
      <c r="B1497" s="6" t="str">
        <f>IFERROR(__xludf.DUMMYFUNCTION("""COMPUTED_VALUE"""),"Abril")</f>
        <v>Abril</v>
      </c>
      <c r="C1497" s="6" t="str">
        <f>IFERROR(__xludf.DUMMYFUNCTION("""COMPUTED_VALUE"""),"LESÃO CORPORAL DOLOSA")</f>
        <v>LESÃO CORPORAL DOLOSA</v>
      </c>
      <c r="D1497" s="6">
        <f>IFERROR(__xludf.DUMMYFUNCTION("""COMPUTED_VALUE"""),948.0)</f>
        <v>948</v>
      </c>
      <c r="E1497" s="6">
        <f>IFERROR(__xludf.DUMMYFUNCTION("""COMPUTED_VALUE"""),812.0)</f>
        <v>812</v>
      </c>
      <c r="F1497" s="6">
        <f>IFERROR(__xludf.DUMMYFUNCTION("""COMPUTED_VALUE"""),2914.0)</f>
        <v>2914</v>
      </c>
      <c r="G1497" s="6">
        <f>IFERROR(__xludf.DUMMYFUNCTION("""COMPUTED_VALUE"""),4674.0)</f>
        <v>4674</v>
      </c>
    </row>
    <row r="1498">
      <c r="A1498" s="6">
        <f>IFERROR(__xludf.DUMMYFUNCTION("""COMPUTED_VALUE"""),2020.0)</f>
        <v>2020</v>
      </c>
      <c r="B1498" s="6" t="str">
        <f>IFERROR(__xludf.DUMMYFUNCTION("""COMPUTED_VALUE"""),"Abril")</f>
        <v>Abril</v>
      </c>
      <c r="C1498" s="6" t="str">
        <f>IFERROR(__xludf.DUMMYFUNCTION("""COMPUTED_VALUE"""),"MAUS TRATOS")</f>
        <v>MAUS TRATOS</v>
      </c>
      <c r="D1498" s="6">
        <f>IFERROR(__xludf.DUMMYFUNCTION("""COMPUTED_VALUE"""),3.0)</f>
        <v>3</v>
      </c>
      <c r="E1498" s="6">
        <f>IFERROR(__xludf.DUMMYFUNCTION("""COMPUTED_VALUE"""),2.0)</f>
        <v>2</v>
      </c>
      <c r="F1498" s="6">
        <f>IFERROR(__xludf.DUMMYFUNCTION("""COMPUTED_VALUE"""),16.0)</f>
        <v>16</v>
      </c>
      <c r="G1498" s="6">
        <f>IFERROR(__xludf.DUMMYFUNCTION("""COMPUTED_VALUE"""),21.0)</f>
        <v>21</v>
      </c>
    </row>
    <row r="1499">
      <c r="A1499" s="6">
        <f>IFERROR(__xludf.DUMMYFUNCTION("""COMPUTED_VALUE"""),2020.0)</f>
        <v>2020</v>
      </c>
      <c r="B1499" s="6" t="str">
        <f>IFERROR(__xludf.DUMMYFUNCTION("""COMPUTED_VALUE"""),"Abril")</f>
        <v>Abril</v>
      </c>
      <c r="C1499" s="6" t="str">
        <f>IFERROR(__xludf.DUMMYFUNCTION("""COMPUTED_VALUE"""),"CALÚNIA - DIFAMAÇÃO - INJÚRIA")</f>
        <v>CALÚNIA - DIFAMAÇÃO - INJÚRIA</v>
      </c>
      <c r="D1499" s="6">
        <f>IFERROR(__xludf.DUMMYFUNCTION("""COMPUTED_VALUE"""),187.0)</f>
        <v>187</v>
      </c>
      <c r="E1499" s="6">
        <f>IFERROR(__xludf.DUMMYFUNCTION("""COMPUTED_VALUE"""),159.0)</f>
        <v>159</v>
      </c>
      <c r="F1499" s="6">
        <f>IFERROR(__xludf.DUMMYFUNCTION("""COMPUTED_VALUE"""),694.0)</f>
        <v>694</v>
      </c>
      <c r="G1499" s="6">
        <f>IFERROR(__xludf.DUMMYFUNCTION("""COMPUTED_VALUE"""),1040.0)</f>
        <v>1040</v>
      </c>
    </row>
    <row r="1500">
      <c r="A1500" s="6">
        <f>IFERROR(__xludf.DUMMYFUNCTION("""COMPUTED_VALUE"""),2020.0)</f>
        <v>2020</v>
      </c>
      <c r="B1500" s="6" t="str">
        <f>IFERROR(__xludf.DUMMYFUNCTION("""COMPUTED_VALUE"""),"Abril")</f>
        <v>Abril</v>
      </c>
      <c r="C1500" s="6" t="str">
        <f>IFERROR(__xludf.DUMMYFUNCTION("""COMPUTED_VALUE"""),"CONSTRANGIMENTO ILEGAL")</f>
        <v>CONSTRANGIMENTO ILEGAL</v>
      </c>
      <c r="D1500" s="6">
        <f>IFERROR(__xludf.DUMMYFUNCTION("""COMPUTED_VALUE"""),1.0)</f>
        <v>1</v>
      </c>
      <c r="E1500" s="6">
        <f>IFERROR(__xludf.DUMMYFUNCTION("""COMPUTED_VALUE"""),0.0)</f>
        <v>0</v>
      </c>
      <c r="F1500" s="6">
        <f>IFERROR(__xludf.DUMMYFUNCTION("""COMPUTED_VALUE"""),6.0)</f>
        <v>6</v>
      </c>
      <c r="G1500" s="6">
        <f>IFERROR(__xludf.DUMMYFUNCTION("""COMPUTED_VALUE"""),7.0)</f>
        <v>7</v>
      </c>
    </row>
    <row r="1501">
      <c r="A1501" s="6">
        <f>IFERROR(__xludf.DUMMYFUNCTION("""COMPUTED_VALUE"""),2020.0)</f>
        <v>2020</v>
      </c>
      <c r="B1501" s="6" t="str">
        <f>IFERROR(__xludf.DUMMYFUNCTION("""COMPUTED_VALUE"""),"Abril")</f>
        <v>Abril</v>
      </c>
      <c r="C1501" s="6" t="str">
        <f>IFERROR(__xludf.DUMMYFUNCTION("""COMPUTED_VALUE"""),"AMEAÇA")</f>
        <v>AMEAÇA</v>
      </c>
      <c r="D1501" s="6">
        <f>IFERROR(__xludf.DUMMYFUNCTION("""COMPUTED_VALUE"""),872.0)</f>
        <v>872</v>
      </c>
      <c r="E1501" s="6">
        <f>IFERROR(__xludf.DUMMYFUNCTION("""COMPUTED_VALUE"""),804.0)</f>
        <v>804</v>
      </c>
      <c r="F1501" s="6">
        <f>IFERROR(__xludf.DUMMYFUNCTION("""COMPUTED_VALUE"""),2984.0)</f>
        <v>2984</v>
      </c>
      <c r="G1501" s="6">
        <f>IFERROR(__xludf.DUMMYFUNCTION("""COMPUTED_VALUE"""),4660.0)</f>
        <v>4660</v>
      </c>
    </row>
    <row r="1502">
      <c r="A1502" s="6">
        <f>IFERROR(__xludf.DUMMYFUNCTION("""COMPUTED_VALUE"""),2020.0)</f>
        <v>2020</v>
      </c>
      <c r="B1502" s="6" t="str">
        <f>IFERROR(__xludf.DUMMYFUNCTION("""COMPUTED_VALUE"""),"Abril")</f>
        <v>Abril</v>
      </c>
      <c r="C1502" s="6" t="str">
        <f>IFERROR(__xludf.DUMMYFUNCTION("""COMPUTED_VALUE"""),"INVASÃO DE DOMICÍLIO")</f>
        <v>INVASÃO DE DOMICÍLIO</v>
      </c>
      <c r="D1502" s="6">
        <f>IFERROR(__xludf.DUMMYFUNCTION("""COMPUTED_VALUE"""),1.0)</f>
        <v>1</v>
      </c>
      <c r="E1502" s="6">
        <f>IFERROR(__xludf.DUMMYFUNCTION("""COMPUTED_VALUE"""),2.0)</f>
        <v>2</v>
      </c>
      <c r="F1502" s="6">
        <f>IFERROR(__xludf.DUMMYFUNCTION("""COMPUTED_VALUE"""),13.0)</f>
        <v>13</v>
      </c>
      <c r="G1502" s="6">
        <f>IFERROR(__xludf.DUMMYFUNCTION("""COMPUTED_VALUE"""),16.0)</f>
        <v>16</v>
      </c>
    </row>
    <row r="1503">
      <c r="A1503" s="6">
        <f>IFERROR(__xludf.DUMMYFUNCTION("""COMPUTED_VALUE"""),2020.0)</f>
        <v>2020</v>
      </c>
      <c r="B1503" s="6" t="str">
        <f>IFERROR(__xludf.DUMMYFUNCTION("""COMPUTED_VALUE"""),"Abril")</f>
        <v>Abril</v>
      </c>
      <c r="C1503" s="6" t="str">
        <f>IFERROR(__xludf.DUMMYFUNCTION("""COMPUTED_VALUE"""),"DANO")</f>
        <v>DANO</v>
      </c>
      <c r="D1503" s="6">
        <f>IFERROR(__xludf.DUMMYFUNCTION("""COMPUTED_VALUE"""),11.0)</f>
        <v>11</v>
      </c>
      <c r="E1503" s="6">
        <f>IFERROR(__xludf.DUMMYFUNCTION("""COMPUTED_VALUE"""),10.0)</f>
        <v>10</v>
      </c>
      <c r="F1503" s="6">
        <f>IFERROR(__xludf.DUMMYFUNCTION("""COMPUTED_VALUE"""),54.0)</f>
        <v>54</v>
      </c>
      <c r="G1503" s="6">
        <f>IFERROR(__xludf.DUMMYFUNCTION("""COMPUTED_VALUE"""),75.0)</f>
        <v>75</v>
      </c>
    </row>
    <row r="1504">
      <c r="A1504" s="6">
        <f>IFERROR(__xludf.DUMMYFUNCTION("""COMPUTED_VALUE"""),2020.0)</f>
        <v>2020</v>
      </c>
      <c r="B1504" s="6" t="str">
        <f>IFERROR(__xludf.DUMMYFUNCTION("""COMPUTED_VALUE"""),"Abril")</f>
        <v>Abril</v>
      </c>
      <c r="C1504" s="6" t="str">
        <f>IFERROR(__xludf.DUMMYFUNCTION("""COMPUTED_VALUE"""),"ESTUPRO CONSUMADO")</f>
        <v>ESTUPRO CONSUMADO</v>
      </c>
      <c r="D1504" s="6">
        <f>IFERROR(__xludf.DUMMYFUNCTION("""COMPUTED_VALUE"""),10.0)</f>
        <v>10</v>
      </c>
      <c r="E1504" s="6">
        <f>IFERROR(__xludf.DUMMYFUNCTION("""COMPUTED_VALUE"""),7.0)</f>
        <v>7</v>
      </c>
      <c r="F1504" s="6">
        <f>IFERROR(__xludf.DUMMYFUNCTION("""COMPUTED_VALUE"""),17.0)</f>
        <v>17</v>
      </c>
      <c r="G1504" s="6">
        <f>IFERROR(__xludf.DUMMYFUNCTION("""COMPUTED_VALUE"""),34.0)</f>
        <v>34</v>
      </c>
    </row>
    <row r="1505">
      <c r="A1505" s="6">
        <f>IFERROR(__xludf.DUMMYFUNCTION("""COMPUTED_VALUE"""),2020.0)</f>
        <v>2020</v>
      </c>
      <c r="B1505" s="6" t="str">
        <f>IFERROR(__xludf.DUMMYFUNCTION("""COMPUTED_VALUE"""),"Abril")</f>
        <v>Abril</v>
      </c>
      <c r="C1505" s="6" t="str">
        <f>IFERROR(__xludf.DUMMYFUNCTION("""COMPUTED_VALUE"""),"ESTUPRO TENTADO")</f>
        <v>ESTUPRO TENTADO</v>
      </c>
      <c r="D1505" s="6">
        <f>IFERROR(__xludf.DUMMYFUNCTION("""COMPUTED_VALUE"""),0.0)</f>
        <v>0</v>
      </c>
      <c r="E1505" s="6">
        <f>IFERROR(__xludf.DUMMYFUNCTION("""COMPUTED_VALUE"""),0.0)</f>
        <v>0</v>
      </c>
      <c r="F1505" s="6">
        <f>IFERROR(__xludf.DUMMYFUNCTION("""COMPUTED_VALUE"""),1.0)</f>
        <v>1</v>
      </c>
      <c r="G1505" s="6">
        <f>IFERROR(__xludf.DUMMYFUNCTION("""COMPUTED_VALUE"""),1.0)</f>
        <v>1</v>
      </c>
    </row>
    <row r="1506">
      <c r="A1506" s="6">
        <f>IFERROR(__xludf.DUMMYFUNCTION("""COMPUTED_VALUE"""),2020.0)</f>
        <v>2020</v>
      </c>
      <c r="B1506" s="6" t="str">
        <f>IFERROR(__xludf.DUMMYFUNCTION("""COMPUTED_VALUE"""),"Abril")</f>
        <v>Abril</v>
      </c>
      <c r="C1506" s="6" t="str">
        <f>IFERROR(__xludf.DUMMYFUNCTION("""COMPUTED_VALUE"""),"ESTUPRO DE VULNERÁVEL CONSUMADO")</f>
        <v>ESTUPRO DE VULNERÁVEL CONSUMADO</v>
      </c>
      <c r="D1506" s="6">
        <f>IFERROR(__xludf.DUMMYFUNCTION("""COMPUTED_VALUE"""),3.0)</f>
        <v>3</v>
      </c>
      <c r="E1506" s="6">
        <f>IFERROR(__xludf.DUMMYFUNCTION("""COMPUTED_VALUE"""),4.0)</f>
        <v>4</v>
      </c>
      <c r="F1506" s="6">
        <f>IFERROR(__xludf.DUMMYFUNCTION("""COMPUTED_VALUE"""),17.0)</f>
        <v>17</v>
      </c>
      <c r="G1506" s="6">
        <f>IFERROR(__xludf.DUMMYFUNCTION("""COMPUTED_VALUE"""),24.0)</f>
        <v>24</v>
      </c>
    </row>
    <row r="1507">
      <c r="A1507" s="6">
        <f>IFERROR(__xludf.DUMMYFUNCTION("""COMPUTED_VALUE"""),2020.0)</f>
        <v>2020</v>
      </c>
      <c r="B1507" s="6" t="str">
        <f>IFERROR(__xludf.DUMMYFUNCTION("""COMPUTED_VALUE"""),"Abril")</f>
        <v>Abril</v>
      </c>
      <c r="C1507" s="6" t="str">
        <f>IFERROR(__xludf.DUMMYFUNCTION("""COMPUTED_VALUE"""),"OUTROS C/C/ DIGNIDADE SEXUAL")</f>
        <v>OUTROS C/C/ DIGNIDADE SEXUAL</v>
      </c>
      <c r="D1507" s="6">
        <f>IFERROR(__xludf.DUMMYFUNCTION("""COMPUTED_VALUE"""),0.0)</f>
        <v>0</v>
      </c>
      <c r="E1507" s="6">
        <f>IFERROR(__xludf.DUMMYFUNCTION("""COMPUTED_VALUE"""),0.0)</f>
        <v>0</v>
      </c>
      <c r="F1507" s="6">
        <f>IFERROR(__xludf.DUMMYFUNCTION("""COMPUTED_VALUE"""),2.0)</f>
        <v>2</v>
      </c>
      <c r="G1507" s="6">
        <f>IFERROR(__xludf.DUMMYFUNCTION("""COMPUTED_VALUE"""),2.0)</f>
        <v>2</v>
      </c>
    </row>
    <row r="1508">
      <c r="A1508" s="6">
        <f>IFERROR(__xludf.DUMMYFUNCTION("""COMPUTED_VALUE"""),2020.0)</f>
        <v>2020</v>
      </c>
      <c r="B1508" s="6" t="str">
        <f>IFERROR(__xludf.DUMMYFUNCTION("""COMPUTED_VALUE"""),"Maio")</f>
        <v>Maio</v>
      </c>
      <c r="C1508" s="6" t="str">
        <f>IFERROR(__xludf.DUMMYFUNCTION("""COMPUTED_VALUE"""),"HOMICÍDIO DOLOSO (exclui FEMINICÍDIO)")</f>
        <v>HOMICÍDIO DOLOSO (exclui FEMINICÍDIO)</v>
      </c>
      <c r="D1508" s="6">
        <f>IFERROR(__xludf.DUMMYFUNCTION("""COMPUTED_VALUE"""),1.0)</f>
        <v>1</v>
      </c>
      <c r="E1508" s="6">
        <f>IFERROR(__xludf.DUMMYFUNCTION("""COMPUTED_VALUE"""),0.0)</f>
        <v>0</v>
      </c>
      <c r="F1508" s="6">
        <f>IFERROR(__xludf.DUMMYFUNCTION("""COMPUTED_VALUE"""),1.0)</f>
        <v>1</v>
      </c>
      <c r="G1508" s="6">
        <f>IFERROR(__xludf.DUMMYFUNCTION("""COMPUTED_VALUE"""),2.0)</f>
        <v>2</v>
      </c>
    </row>
    <row r="1509">
      <c r="A1509" s="6">
        <f>IFERROR(__xludf.DUMMYFUNCTION("""COMPUTED_VALUE"""),2020.0)</f>
        <v>2020</v>
      </c>
      <c r="B1509" s="6" t="str">
        <f>IFERROR(__xludf.DUMMYFUNCTION("""COMPUTED_VALUE"""),"Maio")</f>
        <v>Maio</v>
      </c>
      <c r="C1509" s="6" t="str">
        <f>IFERROR(__xludf.DUMMYFUNCTION("""COMPUTED_VALUE"""),"FEMINICÍDIO")</f>
        <v>FEMINICÍDIO</v>
      </c>
      <c r="D1509" s="6">
        <f>IFERROR(__xludf.DUMMYFUNCTION("""COMPUTED_VALUE"""),3.0)</f>
        <v>3</v>
      </c>
      <c r="E1509" s="6">
        <f>IFERROR(__xludf.DUMMYFUNCTION("""COMPUTED_VALUE"""),4.0)</f>
        <v>4</v>
      </c>
      <c r="F1509" s="6">
        <f>IFERROR(__xludf.DUMMYFUNCTION("""COMPUTED_VALUE"""),6.0)</f>
        <v>6</v>
      </c>
      <c r="G1509" s="6">
        <f>IFERROR(__xludf.DUMMYFUNCTION("""COMPUTED_VALUE"""),13.0)</f>
        <v>13</v>
      </c>
    </row>
    <row r="1510">
      <c r="A1510" s="6">
        <f>IFERROR(__xludf.DUMMYFUNCTION("""COMPUTED_VALUE"""),2020.0)</f>
        <v>2020</v>
      </c>
      <c r="B1510" s="6" t="str">
        <f>IFERROR(__xludf.DUMMYFUNCTION("""COMPUTED_VALUE"""),"Maio")</f>
        <v>Maio</v>
      </c>
      <c r="C1510" s="6" t="str">
        <f>IFERROR(__xludf.DUMMYFUNCTION("""COMPUTED_VALUE"""),"HOMICÍDIO CULPOSO")</f>
        <v>HOMICÍDIO CULPOSO</v>
      </c>
      <c r="D1510" s="6">
        <f>IFERROR(__xludf.DUMMYFUNCTION("""COMPUTED_VALUE"""),0.0)</f>
        <v>0</v>
      </c>
      <c r="E1510" s="6">
        <f>IFERROR(__xludf.DUMMYFUNCTION("""COMPUTED_VALUE"""),0.0)</f>
        <v>0</v>
      </c>
      <c r="F1510" s="6">
        <f>IFERROR(__xludf.DUMMYFUNCTION("""COMPUTED_VALUE"""),0.0)</f>
        <v>0</v>
      </c>
      <c r="G1510" s="6">
        <f>IFERROR(__xludf.DUMMYFUNCTION("""COMPUTED_VALUE"""),0.0)</f>
        <v>0</v>
      </c>
    </row>
    <row r="1511">
      <c r="A1511" s="6">
        <f>IFERROR(__xludf.DUMMYFUNCTION("""COMPUTED_VALUE"""),2020.0)</f>
        <v>2020</v>
      </c>
      <c r="B1511" s="6" t="str">
        <f>IFERROR(__xludf.DUMMYFUNCTION("""COMPUTED_VALUE"""),"Maio")</f>
        <v>Maio</v>
      </c>
      <c r="C1511" s="6" t="str">
        <f>IFERROR(__xludf.DUMMYFUNCTION("""COMPUTED_VALUE"""),"TENTATIVA DE HOMICÍDIO")</f>
        <v>TENTATIVA DE HOMICÍDIO</v>
      </c>
      <c r="D1511" s="6">
        <f>IFERROR(__xludf.DUMMYFUNCTION("""COMPUTED_VALUE"""),1.0)</f>
        <v>1</v>
      </c>
      <c r="E1511" s="6">
        <f>IFERROR(__xludf.DUMMYFUNCTION("""COMPUTED_VALUE"""),1.0)</f>
        <v>1</v>
      </c>
      <c r="F1511" s="6">
        <f>IFERROR(__xludf.DUMMYFUNCTION("""COMPUTED_VALUE"""),11.0)</f>
        <v>11</v>
      </c>
      <c r="G1511" s="6">
        <f>IFERROR(__xludf.DUMMYFUNCTION("""COMPUTED_VALUE"""),13.0)</f>
        <v>13</v>
      </c>
    </row>
    <row r="1512">
      <c r="A1512" s="6">
        <f>IFERROR(__xludf.DUMMYFUNCTION("""COMPUTED_VALUE"""),2020.0)</f>
        <v>2020</v>
      </c>
      <c r="B1512" s="6" t="str">
        <f>IFERROR(__xludf.DUMMYFUNCTION("""COMPUTED_VALUE"""),"Maio")</f>
        <v>Maio</v>
      </c>
      <c r="C1512" s="6" t="str">
        <f>IFERROR(__xludf.DUMMYFUNCTION("""COMPUTED_VALUE"""),"LESÃO CORPORAL DOLOSA")</f>
        <v>LESÃO CORPORAL DOLOSA</v>
      </c>
      <c r="D1512" s="6">
        <f>IFERROR(__xludf.DUMMYFUNCTION("""COMPUTED_VALUE"""),912.0)</f>
        <v>912</v>
      </c>
      <c r="E1512" s="6">
        <f>IFERROR(__xludf.DUMMYFUNCTION("""COMPUTED_VALUE"""),784.0)</f>
        <v>784</v>
      </c>
      <c r="F1512" s="6">
        <f>IFERROR(__xludf.DUMMYFUNCTION("""COMPUTED_VALUE"""),2814.0)</f>
        <v>2814</v>
      </c>
      <c r="G1512" s="6">
        <f>IFERROR(__xludf.DUMMYFUNCTION("""COMPUTED_VALUE"""),4510.0)</f>
        <v>4510</v>
      </c>
    </row>
    <row r="1513">
      <c r="A1513" s="6">
        <f>IFERROR(__xludf.DUMMYFUNCTION("""COMPUTED_VALUE"""),2020.0)</f>
        <v>2020</v>
      </c>
      <c r="B1513" s="6" t="str">
        <f>IFERROR(__xludf.DUMMYFUNCTION("""COMPUTED_VALUE"""),"Maio")</f>
        <v>Maio</v>
      </c>
      <c r="C1513" s="6" t="str">
        <f>IFERROR(__xludf.DUMMYFUNCTION("""COMPUTED_VALUE"""),"MAUS TRATOS")</f>
        <v>MAUS TRATOS</v>
      </c>
      <c r="D1513" s="6">
        <f>IFERROR(__xludf.DUMMYFUNCTION("""COMPUTED_VALUE"""),2.0)</f>
        <v>2</v>
      </c>
      <c r="E1513" s="6">
        <f>IFERROR(__xludf.DUMMYFUNCTION("""COMPUTED_VALUE"""),2.0)</f>
        <v>2</v>
      </c>
      <c r="F1513" s="6">
        <f>IFERROR(__xludf.DUMMYFUNCTION("""COMPUTED_VALUE"""),14.0)</f>
        <v>14</v>
      </c>
      <c r="G1513" s="6">
        <f>IFERROR(__xludf.DUMMYFUNCTION("""COMPUTED_VALUE"""),18.0)</f>
        <v>18</v>
      </c>
    </row>
    <row r="1514">
      <c r="A1514" s="6">
        <f>IFERROR(__xludf.DUMMYFUNCTION("""COMPUTED_VALUE"""),2020.0)</f>
        <v>2020</v>
      </c>
      <c r="B1514" s="6" t="str">
        <f>IFERROR(__xludf.DUMMYFUNCTION("""COMPUTED_VALUE"""),"Maio")</f>
        <v>Maio</v>
      </c>
      <c r="C1514" s="6" t="str">
        <f>IFERROR(__xludf.DUMMYFUNCTION("""COMPUTED_VALUE"""),"CALÚNIA - DIFAMAÇÃO - INJÚRIA")</f>
        <v>CALÚNIA - DIFAMAÇÃO - INJÚRIA</v>
      </c>
      <c r="D1514" s="6">
        <f>IFERROR(__xludf.DUMMYFUNCTION("""COMPUTED_VALUE"""),178.0)</f>
        <v>178</v>
      </c>
      <c r="E1514" s="6">
        <f>IFERROR(__xludf.DUMMYFUNCTION("""COMPUTED_VALUE"""),151.0)</f>
        <v>151</v>
      </c>
      <c r="F1514" s="6">
        <f>IFERROR(__xludf.DUMMYFUNCTION("""COMPUTED_VALUE"""),654.0)</f>
        <v>654</v>
      </c>
      <c r="G1514" s="6">
        <f>IFERROR(__xludf.DUMMYFUNCTION("""COMPUTED_VALUE"""),983.0)</f>
        <v>983</v>
      </c>
    </row>
    <row r="1515">
      <c r="A1515" s="6">
        <f>IFERROR(__xludf.DUMMYFUNCTION("""COMPUTED_VALUE"""),2020.0)</f>
        <v>2020</v>
      </c>
      <c r="B1515" s="6" t="str">
        <f>IFERROR(__xludf.DUMMYFUNCTION("""COMPUTED_VALUE"""),"Maio")</f>
        <v>Maio</v>
      </c>
      <c r="C1515" s="6" t="str">
        <f>IFERROR(__xludf.DUMMYFUNCTION("""COMPUTED_VALUE"""),"CONSTRANGIMENTO ILEGAL")</f>
        <v>CONSTRANGIMENTO ILEGAL</v>
      </c>
      <c r="D1515" s="6">
        <f>IFERROR(__xludf.DUMMYFUNCTION("""COMPUTED_VALUE"""),1.0)</f>
        <v>1</v>
      </c>
      <c r="E1515" s="6">
        <f>IFERROR(__xludf.DUMMYFUNCTION("""COMPUTED_VALUE"""),0.0)</f>
        <v>0</v>
      </c>
      <c r="F1515" s="6">
        <f>IFERROR(__xludf.DUMMYFUNCTION("""COMPUTED_VALUE"""),5.0)</f>
        <v>5</v>
      </c>
      <c r="G1515" s="6">
        <f>IFERROR(__xludf.DUMMYFUNCTION("""COMPUTED_VALUE"""),6.0)</f>
        <v>6</v>
      </c>
    </row>
    <row r="1516">
      <c r="A1516" s="6">
        <f>IFERROR(__xludf.DUMMYFUNCTION("""COMPUTED_VALUE"""),2020.0)</f>
        <v>2020</v>
      </c>
      <c r="B1516" s="6" t="str">
        <f>IFERROR(__xludf.DUMMYFUNCTION("""COMPUTED_VALUE"""),"Maio")</f>
        <v>Maio</v>
      </c>
      <c r="C1516" s="6" t="str">
        <f>IFERROR(__xludf.DUMMYFUNCTION("""COMPUTED_VALUE"""),"AMEAÇA")</f>
        <v>AMEAÇA</v>
      </c>
      <c r="D1516" s="6">
        <f>IFERROR(__xludf.DUMMYFUNCTION("""COMPUTED_VALUE"""),842.0)</f>
        <v>842</v>
      </c>
      <c r="E1516" s="6">
        <f>IFERROR(__xludf.DUMMYFUNCTION("""COMPUTED_VALUE"""),771.0)</f>
        <v>771</v>
      </c>
      <c r="F1516" s="6">
        <f>IFERROR(__xludf.DUMMYFUNCTION("""COMPUTED_VALUE"""),2884.0)</f>
        <v>2884</v>
      </c>
      <c r="G1516" s="6">
        <f>IFERROR(__xludf.DUMMYFUNCTION("""COMPUTED_VALUE"""),4497.0)</f>
        <v>4497</v>
      </c>
    </row>
    <row r="1517">
      <c r="A1517" s="6">
        <f>IFERROR(__xludf.DUMMYFUNCTION("""COMPUTED_VALUE"""),2020.0)</f>
        <v>2020</v>
      </c>
      <c r="B1517" s="6" t="str">
        <f>IFERROR(__xludf.DUMMYFUNCTION("""COMPUTED_VALUE"""),"Maio")</f>
        <v>Maio</v>
      </c>
      <c r="C1517" s="6" t="str">
        <f>IFERROR(__xludf.DUMMYFUNCTION("""COMPUTED_VALUE"""),"INVASÃO DE DOMICÍLIO")</f>
        <v>INVASÃO DE DOMICÍLIO</v>
      </c>
      <c r="D1517" s="6">
        <f>IFERROR(__xludf.DUMMYFUNCTION("""COMPUTED_VALUE"""),1.0)</f>
        <v>1</v>
      </c>
      <c r="E1517" s="6">
        <f>IFERROR(__xludf.DUMMYFUNCTION("""COMPUTED_VALUE"""),1.0)</f>
        <v>1</v>
      </c>
      <c r="F1517" s="6">
        <f>IFERROR(__xludf.DUMMYFUNCTION("""COMPUTED_VALUE"""),11.0)</f>
        <v>11</v>
      </c>
      <c r="G1517" s="6">
        <f>IFERROR(__xludf.DUMMYFUNCTION("""COMPUTED_VALUE"""),13.0)</f>
        <v>13</v>
      </c>
    </row>
    <row r="1518">
      <c r="A1518" s="6">
        <f>IFERROR(__xludf.DUMMYFUNCTION("""COMPUTED_VALUE"""),2020.0)</f>
        <v>2020</v>
      </c>
      <c r="B1518" s="6" t="str">
        <f>IFERROR(__xludf.DUMMYFUNCTION("""COMPUTED_VALUE"""),"Maio")</f>
        <v>Maio</v>
      </c>
      <c r="C1518" s="6" t="str">
        <f>IFERROR(__xludf.DUMMYFUNCTION("""COMPUTED_VALUE"""),"DANO")</f>
        <v>DANO</v>
      </c>
      <c r="D1518" s="6">
        <f>IFERROR(__xludf.DUMMYFUNCTION("""COMPUTED_VALUE"""),9.0)</f>
        <v>9</v>
      </c>
      <c r="E1518" s="6">
        <f>IFERROR(__xludf.DUMMYFUNCTION("""COMPUTED_VALUE"""),9.0)</f>
        <v>9</v>
      </c>
      <c r="F1518" s="6">
        <f>IFERROR(__xludf.DUMMYFUNCTION("""COMPUTED_VALUE"""),51.0)</f>
        <v>51</v>
      </c>
      <c r="G1518" s="6">
        <f>IFERROR(__xludf.DUMMYFUNCTION("""COMPUTED_VALUE"""),69.0)</f>
        <v>69</v>
      </c>
    </row>
    <row r="1519">
      <c r="A1519" s="6">
        <f>IFERROR(__xludf.DUMMYFUNCTION("""COMPUTED_VALUE"""),2020.0)</f>
        <v>2020</v>
      </c>
      <c r="B1519" s="6" t="str">
        <f>IFERROR(__xludf.DUMMYFUNCTION("""COMPUTED_VALUE"""),"Maio")</f>
        <v>Maio</v>
      </c>
      <c r="C1519" s="6" t="str">
        <f>IFERROR(__xludf.DUMMYFUNCTION("""COMPUTED_VALUE"""),"ESTUPRO CONSUMADO")</f>
        <v>ESTUPRO CONSUMADO</v>
      </c>
      <c r="D1519" s="6">
        <f>IFERROR(__xludf.DUMMYFUNCTION("""COMPUTED_VALUE"""),9.0)</f>
        <v>9</v>
      </c>
      <c r="E1519" s="6">
        <f>IFERROR(__xludf.DUMMYFUNCTION("""COMPUTED_VALUE"""),6.0)</f>
        <v>6</v>
      </c>
      <c r="F1519" s="6">
        <f>IFERROR(__xludf.DUMMYFUNCTION("""COMPUTED_VALUE"""),16.0)</f>
        <v>16</v>
      </c>
      <c r="G1519" s="6">
        <f>IFERROR(__xludf.DUMMYFUNCTION("""COMPUTED_VALUE"""),31.0)</f>
        <v>31</v>
      </c>
    </row>
    <row r="1520">
      <c r="A1520" s="6">
        <f>IFERROR(__xludf.DUMMYFUNCTION("""COMPUTED_VALUE"""),2020.0)</f>
        <v>2020</v>
      </c>
      <c r="B1520" s="6" t="str">
        <f>IFERROR(__xludf.DUMMYFUNCTION("""COMPUTED_VALUE"""),"Maio")</f>
        <v>Maio</v>
      </c>
      <c r="C1520" s="6" t="str">
        <f>IFERROR(__xludf.DUMMYFUNCTION("""COMPUTED_VALUE"""),"ESTUPRO TENTADO")</f>
        <v>ESTUPRO TENTADO</v>
      </c>
      <c r="D1520" s="6">
        <f>IFERROR(__xludf.DUMMYFUNCTION("""COMPUTED_VALUE"""),0.0)</f>
        <v>0</v>
      </c>
      <c r="E1520" s="6">
        <f>IFERROR(__xludf.DUMMYFUNCTION("""COMPUTED_VALUE"""),0.0)</f>
        <v>0</v>
      </c>
      <c r="F1520" s="6">
        <f>IFERROR(__xludf.DUMMYFUNCTION("""COMPUTED_VALUE"""),1.0)</f>
        <v>1</v>
      </c>
      <c r="G1520" s="6">
        <f>IFERROR(__xludf.DUMMYFUNCTION("""COMPUTED_VALUE"""),1.0)</f>
        <v>1</v>
      </c>
    </row>
    <row r="1521">
      <c r="A1521" s="6">
        <f>IFERROR(__xludf.DUMMYFUNCTION("""COMPUTED_VALUE"""),2020.0)</f>
        <v>2020</v>
      </c>
      <c r="B1521" s="6" t="str">
        <f>IFERROR(__xludf.DUMMYFUNCTION("""COMPUTED_VALUE"""),"Maio")</f>
        <v>Maio</v>
      </c>
      <c r="C1521" s="6" t="str">
        <f>IFERROR(__xludf.DUMMYFUNCTION("""COMPUTED_VALUE"""),"ESTUPRO DE VULNERÁVEL CONSUMADO")</f>
        <v>ESTUPRO DE VULNERÁVEL CONSUMADO</v>
      </c>
      <c r="D1521" s="6">
        <f>IFERROR(__xludf.DUMMYFUNCTION("""COMPUTED_VALUE"""),2.0)</f>
        <v>2</v>
      </c>
      <c r="E1521" s="6">
        <f>IFERROR(__xludf.DUMMYFUNCTION("""COMPUTED_VALUE"""),3.0)</f>
        <v>3</v>
      </c>
      <c r="F1521" s="6">
        <f>IFERROR(__xludf.DUMMYFUNCTION("""COMPUTED_VALUE"""),15.0)</f>
        <v>15</v>
      </c>
      <c r="G1521" s="6">
        <f>IFERROR(__xludf.DUMMYFUNCTION("""COMPUTED_VALUE"""),20.0)</f>
        <v>20</v>
      </c>
    </row>
    <row r="1522">
      <c r="A1522" s="6">
        <f>IFERROR(__xludf.DUMMYFUNCTION("""COMPUTED_VALUE"""),2020.0)</f>
        <v>2020</v>
      </c>
      <c r="B1522" s="6" t="str">
        <f>IFERROR(__xludf.DUMMYFUNCTION("""COMPUTED_VALUE"""),"Maio")</f>
        <v>Maio</v>
      </c>
      <c r="C1522" s="6" t="str">
        <f>IFERROR(__xludf.DUMMYFUNCTION("""COMPUTED_VALUE"""),"OUTROS C/C/ DIGNIDADE SEXUAL")</f>
        <v>OUTROS C/C/ DIGNIDADE SEXUAL</v>
      </c>
      <c r="D1522" s="6">
        <f>IFERROR(__xludf.DUMMYFUNCTION("""COMPUTED_VALUE"""),0.0)</f>
        <v>0</v>
      </c>
      <c r="E1522" s="6">
        <f>IFERROR(__xludf.DUMMYFUNCTION("""COMPUTED_VALUE"""),0.0)</f>
        <v>0</v>
      </c>
      <c r="F1522" s="6">
        <f>IFERROR(__xludf.DUMMYFUNCTION("""COMPUTED_VALUE"""),1.0)</f>
        <v>1</v>
      </c>
      <c r="G1522" s="6">
        <f>IFERROR(__xludf.DUMMYFUNCTION("""COMPUTED_VALUE"""),1.0)</f>
        <v>1</v>
      </c>
    </row>
    <row r="1523">
      <c r="A1523" s="6">
        <f>IFERROR(__xludf.DUMMYFUNCTION("""COMPUTED_VALUE"""),2020.0)</f>
        <v>2020</v>
      </c>
      <c r="B1523" s="6" t="str">
        <f>IFERROR(__xludf.DUMMYFUNCTION("""COMPUTED_VALUE"""),"Junho")</f>
        <v>Junho</v>
      </c>
      <c r="C1523" s="6" t="str">
        <f>IFERROR(__xludf.DUMMYFUNCTION("""COMPUTED_VALUE"""),"HOMICÍDIO DOLOSO (exclui FEMINICÍDIO)")</f>
        <v>HOMICÍDIO DOLOSO (exclui FEMINICÍDIO)</v>
      </c>
      <c r="D1523" s="6">
        <f>IFERROR(__xludf.DUMMYFUNCTION("""COMPUTED_VALUE"""),2.0)</f>
        <v>2</v>
      </c>
      <c r="E1523" s="6">
        <f>IFERROR(__xludf.DUMMYFUNCTION("""COMPUTED_VALUE"""),1.0)</f>
        <v>1</v>
      </c>
      <c r="F1523" s="6">
        <f>IFERROR(__xludf.DUMMYFUNCTION("""COMPUTED_VALUE"""),3.0)</f>
        <v>3</v>
      </c>
      <c r="G1523" s="6">
        <f>IFERROR(__xludf.DUMMYFUNCTION("""COMPUTED_VALUE"""),6.0)</f>
        <v>6</v>
      </c>
    </row>
    <row r="1524">
      <c r="A1524" s="6">
        <f>IFERROR(__xludf.DUMMYFUNCTION("""COMPUTED_VALUE"""),2020.0)</f>
        <v>2020</v>
      </c>
      <c r="B1524" s="6" t="str">
        <f>IFERROR(__xludf.DUMMYFUNCTION("""COMPUTED_VALUE"""),"Junho")</f>
        <v>Junho</v>
      </c>
      <c r="C1524" s="6" t="str">
        <f>IFERROR(__xludf.DUMMYFUNCTION("""COMPUTED_VALUE"""),"FEMINICÍDIO")</f>
        <v>FEMINICÍDIO</v>
      </c>
      <c r="D1524" s="6">
        <f>IFERROR(__xludf.DUMMYFUNCTION("""COMPUTED_VALUE"""),4.0)</f>
        <v>4</v>
      </c>
      <c r="E1524" s="6">
        <f>IFERROR(__xludf.DUMMYFUNCTION("""COMPUTED_VALUE"""),4.0)</f>
        <v>4</v>
      </c>
      <c r="F1524" s="6">
        <f>IFERROR(__xludf.DUMMYFUNCTION("""COMPUTED_VALUE"""),8.0)</f>
        <v>8</v>
      </c>
      <c r="G1524" s="6">
        <f>IFERROR(__xludf.DUMMYFUNCTION("""COMPUTED_VALUE"""),16.0)</f>
        <v>16</v>
      </c>
    </row>
    <row r="1525">
      <c r="A1525" s="6">
        <f>IFERROR(__xludf.DUMMYFUNCTION("""COMPUTED_VALUE"""),2020.0)</f>
        <v>2020</v>
      </c>
      <c r="B1525" s="6" t="str">
        <f>IFERROR(__xludf.DUMMYFUNCTION("""COMPUTED_VALUE"""),"Junho")</f>
        <v>Junho</v>
      </c>
      <c r="C1525" s="6" t="str">
        <f>IFERROR(__xludf.DUMMYFUNCTION("""COMPUTED_VALUE"""),"HOMICÍDIO CULPOSO")</f>
        <v>HOMICÍDIO CULPOSO</v>
      </c>
      <c r="D1525" s="6">
        <f>IFERROR(__xludf.DUMMYFUNCTION("""COMPUTED_VALUE"""),0.0)</f>
        <v>0</v>
      </c>
      <c r="E1525" s="6">
        <f>IFERROR(__xludf.DUMMYFUNCTION("""COMPUTED_VALUE"""),0.0)</f>
        <v>0</v>
      </c>
      <c r="F1525" s="6">
        <f>IFERROR(__xludf.DUMMYFUNCTION("""COMPUTED_VALUE"""),0.0)</f>
        <v>0</v>
      </c>
      <c r="G1525" s="6">
        <f>IFERROR(__xludf.DUMMYFUNCTION("""COMPUTED_VALUE"""),0.0)</f>
        <v>0</v>
      </c>
    </row>
    <row r="1526">
      <c r="A1526" s="6">
        <f>IFERROR(__xludf.DUMMYFUNCTION("""COMPUTED_VALUE"""),2020.0)</f>
        <v>2020</v>
      </c>
      <c r="B1526" s="6" t="str">
        <f>IFERROR(__xludf.DUMMYFUNCTION("""COMPUTED_VALUE"""),"Junho")</f>
        <v>Junho</v>
      </c>
      <c r="C1526" s="6" t="str">
        <f>IFERROR(__xludf.DUMMYFUNCTION("""COMPUTED_VALUE"""),"TENTATIVA DE HOMICÍDIO")</f>
        <v>TENTATIVA DE HOMICÍDIO</v>
      </c>
      <c r="D1526" s="6">
        <f>IFERROR(__xludf.DUMMYFUNCTION("""COMPUTED_VALUE"""),2.0)</f>
        <v>2</v>
      </c>
      <c r="E1526" s="6">
        <f>IFERROR(__xludf.DUMMYFUNCTION("""COMPUTED_VALUE"""),2.0)</f>
        <v>2</v>
      </c>
      <c r="F1526" s="6">
        <f>IFERROR(__xludf.DUMMYFUNCTION("""COMPUTED_VALUE"""),13.0)</f>
        <v>13</v>
      </c>
      <c r="G1526" s="6">
        <f>IFERROR(__xludf.DUMMYFUNCTION("""COMPUTED_VALUE"""),17.0)</f>
        <v>17</v>
      </c>
    </row>
    <row r="1527">
      <c r="A1527" s="6">
        <f>IFERROR(__xludf.DUMMYFUNCTION("""COMPUTED_VALUE"""),2020.0)</f>
        <v>2020</v>
      </c>
      <c r="B1527" s="6" t="str">
        <f>IFERROR(__xludf.DUMMYFUNCTION("""COMPUTED_VALUE"""),"Junho")</f>
        <v>Junho</v>
      </c>
      <c r="C1527" s="6" t="str">
        <f>IFERROR(__xludf.DUMMYFUNCTION("""COMPUTED_VALUE"""),"LESÃO CORPORAL DOLOSA")</f>
        <v>LESÃO CORPORAL DOLOSA</v>
      </c>
      <c r="D1527" s="6">
        <f>IFERROR(__xludf.DUMMYFUNCTION("""COMPUTED_VALUE"""),1014.0)</f>
        <v>1014</v>
      </c>
      <c r="E1527" s="6">
        <f>IFERROR(__xludf.DUMMYFUNCTION("""COMPUTED_VALUE"""),864.0)</f>
        <v>864</v>
      </c>
      <c r="F1527" s="6">
        <f>IFERROR(__xludf.DUMMYFUNCTION("""COMPUTED_VALUE"""),3118.0)</f>
        <v>3118</v>
      </c>
      <c r="G1527" s="6">
        <f>IFERROR(__xludf.DUMMYFUNCTION("""COMPUTED_VALUE"""),4996.0)</f>
        <v>4996</v>
      </c>
    </row>
    <row r="1528">
      <c r="A1528" s="6">
        <f>IFERROR(__xludf.DUMMYFUNCTION("""COMPUTED_VALUE"""),2020.0)</f>
        <v>2020</v>
      </c>
      <c r="B1528" s="6" t="str">
        <f>IFERROR(__xludf.DUMMYFUNCTION("""COMPUTED_VALUE"""),"Junho")</f>
        <v>Junho</v>
      </c>
      <c r="C1528" s="6" t="str">
        <f>IFERROR(__xludf.DUMMYFUNCTION("""COMPUTED_VALUE"""),"MAUS TRATOS")</f>
        <v>MAUS TRATOS</v>
      </c>
      <c r="D1528" s="6">
        <f>IFERROR(__xludf.DUMMYFUNCTION("""COMPUTED_VALUE"""),3.0)</f>
        <v>3</v>
      </c>
      <c r="E1528" s="6">
        <f>IFERROR(__xludf.DUMMYFUNCTION("""COMPUTED_VALUE"""),2.0)</f>
        <v>2</v>
      </c>
      <c r="F1528" s="6">
        <f>IFERROR(__xludf.DUMMYFUNCTION("""COMPUTED_VALUE"""),18.0)</f>
        <v>18</v>
      </c>
      <c r="G1528" s="6">
        <f>IFERROR(__xludf.DUMMYFUNCTION("""COMPUTED_VALUE"""),23.0)</f>
        <v>23</v>
      </c>
    </row>
    <row r="1529">
      <c r="A1529" s="6">
        <f>IFERROR(__xludf.DUMMYFUNCTION("""COMPUTED_VALUE"""),2020.0)</f>
        <v>2020</v>
      </c>
      <c r="B1529" s="6" t="str">
        <f>IFERROR(__xludf.DUMMYFUNCTION("""COMPUTED_VALUE"""),"Junho")</f>
        <v>Junho</v>
      </c>
      <c r="C1529" s="6" t="str">
        <f>IFERROR(__xludf.DUMMYFUNCTION("""COMPUTED_VALUE"""),"CALÚNIA - DIFAMAÇÃO - INJÚRIA")</f>
        <v>CALÚNIA - DIFAMAÇÃO - INJÚRIA</v>
      </c>
      <c r="D1529" s="6">
        <f>IFERROR(__xludf.DUMMYFUNCTION("""COMPUTED_VALUE"""),198.0)</f>
        <v>198</v>
      </c>
      <c r="E1529" s="6">
        <f>IFERROR(__xludf.DUMMYFUNCTION("""COMPUTED_VALUE"""),168.0)</f>
        <v>168</v>
      </c>
      <c r="F1529" s="6">
        <f>IFERROR(__xludf.DUMMYFUNCTION("""COMPUTED_VALUE"""),724.0)</f>
        <v>724</v>
      </c>
      <c r="G1529" s="6">
        <f>IFERROR(__xludf.DUMMYFUNCTION("""COMPUTED_VALUE"""),1090.0)</f>
        <v>1090</v>
      </c>
    </row>
    <row r="1530">
      <c r="A1530" s="6">
        <f>IFERROR(__xludf.DUMMYFUNCTION("""COMPUTED_VALUE"""),2020.0)</f>
        <v>2020</v>
      </c>
      <c r="B1530" s="6" t="str">
        <f>IFERROR(__xludf.DUMMYFUNCTION("""COMPUTED_VALUE"""),"Junho")</f>
        <v>Junho</v>
      </c>
      <c r="C1530" s="6" t="str">
        <f>IFERROR(__xludf.DUMMYFUNCTION("""COMPUTED_VALUE"""),"CONSTRANGIMENTO ILEGAL")</f>
        <v>CONSTRANGIMENTO ILEGAL</v>
      </c>
      <c r="D1530" s="6">
        <f>IFERROR(__xludf.DUMMYFUNCTION("""COMPUTED_VALUE"""),1.0)</f>
        <v>1</v>
      </c>
      <c r="E1530" s="6">
        <f>IFERROR(__xludf.DUMMYFUNCTION("""COMPUTED_VALUE"""),1.0)</f>
        <v>1</v>
      </c>
      <c r="F1530" s="6">
        <f>IFERROR(__xludf.DUMMYFUNCTION("""COMPUTED_VALUE"""),7.0)</f>
        <v>7</v>
      </c>
      <c r="G1530" s="6">
        <f>IFERROR(__xludf.DUMMYFUNCTION("""COMPUTED_VALUE"""),9.0)</f>
        <v>9</v>
      </c>
    </row>
    <row r="1531">
      <c r="A1531" s="6">
        <f>IFERROR(__xludf.DUMMYFUNCTION("""COMPUTED_VALUE"""),2020.0)</f>
        <v>2020</v>
      </c>
      <c r="B1531" s="6" t="str">
        <f>IFERROR(__xludf.DUMMYFUNCTION("""COMPUTED_VALUE"""),"Junho")</f>
        <v>Junho</v>
      </c>
      <c r="C1531" s="6" t="str">
        <f>IFERROR(__xludf.DUMMYFUNCTION("""COMPUTED_VALUE"""),"AMEAÇA")</f>
        <v>AMEAÇA</v>
      </c>
      <c r="D1531" s="6">
        <f>IFERROR(__xludf.DUMMYFUNCTION("""COMPUTED_VALUE"""),948.0)</f>
        <v>948</v>
      </c>
      <c r="E1531" s="6">
        <f>IFERROR(__xludf.DUMMYFUNCTION("""COMPUTED_VALUE"""),852.0)</f>
        <v>852</v>
      </c>
      <c r="F1531" s="6">
        <f>IFERROR(__xludf.DUMMYFUNCTION("""COMPUTED_VALUE"""),3214.0)</f>
        <v>3214</v>
      </c>
      <c r="G1531" s="6">
        <f>IFERROR(__xludf.DUMMYFUNCTION("""COMPUTED_VALUE"""),5014.0)</f>
        <v>5014</v>
      </c>
    </row>
    <row r="1532">
      <c r="A1532" s="6">
        <f>IFERROR(__xludf.DUMMYFUNCTION("""COMPUTED_VALUE"""),2020.0)</f>
        <v>2020</v>
      </c>
      <c r="B1532" s="6" t="str">
        <f>IFERROR(__xludf.DUMMYFUNCTION("""COMPUTED_VALUE"""),"Junho")</f>
        <v>Junho</v>
      </c>
      <c r="C1532" s="6" t="str">
        <f>IFERROR(__xludf.DUMMYFUNCTION("""COMPUTED_VALUE"""),"INVASÃO DE DOMICÍLIO")</f>
        <v>INVASÃO DE DOMICÍLIO</v>
      </c>
      <c r="D1532" s="6">
        <f>IFERROR(__xludf.DUMMYFUNCTION("""COMPUTED_VALUE"""),1.0)</f>
        <v>1</v>
      </c>
      <c r="E1532" s="6">
        <f>IFERROR(__xludf.DUMMYFUNCTION("""COMPUTED_VALUE"""),2.0)</f>
        <v>2</v>
      </c>
      <c r="F1532" s="6">
        <f>IFERROR(__xludf.DUMMYFUNCTION("""COMPUTED_VALUE"""),13.0)</f>
        <v>13</v>
      </c>
      <c r="G1532" s="6">
        <f>IFERROR(__xludf.DUMMYFUNCTION("""COMPUTED_VALUE"""),16.0)</f>
        <v>16</v>
      </c>
    </row>
    <row r="1533">
      <c r="A1533" s="6">
        <f>IFERROR(__xludf.DUMMYFUNCTION("""COMPUTED_VALUE"""),2020.0)</f>
        <v>2020</v>
      </c>
      <c r="B1533" s="6" t="str">
        <f>IFERROR(__xludf.DUMMYFUNCTION("""COMPUTED_VALUE"""),"Junho")</f>
        <v>Junho</v>
      </c>
      <c r="C1533" s="6" t="str">
        <f>IFERROR(__xludf.DUMMYFUNCTION("""COMPUTED_VALUE"""),"DANO")</f>
        <v>DANO</v>
      </c>
      <c r="D1533" s="6">
        <f>IFERROR(__xludf.DUMMYFUNCTION("""COMPUTED_VALUE"""),11.0)</f>
        <v>11</v>
      </c>
      <c r="E1533" s="6">
        <f>IFERROR(__xludf.DUMMYFUNCTION("""COMPUTED_VALUE"""),11.0)</f>
        <v>11</v>
      </c>
      <c r="F1533" s="6">
        <f>IFERROR(__xludf.DUMMYFUNCTION("""COMPUTED_VALUE"""),62.0)</f>
        <v>62</v>
      </c>
      <c r="G1533" s="6">
        <f>IFERROR(__xludf.DUMMYFUNCTION("""COMPUTED_VALUE"""),84.0)</f>
        <v>84</v>
      </c>
    </row>
    <row r="1534">
      <c r="A1534" s="6">
        <f>IFERROR(__xludf.DUMMYFUNCTION("""COMPUTED_VALUE"""),2020.0)</f>
        <v>2020</v>
      </c>
      <c r="B1534" s="6" t="str">
        <f>IFERROR(__xludf.DUMMYFUNCTION("""COMPUTED_VALUE"""),"Junho")</f>
        <v>Junho</v>
      </c>
      <c r="C1534" s="6" t="str">
        <f>IFERROR(__xludf.DUMMYFUNCTION("""COMPUTED_VALUE"""),"ESTUPRO CONSUMADO")</f>
        <v>ESTUPRO CONSUMADO</v>
      </c>
      <c r="D1534" s="6">
        <f>IFERROR(__xludf.DUMMYFUNCTION("""COMPUTED_VALUE"""),10.0)</f>
        <v>10</v>
      </c>
      <c r="E1534" s="6">
        <f>IFERROR(__xludf.DUMMYFUNCTION("""COMPUTED_VALUE"""),7.0)</f>
        <v>7</v>
      </c>
      <c r="F1534" s="6">
        <f>IFERROR(__xludf.DUMMYFUNCTION("""COMPUTED_VALUE"""),19.0)</f>
        <v>19</v>
      </c>
      <c r="G1534" s="6">
        <f>IFERROR(__xludf.DUMMYFUNCTION("""COMPUTED_VALUE"""),36.0)</f>
        <v>36</v>
      </c>
    </row>
    <row r="1535">
      <c r="A1535" s="6">
        <f>IFERROR(__xludf.DUMMYFUNCTION("""COMPUTED_VALUE"""),2020.0)</f>
        <v>2020</v>
      </c>
      <c r="B1535" s="6" t="str">
        <f>IFERROR(__xludf.DUMMYFUNCTION("""COMPUTED_VALUE"""),"Junho")</f>
        <v>Junho</v>
      </c>
      <c r="C1535" s="6" t="str">
        <f>IFERROR(__xludf.DUMMYFUNCTION("""COMPUTED_VALUE"""),"ESTUPRO TENTADO")</f>
        <v>ESTUPRO TENTADO</v>
      </c>
      <c r="D1535" s="6">
        <f>IFERROR(__xludf.DUMMYFUNCTION("""COMPUTED_VALUE"""),1.0)</f>
        <v>1</v>
      </c>
      <c r="E1535" s="6">
        <f>IFERROR(__xludf.DUMMYFUNCTION("""COMPUTED_VALUE"""),0.0)</f>
        <v>0</v>
      </c>
      <c r="F1535" s="6">
        <f>IFERROR(__xludf.DUMMYFUNCTION("""COMPUTED_VALUE"""),1.0)</f>
        <v>1</v>
      </c>
      <c r="G1535" s="6">
        <f>IFERROR(__xludf.DUMMYFUNCTION("""COMPUTED_VALUE"""),2.0)</f>
        <v>2</v>
      </c>
    </row>
    <row r="1536">
      <c r="A1536" s="6">
        <f>IFERROR(__xludf.DUMMYFUNCTION("""COMPUTED_VALUE"""),2020.0)</f>
        <v>2020</v>
      </c>
      <c r="B1536" s="6" t="str">
        <f>IFERROR(__xludf.DUMMYFUNCTION("""COMPUTED_VALUE"""),"Junho")</f>
        <v>Junho</v>
      </c>
      <c r="C1536" s="6" t="str">
        <f>IFERROR(__xludf.DUMMYFUNCTION("""COMPUTED_VALUE"""),"ESTUPRO DE VULNERÁVEL CONSUMADO")</f>
        <v>ESTUPRO DE VULNERÁVEL CONSUMADO</v>
      </c>
      <c r="D1536" s="6">
        <f>IFERROR(__xludf.DUMMYFUNCTION("""COMPUTED_VALUE"""),3.0)</f>
        <v>3</v>
      </c>
      <c r="E1536" s="6">
        <f>IFERROR(__xludf.DUMMYFUNCTION("""COMPUTED_VALUE"""),4.0)</f>
        <v>4</v>
      </c>
      <c r="F1536" s="6">
        <f>IFERROR(__xludf.DUMMYFUNCTION("""COMPUTED_VALUE"""),18.0)</f>
        <v>18</v>
      </c>
      <c r="G1536" s="6">
        <f>IFERROR(__xludf.DUMMYFUNCTION("""COMPUTED_VALUE"""),25.0)</f>
        <v>25</v>
      </c>
    </row>
    <row r="1537">
      <c r="A1537" s="6">
        <f>IFERROR(__xludf.DUMMYFUNCTION("""COMPUTED_VALUE"""),2020.0)</f>
        <v>2020</v>
      </c>
      <c r="B1537" s="6" t="str">
        <f>IFERROR(__xludf.DUMMYFUNCTION("""COMPUTED_VALUE"""),"Junho")</f>
        <v>Junho</v>
      </c>
      <c r="C1537" s="6" t="str">
        <f>IFERROR(__xludf.DUMMYFUNCTION("""COMPUTED_VALUE"""),"OUTROS C/C/ DIGNIDADE SEXUAL")</f>
        <v>OUTROS C/C/ DIGNIDADE SEXUAL</v>
      </c>
      <c r="D1537" s="6">
        <f>IFERROR(__xludf.DUMMYFUNCTION("""COMPUTED_VALUE"""),0.0)</f>
        <v>0</v>
      </c>
      <c r="E1537" s="6">
        <f>IFERROR(__xludf.DUMMYFUNCTION("""COMPUTED_VALUE"""),1.0)</f>
        <v>1</v>
      </c>
      <c r="F1537" s="6">
        <f>IFERROR(__xludf.DUMMYFUNCTION("""COMPUTED_VALUE"""),2.0)</f>
        <v>2</v>
      </c>
      <c r="G1537" s="6">
        <f>IFERROR(__xludf.DUMMYFUNCTION("""COMPUTED_VALUE"""),3.0)</f>
        <v>3</v>
      </c>
    </row>
    <row r="1538">
      <c r="A1538" s="6">
        <f>IFERROR(__xludf.DUMMYFUNCTION("""COMPUTED_VALUE"""),2020.0)</f>
        <v>2020</v>
      </c>
      <c r="B1538" s="6" t="str">
        <f>IFERROR(__xludf.DUMMYFUNCTION("""COMPUTED_VALUE"""),"Julho")</f>
        <v>Julho</v>
      </c>
      <c r="C1538" s="6" t="str">
        <f>IFERROR(__xludf.DUMMYFUNCTION("""COMPUTED_VALUE"""),"HOMICÍDIO DOLOSO (exclui FEMINICÍDIO)")</f>
        <v>HOMICÍDIO DOLOSO (exclui FEMINICÍDIO)</v>
      </c>
      <c r="D1538" s="6">
        <f>IFERROR(__xludf.DUMMYFUNCTION("""COMPUTED_VALUE"""),1.0)</f>
        <v>1</v>
      </c>
      <c r="E1538" s="6">
        <f>IFERROR(__xludf.DUMMYFUNCTION("""COMPUTED_VALUE"""),0.0)</f>
        <v>0</v>
      </c>
      <c r="F1538" s="6">
        <f>IFERROR(__xludf.DUMMYFUNCTION("""COMPUTED_VALUE"""),2.0)</f>
        <v>2</v>
      </c>
      <c r="G1538" s="6">
        <f>IFERROR(__xludf.DUMMYFUNCTION("""COMPUTED_VALUE"""),3.0)</f>
        <v>3</v>
      </c>
    </row>
    <row r="1539">
      <c r="A1539" s="6">
        <f>IFERROR(__xludf.DUMMYFUNCTION("""COMPUTED_VALUE"""),2020.0)</f>
        <v>2020</v>
      </c>
      <c r="B1539" s="6" t="str">
        <f>IFERROR(__xludf.DUMMYFUNCTION("""COMPUTED_VALUE"""),"Julho")</f>
        <v>Julho</v>
      </c>
      <c r="C1539" s="6" t="str">
        <f>IFERROR(__xludf.DUMMYFUNCTION("""COMPUTED_VALUE"""),"FEMINICÍDIO")</f>
        <v>FEMINICÍDIO</v>
      </c>
      <c r="D1539" s="6">
        <f>IFERROR(__xludf.DUMMYFUNCTION("""COMPUTED_VALUE"""),3.0)</f>
        <v>3</v>
      </c>
      <c r="E1539" s="6">
        <f>IFERROR(__xludf.DUMMYFUNCTION("""COMPUTED_VALUE"""),3.0)</f>
        <v>3</v>
      </c>
      <c r="F1539" s="6">
        <f>IFERROR(__xludf.DUMMYFUNCTION("""COMPUTED_VALUE"""),6.0)</f>
        <v>6</v>
      </c>
      <c r="G1539" s="6">
        <f>IFERROR(__xludf.DUMMYFUNCTION("""COMPUTED_VALUE"""),12.0)</f>
        <v>12</v>
      </c>
    </row>
    <row r="1540">
      <c r="A1540" s="6">
        <f>IFERROR(__xludf.DUMMYFUNCTION("""COMPUTED_VALUE"""),2020.0)</f>
        <v>2020</v>
      </c>
      <c r="B1540" s="6" t="str">
        <f>IFERROR(__xludf.DUMMYFUNCTION("""COMPUTED_VALUE"""),"Julho")</f>
        <v>Julho</v>
      </c>
      <c r="C1540" s="6" t="str">
        <f>IFERROR(__xludf.DUMMYFUNCTION("""COMPUTED_VALUE"""),"HOMICÍDIO CULPOSO")</f>
        <v>HOMICÍDIO CULPOSO</v>
      </c>
      <c r="D1540" s="6">
        <f>IFERROR(__xludf.DUMMYFUNCTION("""COMPUTED_VALUE"""),0.0)</f>
        <v>0</v>
      </c>
      <c r="E1540" s="6">
        <f>IFERROR(__xludf.DUMMYFUNCTION("""COMPUTED_VALUE"""),0.0)</f>
        <v>0</v>
      </c>
      <c r="F1540" s="6">
        <f>IFERROR(__xludf.DUMMYFUNCTION("""COMPUTED_VALUE"""),0.0)</f>
        <v>0</v>
      </c>
      <c r="G1540" s="6">
        <f>IFERROR(__xludf.DUMMYFUNCTION("""COMPUTED_VALUE"""),0.0)</f>
        <v>0</v>
      </c>
    </row>
    <row r="1541">
      <c r="A1541" s="6">
        <f>IFERROR(__xludf.DUMMYFUNCTION("""COMPUTED_VALUE"""),2020.0)</f>
        <v>2020</v>
      </c>
      <c r="B1541" s="6" t="str">
        <f>IFERROR(__xludf.DUMMYFUNCTION("""COMPUTED_VALUE"""),"Julho")</f>
        <v>Julho</v>
      </c>
      <c r="C1541" s="6" t="str">
        <f>IFERROR(__xludf.DUMMYFUNCTION("""COMPUTED_VALUE"""),"TENTATIVA DE HOMICÍDIO")</f>
        <v>TENTATIVA DE HOMICÍDIO</v>
      </c>
      <c r="D1541" s="6">
        <f>IFERROR(__xludf.DUMMYFUNCTION("""COMPUTED_VALUE"""),1.0)</f>
        <v>1</v>
      </c>
      <c r="E1541" s="6">
        <f>IFERROR(__xludf.DUMMYFUNCTION("""COMPUTED_VALUE"""),2.0)</f>
        <v>2</v>
      </c>
      <c r="F1541" s="6">
        <f>IFERROR(__xludf.DUMMYFUNCTION("""COMPUTED_VALUE"""),11.0)</f>
        <v>11</v>
      </c>
      <c r="G1541" s="6">
        <f>IFERROR(__xludf.DUMMYFUNCTION("""COMPUTED_VALUE"""),14.0)</f>
        <v>14</v>
      </c>
    </row>
    <row r="1542">
      <c r="A1542" s="6">
        <f>IFERROR(__xludf.DUMMYFUNCTION("""COMPUTED_VALUE"""),2020.0)</f>
        <v>2020</v>
      </c>
      <c r="B1542" s="6" t="str">
        <f>IFERROR(__xludf.DUMMYFUNCTION("""COMPUTED_VALUE"""),"Julho")</f>
        <v>Julho</v>
      </c>
      <c r="C1542" s="6" t="str">
        <f>IFERROR(__xludf.DUMMYFUNCTION("""COMPUTED_VALUE"""),"LESÃO CORPORAL DOLOSA")</f>
        <v>LESÃO CORPORAL DOLOSA</v>
      </c>
      <c r="D1542" s="6">
        <f>IFERROR(__xludf.DUMMYFUNCTION("""COMPUTED_VALUE"""),842.0)</f>
        <v>842</v>
      </c>
      <c r="E1542" s="6">
        <f>IFERROR(__xludf.DUMMYFUNCTION("""COMPUTED_VALUE"""),741.0)</f>
        <v>741</v>
      </c>
      <c r="F1542" s="6">
        <f>IFERROR(__xludf.DUMMYFUNCTION("""COMPUTED_VALUE"""),2831.0)</f>
        <v>2831</v>
      </c>
      <c r="G1542" s="6">
        <f>IFERROR(__xludf.DUMMYFUNCTION("""COMPUTED_VALUE"""),4414.0)</f>
        <v>4414</v>
      </c>
    </row>
    <row r="1543">
      <c r="A1543" s="6">
        <f>IFERROR(__xludf.DUMMYFUNCTION("""COMPUTED_VALUE"""),2020.0)</f>
        <v>2020</v>
      </c>
      <c r="B1543" s="6" t="str">
        <f>IFERROR(__xludf.DUMMYFUNCTION("""COMPUTED_VALUE"""),"Julho")</f>
        <v>Julho</v>
      </c>
      <c r="C1543" s="6" t="str">
        <f>IFERROR(__xludf.DUMMYFUNCTION("""COMPUTED_VALUE"""),"MAUS TRATOS")</f>
        <v>MAUS TRATOS</v>
      </c>
      <c r="D1543" s="6">
        <f>IFERROR(__xludf.DUMMYFUNCTION("""COMPUTED_VALUE"""),2.0)</f>
        <v>2</v>
      </c>
      <c r="E1543" s="6">
        <f>IFERROR(__xludf.DUMMYFUNCTION("""COMPUTED_VALUE"""),2.0)</f>
        <v>2</v>
      </c>
      <c r="F1543" s="6">
        <f>IFERROR(__xludf.DUMMYFUNCTION("""COMPUTED_VALUE"""),15.0)</f>
        <v>15</v>
      </c>
      <c r="G1543" s="6">
        <f>IFERROR(__xludf.DUMMYFUNCTION("""COMPUTED_VALUE"""),19.0)</f>
        <v>19</v>
      </c>
    </row>
    <row r="1544">
      <c r="A1544" s="6">
        <f>IFERROR(__xludf.DUMMYFUNCTION("""COMPUTED_VALUE"""),2020.0)</f>
        <v>2020</v>
      </c>
      <c r="B1544" s="6" t="str">
        <f>IFERROR(__xludf.DUMMYFUNCTION("""COMPUTED_VALUE"""),"Julho")</f>
        <v>Julho</v>
      </c>
      <c r="C1544" s="6" t="str">
        <f>IFERROR(__xludf.DUMMYFUNCTION("""COMPUTED_VALUE"""),"CALÚNIA - DIFAMAÇÃO - INJÚRIA")</f>
        <v>CALÚNIA - DIFAMAÇÃO - INJÚRIA</v>
      </c>
      <c r="D1544" s="6">
        <f>IFERROR(__xludf.DUMMYFUNCTION("""COMPUTED_VALUE"""),172.0)</f>
        <v>172</v>
      </c>
      <c r="E1544" s="6">
        <f>IFERROR(__xludf.DUMMYFUNCTION("""COMPUTED_VALUE"""),151.0)</f>
        <v>151</v>
      </c>
      <c r="F1544" s="6">
        <f>IFERROR(__xludf.DUMMYFUNCTION("""COMPUTED_VALUE"""),649.0)</f>
        <v>649</v>
      </c>
      <c r="G1544" s="6">
        <f>IFERROR(__xludf.DUMMYFUNCTION("""COMPUTED_VALUE"""),972.0)</f>
        <v>972</v>
      </c>
    </row>
    <row r="1545">
      <c r="A1545" s="6">
        <f>IFERROR(__xludf.DUMMYFUNCTION("""COMPUTED_VALUE"""),2020.0)</f>
        <v>2020</v>
      </c>
      <c r="B1545" s="6" t="str">
        <f>IFERROR(__xludf.DUMMYFUNCTION("""COMPUTED_VALUE"""),"Julho")</f>
        <v>Julho</v>
      </c>
      <c r="C1545" s="6" t="str">
        <f>IFERROR(__xludf.DUMMYFUNCTION("""COMPUTED_VALUE"""),"CONSTRANGIMENTO ILEGAL")</f>
        <v>CONSTRANGIMENTO ILEGAL</v>
      </c>
      <c r="D1545" s="6">
        <f>IFERROR(__xludf.DUMMYFUNCTION("""COMPUTED_VALUE"""),1.0)</f>
        <v>1</v>
      </c>
      <c r="E1545" s="6">
        <f>IFERROR(__xludf.DUMMYFUNCTION("""COMPUTED_VALUE"""),0.0)</f>
        <v>0</v>
      </c>
      <c r="F1545" s="6">
        <f>IFERROR(__xludf.DUMMYFUNCTION("""COMPUTED_VALUE"""),5.0)</f>
        <v>5</v>
      </c>
      <c r="G1545" s="6">
        <f>IFERROR(__xludf.DUMMYFUNCTION("""COMPUTED_VALUE"""),6.0)</f>
        <v>6</v>
      </c>
    </row>
    <row r="1546">
      <c r="A1546" s="6">
        <f>IFERROR(__xludf.DUMMYFUNCTION("""COMPUTED_VALUE"""),2020.0)</f>
        <v>2020</v>
      </c>
      <c r="B1546" s="6" t="str">
        <f>IFERROR(__xludf.DUMMYFUNCTION("""COMPUTED_VALUE"""),"Julho")</f>
        <v>Julho</v>
      </c>
      <c r="C1546" s="6" t="str">
        <f>IFERROR(__xludf.DUMMYFUNCTION("""COMPUTED_VALUE"""),"AMEAÇA")</f>
        <v>AMEAÇA</v>
      </c>
      <c r="D1546" s="6">
        <f>IFERROR(__xludf.DUMMYFUNCTION("""COMPUTED_VALUE"""),811.0)</f>
        <v>811</v>
      </c>
      <c r="E1546" s="6">
        <f>IFERROR(__xludf.DUMMYFUNCTION("""COMPUTED_VALUE"""),743.0)</f>
        <v>743</v>
      </c>
      <c r="F1546" s="6">
        <f>IFERROR(__xludf.DUMMYFUNCTION("""COMPUTED_VALUE"""),2894.0)</f>
        <v>2894</v>
      </c>
      <c r="G1546" s="6">
        <f>IFERROR(__xludf.DUMMYFUNCTION("""COMPUTED_VALUE"""),4448.0)</f>
        <v>4448</v>
      </c>
    </row>
    <row r="1547">
      <c r="A1547" s="6">
        <f>IFERROR(__xludf.DUMMYFUNCTION("""COMPUTED_VALUE"""),2020.0)</f>
        <v>2020</v>
      </c>
      <c r="B1547" s="6" t="str">
        <f>IFERROR(__xludf.DUMMYFUNCTION("""COMPUTED_VALUE"""),"Julho")</f>
        <v>Julho</v>
      </c>
      <c r="C1547" s="6" t="str">
        <f>IFERROR(__xludf.DUMMYFUNCTION("""COMPUTED_VALUE"""),"INVASÃO DE DOMICÍLIO")</f>
        <v>INVASÃO DE DOMICÍLIO</v>
      </c>
      <c r="D1547" s="6">
        <f>IFERROR(__xludf.DUMMYFUNCTION("""COMPUTED_VALUE"""),1.0)</f>
        <v>1</v>
      </c>
      <c r="E1547" s="6">
        <f>IFERROR(__xludf.DUMMYFUNCTION("""COMPUTED_VALUE"""),2.0)</f>
        <v>2</v>
      </c>
      <c r="F1547" s="6">
        <f>IFERROR(__xludf.DUMMYFUNCTION("""COMPUTED_VALUE"""),12.0)</f>
        <v>12</v>
      </c>
      <c r="G1547" s="6">
        <f>IFERROR(__xludf.DUMMYFUNCTION("""COMPUTED_VALUE"""),15.0)</f>
        <v>15</v>
      </c>
    </row>
    <row r="1548">
      <c r="A1548" s="6">
        <f>IFERROR(__xludf.DUMMYFUNCTION("""COMPUTED_VALUE"""),2020.0)</f>
        <v>2020</v>
      </c>
      <c r="B1548" s="6" t="str">
        <f>IFERROR(__xludf.DUMMYFUNCTION("""COMPUTED_VALUE"""),"Julho")</f>
        <v>Julho</v>
      </c>
      <c r="C1548" s="6" t="str">
        <f>IFERROR(__xludf.DUMMYFUNCTION("""COMPUTED_VALUE"""),"DANO")</f>
        <v>DANO</v>
      </c>
      <c r="D1548" s="6">
        <f>IFERROR(__xludf.DUMMYFUNCTION("""COMPUTED_VALUE"""),9.0)</f>
        <v>9</v>
      </c>
      <c r="E1548" s="6">
        <f>IFERROR(__xludf.DUMMYFUNCTION("""COMPUTED_VALUE"""),9.0)</f>
        <v>9</v>
      </c>
      <c r="F1548" s="6">
        <f>IFERROR(__xludf.DUMMYFUNCTION("""COMPUTED_VALUE"""),51.0)</f>
        <v>51</v>
      </c>
      <c r="G1548" s="6">
        <f>IFERROR(__xludf.DUMMYFUNCTION("""COMPUTED_VALUE"""),69.0)</f>
        <v>69</v>
      </c>
    </row>
    <row r="1549">
      <c r="A1549" s="6">
        <f>IFERROR(__xludf.DUMMYFUNCTION("""COMPUTED_VALUE"""),2020.0)</f>
        <v>2020</v>
      </c>
      <c r="B1549" s="6" t="str">
        <f>IFERROR(__xludf.DUMMYFUNCTION("""COMPUTED_VALUE"""),"Julho")</f>
        <v>Julho</v>
      </c>
      <c r="C1549" s="6" t="str">
        <f>IFERROR(__xludf.DUMMYFUNCTION("""COMPUTED_VALUE"""),"ESTUPRO CONSUMADO")</f>
        <v>ESTUPRO CONSUMADO</v>
      </c>
      <c r="D1549" s="6">
        <f>IFERROR(__xludf.DUMMYFUNCTION("""COMPUTED_VALUE"""),9.0)</f>
        <v>9</v>
      </c>
      <c r="E1549" s="6">
        <f>IFERROR(__xludf.DUMMYFUNCTION("""COMPUTED_VALUE"""),6.0)</f>
        <v>6</v>
      </c>
      <c r="F1549" s="6">
        <f>IFERROR(__xludf.DUMMYFUNCTION("""COMPUTED_VALUE"""),17.0)</f>
        <v>17</v>
      </c>
      <c r="G1549" s="6">
        <f>IFERROR(__xludf.DUMMYFUNCTION("""COMPUTED_VALUE"""),32.0)</f>
        <v>32</v>
      </c>
    </row>
    <row r="1550">
      <c r="A1550" s="6">
        <f>IFERROR(__xludf.DUMMYFUNCTION("""COMPUTED_VALUE"""),2020.0)</f>
        <v>2020</v>
      </c>
      <c r="B1550" s="6" t="str">
        <f>IFERROR(__xludf.DUMMYFUNCTION("""COMPUTED_VALUE"""),"Julho")</f>
        <v>Julho</v>
      </c>
      <c r="C1550" s="6" t="str">
        <f>IFERROR(__xludf.DUMMYFUNCTION("""COMPUTED_VALUE"""),"ESTUPRO TENTADO")</f>
        <v>ESTUPRO TENTADO</v>
      </c>
      <c r="D1550" s="6">
        <f>IFERROR(__xludf.DUMMYFUNCTION("""COMPUTED_VALUE"""),0.0)</f>
        <v>0</v>
      </c>
      <c r="E1550" s="6">
        <f>IFERROR(__xludf.DUMMYFUNCTION("""COMPUTED_VALUE"""),0.0)</f>
        <v>0</v>
      </c>
      <c r="F1550" s="6">
        <f>IFERROR(__xludf.DUMMYFUNCTION("""COMPUTED_VALUE"""),1.0)</f>
        <v>1</v>
      </c>
      <c r="G1550" s="6">
        <f>IFERROR(__xludf.DUMMYFUNCTION("""COMPUTED_VALUE"""),1.0)</f>
        <v>1</v>
      </c>
    </row>
    <row r="1551">
      <c r="A1551" s="6">
        <f>IFERROR(__xludf.DUMMYFUNCTION("""COMPUTED_VALUE"""),2020.0)</f>
        <v>2020</v>
      </c>
      <c r="B1551" s="6" t="str">
        <f>IFERROR(__xludf.DUMMYFUNCTION("""COMPUTED_VALUE"""),"Julho")</f>
        <v>Julho</v>
      </c>
      <c r="C1551" s="6" t="str">
        <f>IFERROR(__xludf.DUMMYFUNCTION("""COMPUTED_VALUE"""),"ESTUPRO DE VULNERÁVEL CONSUMADO")</f>
        <v>ESTUPRO DE VULNERÁVEL CONSUMADO</v>
      </c>
      <c r="D1551" s="6">
        <f>IFERROR(__xludf.DUMMYFUNCTION("""COMPUTED_VALUE"""),3.0)</f>
        <v>3</v>
      </c>
      <c r="E1551" s="6">
        <f>IFERROR(__xludf.DUMMYFUNCTION("""COMPUTED_VALUE"""),4.0)</f>
        <v>4</v>
      </c>
      <c r="F1551" s="6">
        <f>IFERROR(__xludf.DUMMYFUNCTION("""COMPUTED_VALUE"""),16.0)</f>
        <v>16</v>
      </c>
      <c r="G1551" s="6">
        <f>IFERROR(__xludf.DUMMYFUNCTION("""COMPUTED_VALUE"""),23.0)</f>
        <v>23</v>
      </c>
    </row>
    <row r="1552">
      <c r="A1552" s="6">
        <f>IFERROR(__xludf.DUMMYFUNCTION("""COMPUTED_VALUE"""),2020.0)</f>
        <v>2020</v>
      </c>
      <c r="B1552" s="6" t="str">
        <f>IFERROR(__xludf.DUMMYFUNCTION("""COMPUTED_VALUE"""),"Julho")</f>
        <v>Julho</v>
      </c>
      <c r="C1552" s="6" t="str">
        <f>IFERROR(__xludf.DUMMYFUNCTION("""COMPUTED_VALUE"""),"OUTROS C/C/ DIGNIDADE SEXUAL")</f>
        <v>OUTROS C/C/ DIGNIDADE SEXUAL</v>
      </c>
      <c r="D1552" s="6">
        <f>IFERROR(__xludf.DUMMYFUNCTION("""COMPUTED_VALUE"""),0.0)</f>
        <v>0</v>
      </c>
      <c r="E1552" s="6">
        <f>IFERROR(__xludf.DUMMYFUNCTION("""COMPUTED_VALUE"""),0.0)</f>
        <v>0</v>
      </c>
      <c r="F1552" s="6">
        <f>IFERROR(__xludf.DUMMYFUNCTION("""COMPUTED_VALUE"""),2.0)</f>
        <v>2</v>
      </c>
      <c r="G1552" s="6">
        <f>IFERROR(__xludf.DUMMYFUNCTION("""COMPUTED_VALUE"""),2.0)</f>
        <v>2</v>
      </c>
    </row>
    <row r="1553">
      <c r="A1553" s="6">
        <f>IFERROR(__xludf.DUMMYFUNCTION("""COMPUTED_VALUE"""),2020.0)</f>
        <v>2020</v>
      </c>
      <c r="B1553" s="6" t="str">
        <f>IFERROR(__xludf.DUMMYFUNCTION("""COMPUTED_VALUE"""),"Agosto")</f>
        <v>Agosto</v>
      </c>
      <c r="C1553" s="6" t="str">
        <f>IFERROR(__xludf.DUMMYFUNCTION("""COMPUTED_VALUE"""),"HOMICÍDIO DOLOSO (exclui FEMINICÍDIO)")</f>
        <v>HOMICÍDIO DOLOSO (exclui FEMINICÍDIO)</v>
      </c>
      <c r="D1553" s="6">
        <f>IFERROR(__xludf.DUMMYFUNCTION("""COMPUTED_VALUE"""),2.0)</f>
        <v>2</v>
      </c>
      <c r="E1553" s="6">
        <f>IFERROR(__xludf.DUMMYFUNCTION("""COMPUTED_VALUE"""),0.0)</f>
        <v>0</v>
      </c>
      <c r="F1553" s="6">
        <f>IFERROR(__xludf.DUMMYFUNCTION("""COMPUTED_VALUE"""),1.0)</f>
        <v>1</v>
      </c>
      <c r="G1553" s="6">
        <f>IFERROR(__xludf.DUMMYFUNCTION("""COMPUTED_VALUE"""),3.0)</f>
        <v>3</v>
      </c>
    </row>
    <row r="1554">
      <c r="A1554" s="6">
        <f>IFERROR(__xludf.DUMMYFUNCTION("""COMPUTED_VALUE"""),2020.0)</f>
        <v>2020</v>
      </c>
      <c r="B1554" s="6" t="str">
        <f>IFERROR(__xludf.DUMMYFUNCTION("""COMPUTED_VALUE"""),"Agosto")</f>
        <v>Agosto</v>
      </c>
      <c r="C1554" s="6" t="str">
        <f>IFERROR(__xludf.DUMMYFUNCTION("""COMPUTED_VALUE"""),"FEMINICÍDIO")</f>
        <v>FEMINICÍDIO</v>
      </c>
      <c r="D1554" s="6">
        <f>IFERROR(__xludf.DUMMYFUNCTION("""COMPUTED_VALUE"""),3.0)</f>
        <v>3</v>
      </c>
      <c r="E1554" s="6">
        <f>IFERROR(__xludf.DUMMYFUNCTION("""COMPUTED_VALUE"""),4.0)</f>
        <v>4</v>
      </c>
      <c r="F1554" s="6">
        <f>IFERROR(__xludf.DUMMYFUNCTION("""COMPUTED_VALUE"""),7.0)</f>
        <v>7</v>
      </c>
      <c r="G1554" s="6">
        <f>IFERROR(__xludf.DUMMYFUNCTION("""COMPUTED_VALUE"""),14.0)</f>
        <v>14</v>
      </c>
    </row>
    <row r="1555">
      <c r="A1555" s="6">
        <f>IFERROR(__xludf.DUMMYFUNCTION("""COMPUTED_VALUE"""),2020.0)</f>
        <v>2020</v>
      </c>
      <c r="B1555" s="6" t="str">
        <f>IFERROR(__xludf.DUMMYFUNCTION("""COMPUTED_VALUE"""),"Agosto")</f>
        <v>Agosto</v>
      </c>
      <c r="C1555" s="6" t="str">
        <f>IFERROR(__xludf.DUMMYFUNCTION("""COMPUTED_VALUE"""),"HOMICÍDIO CULPOSO")</f>
        <v>HOMICÍDIO CULPOSO</v>
      </c>
      <c r="D1555" s="6">
        <f>IFERROR(__xludf.DUMMYFUNCTION("""COMPUTED_VALUE"""),0.0)</f>
        <v>0</v>
      </c>
      <c r="E1555" s="6">
        <f>IFERROR(__xludf.DUMMYFUNCTION("""COMPUTED_VALUE"""),0.0)</f>
        <v>0</v>
      </c>
      <c r="F1555" s="6">
        <f>IFERROR(__xludf.DUMMYFUNCTION("""COMPUTED_VALUE"""),0.0)</f>
        <v>0</v>
      </c>
      <c r="G1555" s="6">
        <f>IFERROR(__xludf.DUMMYFUNCTION("""COMPUTED_VALUE"""),0.0)</f>
        <v>0</v>
      </c>
    </row>
    <row r="1556">
      <c r="A1556" s="6">
        <f>IFERROR(__xludf.DUMMYFUNCTION("""COMPUTED_VALUE"""),2020.0)</f>
        <v>2020</v>
      </c>
      <c r="B1556" s="6" t="str">
        <f>IFERROR(__xludf.DUMMYFUNCTION("""COMPUTED_VALUE"""),"Agosto")</f>
        <v>Agosto</v>
      </c>
      <c r="C1556" s="6" t="str">
        <f>IFERROR(__xludf.DUMMYFUNCTION("""COMPUTED_VALUE"""),"TENTATIVA DE HOMICÍDIO")</f>
        <v>TENTATIVA DE HOMICÍDIO</v>
      </c>
      <c r="D1556" s="6">
        <f>IFERROR(__xludf.DUMMYFUNCTION("""COMPUTED_VALUE"""),2.0)</f>
        <v>2</v>
      </c>
      <c r="E1556" s="6">
        <f>IFERROR(__xludf.DUMMYFUNCTION("""COMPUTED_VALUE"""),3.0)</f>
        <v>3</v>
      </c>
      <c r="F1556" s="6">
        <f>IFERROR(__xludf.DUMMYFUNCTION("""COMPUTED_VALUE"""),12.0)</f>
        <v>12</v>
      </c>
      <c r="G1556" s="6">
        <f>IFERROR(__xludf.DUMMYFUNCTION("""COMPUTED_VALUE"""),17.0)</f>
        <v>17</v>
      </c>
    </row>
    <row r="1557">
      <c r="A1557" s="6">
        <f>IFERROR(__xludf.DUMMYFUNCTION("""COMPUTED_VALUE"""),2020.0)</f>
        <v>2020</v>
      </c>
      <c r="B1557" s="6" t="str">
        <f>IFERROR(__xludf.DUMMYFUNCTION("""COMPUTED_VALUE"""),"Agosto")</f>
        <v>Agosto</v>
      </c>
      <c r="C1557" s="6" t="str">
        <f>IFERROR(__xludf.DUMMYFUNCTION("""COMPUTED_VALUE"""),"LESÃO CORPORAL DOLOSA")</f>
        <v>LESÃO CORPORAL DOLOSA</v>
      </c>
      <c r="D1557" s="6">
        <f>IFERROR(__xludf.DUMMYFUNCTION("""COMPUTED_VALUE"""),913.0)</f>
        <v>913</v>
      </c>
      <c r="E1557" s="6">
        <f>IFERROR(__xludf.DUMMYFUNCTION("""COMPUTED_VALUE"""),805.0)</f>
        <v>805</v>
      </c>
      <c r="F1557" s="6">
        <f>IFERROR(__xludf.DUMMYFUNCTION("""COMPUTED_VALUE"""),2914.0)</f>
        <v>2914</v>
      </c>
      <c r="G1557" s="6">
        <f>IFERROR(__xludf.DUMMYFUNCTION("""COMPUTED_VALUE"""),4632.0)</f>
        <v>4632</v>
      </c>
    </row>
    <row r="1558">
      <c r="A1558" s="6">
        <f>IFERROR(__xludf.DUMMYFUNCTION("""COMPUTED_VALUE"""),2020.0)</f>
        <v>2020</v>
      </c>
      <c r="B1558" s="6" t="str">
        <f>IFERROR(__xludf.DUMMYFUNCTION("""COMPUTED_VALUE"""),"Agosto")</f>
        <v>Agosto</v>
      </c>
      <c r="C1558" s="6" t="str">
        <f>IFERROR(__xludf.DUMMYFUNCTION("""COMPUTED_VALUE"""),"MAUS TRATOS")</f>
        <v>MAUS TRATOS</v>
      </c>
      <c r="D1558" s="6">
        <f>IFERROR(__xludf.DUMMYFUNCTION("""COMPUTED_VALUE"""),3.0)</f>
        <v>3</v>
      </c>
      <c r="E1558" s="6">
        <f>IFERROR(__xludf.DUMMYFUNCTION("""COMPUTED_VALUE"""),2.0)</f>
        <v>2</v>
      </c>
      <c r="F1558" s="6">
        <f>IFERROR(__xludf.DUMMYFUNCTION("""COMPUTED_VALUE"""),17.0)</f>
        <v>17</v>
      </c>
      <c r="G1558" s="6">
        <f>IFERROR(__xludf.DUMMYFUNCTION("""COMPUTED_VALUE"""),22.0)</f>
        <v>22</v>
      </c>
    </row>
    <row r="1559">
      <c r="A1559" s="6">
        <f>IFERROR(__xludf.DUMMYFUNCTION("""COMPUTED_VALUE"""),2020.0)</f>
        <v>2020</v>
      </c>
      <c r="B1559" s="6" t="str">
        <f>IFERROR(__xludf.DUMMYFUNCTION("""COMPUTED_VALUE"""),"Agosto")</f>
        <v>Agosto</v>
      </c>
      <c r="C1559" s="6" t="str">
        <f>IFERROR(__xludf.DUMMYFUNCTION("""COMPUTED_VALUE"""),"CALÚNIA - DIFAMAÇÃO - INJÚRIA")</f>
        <v>CALÚNIA - DIFAMAÇÃO - INJÚRIA</v>
      </c>
      <c r="D1559" s="6">
        <f>IFERROR(__xludf.DUMMYFUNCTION("""COMPUTED_VALUE"""),191.0)</f>
        <v>191</v>
      </c>
      <c r="E1559" s="6">
        <f>IFERROR(__xludf.DUMMYFUNCTION("""COMPUTED_VALUE"""),168.0)</f>
        <v>168</v>
      </c>
      <c r="F1559" s="6">
        <f>IFERROR(__xludf.DUMMYFUNCTION("""COMPUTED_VALUE"""),702.0)</f>
        <v>702</v>
      </c>
      <c r="G1559" s="6">
        <f>IFERROR(__xludf.DUMMYFUNCTION("""COMPUTED_VALUE"""),1061.0)</f>
        <v>1061</v>
      </c>
    </row>
    <row r="1560">
      <c r="A1560" s="6">
        <f>IFERROR(__xludf.DUMMYFUNCTION("""COMPUTED_VALUE"""),2020.0)</f>
        <v>2020</v>
      </c>
      <c r="B1560" s="6" t="str">
        <f>IFERROR(__xludf.DUMMYFUNCTION("""COMPUTED_VALUE"""),"Agosto")</f>
        <v>Agosto</v>
      </c>
      <c r="C1560" s="6" t="str">
        <f>IFERROR(__xludf.DUMMYFUNCTION("""COMPUTED_VALUE"""),"CONSTRANGIMENTO ILEGAL")</f>
        <v>CONSTRANGIMENTO ILEGAL</v>
      </c>
      <c r="D1560" s="6">
        <f>IFERROR(__xludf.DUMMYFUNCTION("""COMPUTED_VALUE"""),1.0)</f>
        <v>1</v>
      </c>
      <c r="E1560" s="6">
        <f>IFERROR(__xludf.DUMMYFUNCTION("""COMPUTED_VALUE"""),0.0)</f>
        <v>0</v>
      </c>
      <c r="F1560" s="6">
        <f>IFERROR(__xludf.DUMMYFUNCTION("""COMPUTED_VALUE"""),6.0)</f>
        <v>6</v>
      </c>
      <c r="G1560" s="6">
        <f>IFERROR(__xludf.DUMMYFUNCTION("""COMPUTED_VALUE"""),7.0)</f>
        <v>7</v>
      </c>
    </row>
    <row r="1561">
      <c r="A1561" s="6">
        <f>IFERROR(__xludf.DUMMYFUNCTION("""COMPUTED_VALUE"""),2020.0)</f>
        <v>2020</v>
      </c>
      <c r="B1561" s="6" t="str">
        <f>IFERROR(__xludf.DUMMYFUNCTION("""COMPUTED_VALUE"""),"Agosto")</f>
        <v>Agosto</v>
      </c>
      <c r="C1561" s="6" t="str">
        <f>IFERROR(__xludf.DUMMYFUNCTION("""COMPUTED_VALUE"""),"AMEAÇA")</f>
        <v>AMEAÇA</v>
      </c>
      <c r="D1561" s="6">
        <f>IFERROR(__xludf.DUMMYFUNCTION("""COMPUTED_VALUE"""),884.0)</f>
        <v>884</v>
      </c>
      <c r="E1561" s="6">
        <f>IFERROR(__xludf.DUMMYFUNCTION("""COMPUTED_VALUE"""),812.0)</f>
        <v>812</v>
      </c>
      <c r="F1561" s="6">
        <f>IFERROR(__xludf.DUMMYFUNCTION("""COMPUTED_VALUE"""),3012.0)</f>
        <v>3012</v>
      </c>
      <c r="G1561" s="6">
        <f>IFERROR(__xludf.DUMMYFUNCTION("""COMPUTED_VALUE"""),4708.0)</f>
        <v>4708</v>
      </c>
    </row>
    <row r="1562">
      <c r="A1562" s="6">
        <f>IFERROR(__xludf.DUMMYFUNCTION("""COMPUTED_VALUE"""),2020.0)</f>
        <v>2020</v>
      </c>
      <c r="B1562" s="6" t="str">
        <f>IFERROR(__xludf.DUMMYFUNCTION("""COMPUTED_VALUE"""),"Agosto")</f>
        <v>Agosto</v>
      </c>
      <c r="C1562" s="6" t="str">
        <f>IFERROR(__xludf.DUMMYFUNCTION("""COMPUTED_VALUE"""),"INVASÃO DE DOMICÍLIO")</f>
        <v>INVASÃO DE DOMICÍLIO</v>
      </c>
      <c r="D1562" s="6">
        <f>IFERROR(__xludf.DUMMYFUNCTION("""COMPUTED_VALUE"""),1.0)</f>
        <v>1</v>
      </c>
      <c r="E1562" s="6">
        <f>IFERROR(__xludf.DUMMYFUNCTION("""COMPUTED_VALUE"""),2.0)</f>
        <v>2</v>
      </c>
      <c r="F1562" s="6">
        <f>IFERROR(__xludf.DUMMYFUNCTION("""COMPUTED_VALUE"""),13.0)</f>
        <v>13</v>
      </c>
      <c r="G1562" s="6">
        <f>IFERROR(__xludf.DUMMYFUNCTION("""COMPUTED_VALUE"""),16.0)</f>
        <v>16</v>
      </c>
    </row>
    <row r="1563">
      <c r="A1563" s="6">
        <f>IFERROR(__xludf.DUMMYFUNCTION("""COMPUTED_VALUE"""),2020.0)</f>
        <v>2020</v>
      </c>
      <c r="B1563" s="6" t="str">
        <f>IFERROR(__xludf.DUMMYFUNCTION("""COMPUTED_VALUE"""),"Agosto")</f>
        <v>Agosto</v>
      </c>
      <c r="C1563" s="6" t="str">
        <f>IFERROR(__xludf.DUMMYFUNCTION("""COMPUTED_VALUE"""),"DANO")</f>
        <v>DANO</v>
      </c>
      <c r="D1563" s="6">
        <f>IFERROR(__xludf.DUMMYFUNCTION("""COMPUTED_VALUE"""),11.0)</f>
        <v>11</v>
      </c>
      <c r="E1563" s="6">
        <f>IFERROR(__xludf.DUMMYFUNCTION("""COMPUTED_VALUE"""),10.0)</f>
        <v>10</v>
      </c>
      <c r="F1563" s="6">
        <f>IFERROR(__xludf.DUMMYFUNCTION("""COMPUTED_VALUE"""),56.0)</f>
        <v>56</v>
      </c>
      <c r="G1563" s="6">
        <f>IFERROR(__xludf.DUMMYFUNCTION("""COMPUTED_VALUE"""),77.0)</f>
        <v>77</v>
      </c>
    </row>
    <row r="1564">
      <c r="A1564" s="6">
        <f>IFERROR(__xludf.DUMMYFUNCTION("""COMPUTED_VALUE"""),2020.0)</f>
        <v>2020</v>
      </c>
      <c r="B1564" s="6" t="str">
        <f>IFERROR(__xludf.DUMMYFUNCTION("""COMPUTED_VALUE"""),"Agosto")</f>
        <v>Agosto</v>
      </c>
      <c r="C1564" s="6" t="str">
        <f>IFERROR(__xludf.DUMMYFUNCTION("""COMPUTED_VALUE"""),"ESTUPRO CONSUMADO")</f>
        <v>ESTUPRO CONSUMADO</v>
      </c>
      <c r="D1564" s="6">
        <f>IFERROR(__xludf.DUMMYFUNCTION("""COMPUTED_VALUE"""),10.0)</f>
        <v>10</v>
      </c>
      <c r="E1564" s="6">
        <f>IFERROR(__xludf.DUMMYFUNCTION("""COMPUTED_VALUE"""),7.0)</f>
        <v>7</v>
      </c>
      <c r="F1564" s="6">
        <f>IFERROR(__xludf.DUMMYFUNCTION("""COMPUTED_VALUE"""),18.0)</f>
        <v>18</v>
      </c>
      <c r="G1564" s="6">
        <f>IFERROR(__xludf.DUMMYFUNCTION("""COMPUTED_VALUE"""),35.0)</f>
        <v>35</v>
      </c>
    </row>
    <row r="1565">
      <c r="A1565" s="6">
        <f>IFERROR(__xludf.DUMMYFUNCTION("""COMPUTED_VALUE"""),2020.0)</f>
        <v>2020</v>
      </c>
      <c r="B1565" s="6" t="str">
        <f>IFERROR(__xludf.DUMMYFUNCTION("""COMPUTED_VALUE"""),"Agosto")</f>
        <v>Agosto</v>
      </c>
      <c r="C1565" s="6" t="str">
        <f>IFERROR(__xludf.DUMMYFUNCTION("""COMPUTED_VALUE"""),"ESTUPRO TENTADO")</f>
        <v>ESTUPRO TENTADO</v>
      </c>
      <c r="D1565" s="6">
        <f>IFERROR(__xludf.DUMMYFUNCTION("""COMPUTED_VALUE"""),0.0)</f>
        <v>0</v>
      </c>
      <c r="E1565" s="6">
        <f>IFERROR(__xludf.DUMMYFUNCTION("""COMPUTED_VALUE"""),0.0)</f>
        <v>0</v>
      </c>
      <c r="F1565" s="6">
        <f>IFERROR(__xludf.DUMMYFUNCTION("""COMPUTED_VALUE"""),1.0)</f>
        <v>1</v>
      </c>
      <c r="G1565" s="6">
        <f>IFERROR(__xludf.DUMMYFUNCTION("""COMPUTED_VALUE"""),1.0)</f>
        <v>1</v>
      </c>
    </row>
    <row r="1566">
      <c r="A1566" s="6">
        <f>IFERROR(__xludf.DUMMYFUNCTION("""COMPUTED_VALUE"""),2020.0)</f>
        <v>2020</v>
      </c>
      <c r="B1566" s="6" t="str">
        <f>IFERROR(__xludf.DUMMYFUNCTION("""COMPUTED_VALUE"""),"Agosto")</f>
        <v>Agosto</v>
      </c>
      <c r="C1566" s="6" t="str">
        <f>IFERROR(__xludf.DUMMYFUNCTION("""COMPUTED_VALUE"""),"ESTUPRO DE VULNERÁVEL CONSUMADO")</f>
        <v>ESTUPRO DE VULNERÁVEL CONSUMADO</v>
      </c>
      <c r="D1566" s="6">
        <f>IFERROR(__xludf.DUMMYFUNCTION("""COMPUTED_VALUE"""),3.0)</f>
        <v>3</v>
      </c>
      <c r="E1566" s="6">
        <f>IFERROR(__xludf.DUMMYFUNCTION("""COMPUTED_VALUE"""),4.0)</f>
        <v>4</v>
      </c>
      <c r="F1566" s="6">
        <f>IFERROR(__xludf.DUMMYFUNCTION("""COMPUTED_VALUE"""),18.0)</f>
        <v>18</v>
      </c>
      <c r="G1566" s="6">
        <f>IFERROR(__xludf.DUMMYFUNCTION("""COMPUTED_VALUE"""),25.0)</f>
        <v>25</v>
      </c>
    </row>
    <row r="1567">
      <c r="A1567" s="6">
        <f>IFERROR(__xludf.DUMMYFUNCTION("""COMPUTED_VALUE"""),2020.0)</f>
        <v>2020</v>
      </c>
      <c r="B1567" s="6" t="str">
        <f>IFERROR(__xludf.DUMMYFUNCTION("""COMPUTED_VALUE"""),"Agosto")</f>
        <v>Agosto</v>
      </c>
      <c r="C1567" s="6" t="str">
        <f>IFERROR(__xludf.DUMMYFUNCTION("""COMPUTED_VALUE"""),"OUTROS C/C/ DIGNIDADE SEXUAL")</f>
        <v>OUTROS C/C/ DIGNIDADE SEXUAL</v>
      </c>
      <c r="D1567" s="6">
        <f>IFERROR(__xludf.DUMMYFUNCTION("""COMPUTED_VALUE"""),0.0)</f>
        <v>0</v>
      </c>
      <c r="E1567" s="6">
        <f>IFERROR(__xludf.DUMMYFUNCTION("""COMPUTED_VALUE"""),0.0)</f>
        <v>0</v>
      </c>
      <c r="F1567" s="6">
        <f>IFERROR(__xludf.DUMMYFUNCTION("""COMPUTED_VALUE"""),2.0)</f>
        <v>2</v>
      </c>
      <c r="G1567" s="6">
        <f>IFERROR(__xludf.DUMMYFUNCTION("""COMPUTED_VALUE"""),2.0)</f>
        <v>2</v>
      </c>
    </row>
    <row r="1568">
      <c r="A1568" s="6">
        <f>IFERROR(__xludf.DUMMYFUNCTION("""COMPUTED_VALUE"""),2020.0)</f>
        <v>2020</v>
      </c>
      <c r="B1568" s="6" t="str">
        <f>IFERROR(__xludf.DUMMYFUNCTION("""COMPUTED_VALUE"""),"Setembro")</f>
        <v>Setembro</v>
      </c>
      <c r="C1568" s="6" t="str">
        <f>IFERROR(__xludf.DUMMYFUNCTION("""COMPUTED_VALUE"""),"HOMICÍDIO DOLOSO (exclui FEMINICÍDIO)")</f>
        <v>HOMICÍDIO DOLOSO (exclui FEMINICÍDIO)</v>
      </c>
      <c r="D1568" s="6">
        <f>IFERROR(__xludf.DUMMYFUNCTION("""COMPUTED_VALUE"""),1.0)</f>
        <v>1</v>
      </c>
      <c r="E1568" s="6">
        <f>IFERROR(__xludf.DUMMYFUNCTION("""COMPUTED_VALUE"""),1.0)</f>
        <v>1</v>
      </c>
      <c r="F1568" s="6">
        <f>IFERROR(__xludf.DUMMYFUNCTION("""COMPUTED_VALUE"""),2.0)</f>
        <v>2</v>
      </c>
      <c r="G1568" s="6">
        <f>IFERROR(__xludf.DUMMYFUNCTION("""COMPUTED_VALUE"""),4.0)</f>
        <v>4</v>
      </c>
    </row>
    <row r="1569">
      <c r="A1569" s="6">
        <f>IFERROR(__xludf.DUMMYFUNCTION("""COMPUTED_VALUE"""),2020.0)</f>
        <v>2020</v>
      </c>
      <c r="B1569" s="6" t="str">
        <f>IFERROR(__xludf.DUMMYFUNCTION("""COMPUTED_VALUE"""),"Setembro")</f>
        <v>Setembro</v>
      </c>
      <c r="C1569" s="6" t="str">
        <f>IFERROR(__xludf.DUMMYFUNCTION("""COMPUTED_VALUE"""),"FEMINICÍDIO")</f>
        <v>FEMINICÍDIO</v>
      </c>
      <c r="D1569" s="6">
        <f>IFERROR(__xludf.DUMMYFUNCTION("""COMPUTED_VALUE"""),3.0)</f>
        <v>3</v>
      </c>
      <c r="E1569" s="6">
        <f>IFERROR(__xludf.DUMMYFUNCTION("""COMPUTED_VALUE"""),3.0)</f>
        <v>3</v>
      </c>
      <c r="F1569" s="6">
        <f>IFERROR(__xludf.DUMMYFUNCTION("""COMPUTED_VALUE"""),6.0)</f>
        <v>6</v>
      </c>
      <c r="G1569" s="6">
        <f>IFERROR(__xludf.DUMMYFUNCTION("""COMPUTED_VALUE"""),12.0)</f>
        <v>12</v>
      </c>
    </row>
    <row r="1570">
      <c r="A1570" s="6">
        <f>IFERROR(__xludf.DUMMYFUNCTION("""COMPUTED_VALUE"""),2020.0)</f>
        <v>2020</v>
      </c>
      <c r="B1570" s="6" t="str">
        <f>IFERROR(__xludf.DUMMYFUNCTION("""COMPUTED_VALUE"""),"Setembro")</f>
        <v>Setembro</v>
      </c>
      <c r="C1570" s="6" t="str">
        <f>IFERROR(__xludf.DUMMYFUNCTION("""COMPUTED_VALUE"""),"HOMICÍDIO CULPOSO")</f>
        <v>HOMICÍDIO CULPOSO</v>
      </c>
      <c r="D1570" s="6">
        <f>IFERROR(__xludf.DUMMYFUNCTION("""COMPUTED_VALUE"""),0.0)</f>
        <v>0</v>
      </c>
      <c r="E1570" s="6">
        <f>IFERROR(__xludf.DUMMYFUNCTION("""COMPUTED_VALUE"""),0.0)</f>
        <v>0</v>
      </c>
      <c r="F1570" s="6">
        <f>IFERROR(__xludf.DUMMYFUNCTION("""COMPUTED_VALUE"""),0.0)</f>
        <v>0</v>
      </c>
      <c r="G1570" s="6">
        <f>IFERROR(__xludf.DUMMYFUNCTION("""COMPUTED_VALUE"""),0.0)</f>
        <v>0</v>
      </c>
    </row>
    <row r="1571">
      <c r="A1571" s="6">
        <f>IFERROR(__xludf.DUMMYFUNCTION("""COMPUTED_VALUE"""),2020.0)</f>
        <v>2020</v>
      </c>
      <c r="B1571" s="6" t="str">
        <f>IFERROR(__xludf.DUMMYFUNCTION("""COMPUTED_VALUE"""),"Setembro")</f>
        <v>Setembro</v>
      </c>
      <c r="C1571" s="6" t="str">
        <f>IFERROR(__xludf.DUMMYFUNCTION("""COMPUTED_VALUE"""),"TENTATIVA DE HOMICÍDIO")</f>
        <v>TENTATIVA DE HOMICÍDIO</v>
      </c>
      <c r="D1571" s="6">
        <f>IFERROR(__xludf.DUMMYFUNCTION("""COMPUTED_VALUE"""),2.0)</f>
        <v>2</v>
      </c>
      <c r="E1571" s="6">
        <f>IFERROR(__xludf.DUMMYFUNCTION("""COMPUTED_VALUE"""),2.0)</f>
        <v>2</v>
      </c>
      <c r="F1571" s="6">
        <f>IFERROR(__xludf.DUMMYFUNCTION("""COMPUTED_VALUE"""),12.0)</f>
        <v>12</v>
      </c>
      <c r="G1571" s="6">
        <f>IFERROR(__xludf.DUMMYFUNCTION("""COMPUTED_VALUE"""),16.0)</f>
        <v>16</v>
      </c>
    </row>
    <row r="1572">
      <c r="A1572" s="6">
        <f>IFERROR(__xludf.DUMMYFUNCTION("""COMPUTED_VALUE"""),2020.0)</f>
        <v>2020</v>
      </c>
      <c r="B1572" s="6" t="str">
        <f>IFERROR(__xludf.DUMMYFUNCTION("""COMPUTED_VALUE"""),"Setembro")</f>
        <v>Setembro</v>
      </c>
      <c r="C1572" s="6" t="str">
        <f>IFERROR(__xludf.DUMMYFUNCTION("""COMPUTED_VALUE"""),"LESÃO CORPORAL DOLOSA")</f>
        <v>LESÃO CORPORAL DOLOSA</v>
      </c>
      <c r="D1572" s="6">
        <f>IFERROR(__xludf.DUMMYFUNCTION("""COMPUTED_VALUE"""),948.0)</f>
        <v>948</v>
      </c>
      <c r="E1572" s="6">
        <f>IFERROR(__xludf.DUMMYFUNCTION("""COMPUTED_VALUE"""),812.0)</f>
        <v>812</v>
      </c>
      <c r="F1572" s="6">
        <f>IFERROR(__xludf.DUMMYFUNCTION("""COMPUTED_VALUE"""),2914.0)</f>
        <v>2914</v>
      </c>
      <c r="G1572" s="6">
        <f>IFERROR(__xludf.DUMMYFUNCTION("""COMPUTED_VALUE"""),4674.0)</f>
        <v>4674</v>
      </c>
    </row>
    <row r="1573">
      <c r="A1573" s="6">
        <f>IFERROR(__xludf.DUMMYFUNCTION("""COMPUTED_VALUE"""),2020.0)</f>
        <v>2020</v>
      </c>
      <c r="B1573" s="6" t="str">
        <f>IFERROR(__xludf.DUMMYFUNCTION("""COMPUTED_VALUE"""),"Setembro")</f>
        <v>Setembro</v>
      </c>
      <c r="C1573" s="6" t="str">
        <f>IFERROR(__xludf.DUMMYFUNCTION("""COMPUTED_VALUE"""),"MAUS TRATOS")</f>
        <v>MAUS TRATOS</v>
      </c>
      <c r="D1573" s="6">
        <f>IFERROR(__xludf.DUMMYFUNCTION("""COMPUTED_VALUE"""),3.0)</f>
        <v>3</v>
      </c>
      <c r="E1573" s="6">
        <f>IFERROR(__xludf.DUMMYFUNCTION("""COMPUTED_VALUE"""),2.0)</f>
        <v>2</v>
      </c>
      <c r="F1573" s="6">
        <f>IFERROR(__xludf.DUMMYFUNCTION("""COMPUTED_VALUE"""),16.0)</f>
        <v>16</v>
      </c>
      <c r="G1573" s="6">
        <f>IFERROR(__xludf.DUMMYFUNCTION("""COMPUTED_VALUE"""),21.0)</f>
        <v>21</v>
      </c>
    </row>
    <row r="1574">
      <c r="A1574" s="6">
        <f>IFERROR(__xludf.DUMMYFUNCTION("""COMPUTED_VALUE"""),2020.0)</f>
        <v>2020</v>
      </c>
      <c r="B1574" s="6" t="str">
        <f>IFERROR(__xludf.DUMMYFUNCTION("""COMPUTED_VALUE"""),"Setembro")</f>
        <v>Setembro</v>
      </c>
      <c r="C1574" s="6" t="str">
        <f>IFERROR(__xludf.DUMMYFUNCTION("""COMPUTED_VALUE"""),"CALÚNIA - DIFAMAÇÃO - INJÚRIA")</f>
        <v>CALÚNIA - DIFAMAÇÃO - INJÚRIA</v>
      </c>
      <c r="D1574" s="6">
        <f>IFERROR(__xludf.DUMMYFUNCTION("""COMPUTED_VALUE"""),187.0)</f>
        <v>187</v>
      </c>
      <c r="E1574" s="6">
        <f>IFERROR(__xludf.DUMMYFUNCTION("""COMPUTED_VALUE"""),159.0)</f>
        <v>159</v>
      </c>
      <c r="F1574" s="6">
        <f>IFERROR(__xludf.DUMMYFUNCTION("""COMPUTED_VALUE"""),694.0)</f>
        <v>694</v>
      </c>
      <c r="G1574" s="6">
        <f>IFERROR(__xludf.DUMMYFUNCTION("""COMPUTED_VALUE"""),1040.0)</f>
        <v>1040</v>
      </c>
    </row>
    <row r="1575">
      <c r="A1575" s="6">
        <f>IFERROR(__xludf.DUMMYFUNCTION("""COMPUTED_VALUE"""),2020.0)</f>
        <v>2020</v>
      </c>
      <c r="B1575" s="6" t="str">
        <f>IFERROR(__xludf.DUMMYFUNCTION("""COMPUTED_VALUE"""),"Setembro")</f>
        <v>Setembro</v>
      </c>
      <c r="C1575" s="6" t="str">
        <f>IFERROR(__xludf.DUMMYFUNCTION("""COMPUTED_VALUE"""),"CONSTRANGIMENTO ILEGAL")</f>
        <v>CONSTRANGIMENTO ILEGAL</v>
      </c>
      <c r="D1575" s="6">
        <f>IFERROR(__xludf.DUMMYFUNCTION("""COMPUTED_VALUE"""),1.0)</f>
        <v>1</v>
      </c>
      <c r="E1575" s="6">
        <f>IFERROR(__xludf.DUMMYFUNCTION("""COMPUTED_VALUE"""),0.0)</f>
        <v>0</v>
      </c>
      <c r="F1575" s="6">
        <f>IFERROR(__xludf.DUMMYFUNCTION("""COMPUTED_VALUE"""),6.0)</f>
        <v>6</v>
      </c>
      <c r="G1575" s="6">
        <f>IFERROR(__xludf.DUMMYFUNCTION("""COMPUTED_VALUE"""),7.0)</f>
        <v>7</v>
      </c>
    </row>
    <row r="1576">
      <c r="A1576" s="6">
        <f>IFERROR(__xludf.DUMMYFUNCTION("""COMPUTED_VALUE"""),2020.0)</f>
        <v>2020</v>
      </c>
      <c r="B1576" s="6" t="str">
        <f>IFERROR(__xludf.DUMMYFUNCTION("""COMPUTED_VALUE"""),"Setembro")</f>
        <v>Setembro</v>
      </c>
      <c r="C1576" s="6" t="str">
        <f>IFERROR(__xludf.DUMMYFUNCTION("""COMPUTED_VALUE"""),"AMEAÇA")</f>
        <v>AMEAÇA</v>
      </c>
      <c r="D1576" s="6">
        <f>IFERROR(__xludf.DUMMYFUNCTION("""COMPUTED_VALUE"""),872.0)</f>
        <v>872</v>
      </c>
      <c r="E1576" s="6">
        <f>IFERROR(__xludf.DUMMYFUNCTION("""COMPUTED_VALUE"""),804.0)</f>
        <v>804</v>
      </c>
      <c r="F1576" s="6">
        <f>IFERROR(__xludf.DUMMYFUNCTION("""COMPUTED_VALUE"""),2984.0)</f>
        <v>2984</v>
      </c>
      <c r="G1576" s="6">
        <f>IFERROR(__xludf.DUMMYFUNCTION("""COMPUTED_VALUE"""),4660.0)</f>
        <v>4660</v>
      </c>
    </row>
    <row r="1577">
      <c r="A1577" s="6">
        <f>IFERROR(__xludf.DUMMYFUNCTION("""COMPUTED_VALUE"""),2020.0)</f>
        <v>2020</v>
      </c>
      <c r="B1577" s="6" t="str">
        <f>IFERROR(__xludf.DUMMYFUNCTION("""COMPUTED_VALUE"""),"Setembro")</f>
        <v>Setembro</v>
      </c>
      <c r="C1577" s="6" t="str">
        <f>IFERROR(__xludf.DUMMYFUNCTION("""COMPUTED_VALUE"""),"INVASÃO DE DOMICÍLIO")</f>
        <v>INVASÃO DE DOMICÍLIO</v>
      </c>
      <c r="D1577" s="6">
        <f>IFERROR(__xludf.DUMMYFUNCTION("""COMPUTED_VALUE"""),1.0)</f>
        <v>1</v>
      </c>
      <c r="E1577" s="6">
        <f>IFERROR(__xludf.DUMMYFUNCTION("""COMPUTED_VALUE"""),2.0)</f>
        <v>2</v>
      </c>
      <c r="F1577" s="6">
        <f>IFERROR(__xludf.DUMMYFUNCTION("""COMPUTED_VALUE"""),13.0)</f>
        <v>13</v>
      </c>
      <c r="G1577" s="6">
        <f>IFERROR(__xludf.DUMMYFUNCTION("""COMPUTED_VALUE"""),16.0)</f>
        <v>16</v>
      </c>
    </row>
    <row r="1578">
      <c r="A1578" s="6">
        <f>IFERROR(__xludf.DUMMYFUNCTION("""COMPUTED_VALUE"""),2020.0)</f>
        <v>2020</v>
      </c>
      <c r="B1578" s="6" t="str">
        <f>IFERROR(__xludf.DUMMYFUNCTION("""COMPUTED_VALUE"""),"Setembro")</f>
        <v>Setembro</v>
      </c>
      <c r="C1578" s="6" t="str">
        <f>IFERROR(__xludf.DUMMYFUNCTION("""COMPUTED_VALUE"""),"DANO")</f>
        <v>DANO</v>
      </c>
      <c r="D1578" s="6">
        <f>IFERROR(__xludf.DUMMYFUNCTION("""COMPUTED_VALUE"""),11.0)</f>
        <v>11</v>
      </c>
      <c r="E1578" s="6">
        <f>IFERROR(__xludf.DUMMYFUNCTION("""COMPUTED_VALUE"""),10.0)</f>
        <v>10</v>
      </c>
      <c r="F1578" s="6">
        <f>IFERROR(__xludf.DUMMYFUNCTION("""COMPUTED_VALUE"""),54.0)</f>
        <v>54</v>
      </c>
      <c r="G1578" s="6">
        <f>IFERROR(__xludf.DUMMYFUNCTION("""COMPUTED_VALUE"""),75.0)</f>
        <v>75</v>
      </c>
    </row>
    <row r="1579">
      <c r="A1579" s="6">
        <f>IFERROR(__xludf.DUMMYFUNCTION("""COMPUTED_VALUE"""),2020.0)</f>
        <v>2020</v>
      </c>
      <c r="B1579" s="6" t="str">
        <f>IFERROR(__xludf.DUMMYFUNCTION("""COMPUTED_VALUE"""),"Setembro")</f>
        <v>Setembro</v>
      </c>
      <c r="C1579" s="6" t="str">
        <f>IFERROR(__xludf.DUMMYFUNCTION("""COMPUTED_VALUE"""),"ESTUPRO CONSUMADO")</f>
        <v>ESTUPRO CONSUMADO</v>
      </c>
      <c r="D1579" s="6">
        <f>IFERROR(__xludf.DUMMYFUNCTION("""COMPUTED_VALUE"""),10.0)</f>
        <v>10</v>
      </c>
      <c r="E1579" s="6">
        <f>IFERROR(__xludf.DUMMYFUNCTION("""COMPUTED_VALUE"""),7.0)</f>
        <v>7</v>
      </c>
      <c r="F1579" s="6">
        <f>IFERROR(__xludf.DUMMYFUNCTION("""COMPUTED_VALUE"""),17.0)</f>
        <v>17</v>
      </c>
      <c r="G1579" s="6">
        <f>IFERROR(__xludf.DUMMYFUNCTION("""COMPUTED_VALUE"""),34.0)</f>
        <v>34</v>
      </c>
    </row>
    <row r="1580">
      <c r="A1580" s="6">
        <f>IFERROR(__xludf.DUMMYFUNCTION("""COMPUTED_VALUE"""),2020.0)</f>
        <v>2020</v>
      </c>
      <c r="B1580" s="6" t="str">
        <f>IFERROR(__xludf.DUMMYFUNCTION("""COMPUTED_VALUE"""),"Setembro")</f>
        <v>Setembro</v>
      </c>
      <c r="C1580" s="6" t="str">
        <f>IFERROR(__xludf.DUMMYFUNCTION("""COMPUTED_VALUE"""),"ESTUPRO TENTADO")</f>
        <v>ESTUPRO TENTADO</v>
      </c>
      <c r="D1580" s="6">
        <f>IFERROR(__xludf.DUMMYFUNCTION("""COMPUTED_VALUE"""),0.0)</f>
        <v>0</v>
      </c>
      <c r="E1580" s="6">
        <f>IFERROR(__xludf.DUMMYFUNCTION("""COMPUTED_VALUE"""),0.0)</f>
        <v>0</v>
      </c>
      <c r="F1580" s="6">
        <f>IFERROR(__xludf.DUMMYFUNCTION("""COMPUTED_VALUE"""),1.0)</f>
        <v>1</v>
      </c>
      <c r="G1580" s="6">
        <f>IFERROR(__xludf.DUMMYFUNCTION("""COMPUTED_VALUE"""),1.0)</f>
        <v>1</v>
      </c>
    </row>
    <row r="1581">
      <c r="A1581" s="6">
        <f>IFERROR(__xludf.DUMMYFUNCTION("""COMPUTED_VALUE"""),2020.0)</f>
        <v>2020</v>
      </c>
      <c r="B1581" s="6" t="str">
        <f>IFERROR(__xludf.DUMMYFUNCTION("""COMPUTED_VALUE"""),"Setembro")</f>
        <v>Setembro</v>
      </c>
      <c r="C1581" s="6" t="str">
        <f>IFERROR(__xludf.DUMMYFUNCTION("""COMPUTED_VALUE"""),"ESTUPRO DE VULNERÁVEL CONSUMADO")</f>
        <v>ESTUPRO DE VULNERÁVEL CONSUMADO</v>
      </c>
      <c r="D1581" s="6">
        <f>IFERROR(__xludf.DUMMYFUNCTION("""COMPUTED_VALUE"""),3.0)</f>
        <v>3</v>
      </c>
      <c r="E1581" s="6">
        <f>IFERROR(__xludf.DUMMYFUNCTION("""COMPUTED_VALUE"""),4.0)</f>
        <v>4</v>
      </c>
      <c r="F1581" s="6">
        <f>IFERROR(__xludf.DUMMYFUNCTION("""COMPUTED_VALUE"""),17.0)</f>
        <v>17</v>
      </c>
      <c r="G1581" s="6">
        <f>IFERROR(__xludf.DUMMYFUNCTION("""COMPUTED_VALUE"""),24.0)</f>
        <v>24</v>
      </c>
    </row>
    <row r="1582">
      <c r="A1582" s="6">
        <f>IFERROR(__xludf.DUMMYFUNCTION("""COMPUTED_VALUE"""),2020.0)</f>
        <v>2020</v>
      </c>
      <c r="B1582" s="6" t="str">
        <f>IFERROR(__xludf.DUMMYFUNCTION("""COMPUTED_VALUE"""),"Setembro")</f>
        <v>Setembro</v>
      </c>
      <c r="C1582" s="6" t="str">
        <f>IFERROR(__xludf.DUMMYFUNCTION("""COMPUTED_VALUE"""),"OUTROS C/C/ DIGNIDADE SEXUAL")</f>
        <v>OUTROS C/C/ DIGNIDADE SEXUAL</v>
      </c>
      <c r="D1582" s="6">
        <f>IFERROR(__xludf.DUMMYFUNCTION("""COMPUTED_VALUE"""),0.0)</f>
        <v>0</v>
      </c>
      <c r="E1582" s="6">
        <f>IFERROR(__xludf.DUMMYFUNCTION("""COMPUTED_VALUE"""),0.0)</f>
        <v>0</v>
      </c>
      <c r="F1582" s="6">
        <f>IFERROR(__xludf.DUMMYFUNCTION("""COMPUTED_VALUE"""),2.0)</f>
        <v>2</v>
      </c>
      <c r="G1582" s="6">
        <f>IFERROR(__xludf.DUMMYFUNCTION("""COMPUTED_VALUE"""),2.0)</f>
        <v>2</v>
      </c>
    </row>
    <row r="1583">
      <c r="A1583" s="6">
        <f>IFERROR(__xludf.DUMMYFUNCTION("""COMPUTED_VALUE"""),2020.0)</f>
        <v>2020</v>
      </c>
      <c r="B1583" s="6" t="str">
        <f>IFERROR(__xludf.DUMMYFUNCTION("""COMPUTED_VALUE"""),"Outubro")</f>
        <v>Outubro</v>
      </c>
      <c r="C1583" s="6" t="str">
        <f>IFERROR(__xludf.DUMMYFUNCTION("""COMPUTED_VALUE"""),"HOMICÍDIO DOLOSO (exclui FEMINICÍDIO)")</f>
        <v>HOMICÍDIO DOLOSO (exclui FEMINICÍDIO)</v>
      </c>
      <c r="D1583" s="6">
        <f>IFERROR(__xludf.DUMMYFUNCTION("""COMPUTED_VALUE"""),1.0)</f>
        <v>1</v>
      </c>
      <c r="E1583" s="6">
        <f>IFERROR(__xludf.DUMMYFUNCTION("""COMPUTED_VALUE"""),0.0)</f>
        <v>0</v>
      </c>
      <c r="F1583" s="6">
        <f>IFERROR(__xludf.DUMMYFUNCTION("""COMPUTED_VALUE"""),2.0)</f>
        <v>2</v>
      </c>
      <c r="G1583" s="6">
        <f>IFERROR(__xludf.DUMMYFUNCTION("""COMPUTED_VALUE"""),3.0)</f>
        <v>3</v>
      </c>
    </row>
    <row r="1584">
      <c r="A1584" s="6">
        <f>IFERROR(__xludf.DUMMYFUNCTION("""COMPUTED_VALUE"""),2020.0)</f>
        <v>2020</v>
      </c>
      <c r="B1584" s="6" t="str">
        <f>IFERROR(__xludf.DUMMYFUNCTION("""COMPUTED_VALUE"""),"Outubro")</f>
        <v>Outubro</v>
      </c>
      <c r="C1584" s="6" t="str">
        <f>IFERROR(__xludf.DUMMYFUNCTION("""COMPUTED_VALUE"""),"FEMINICÍDIO")</f>
        <v>FEMINICÍDIO</v>
      </c>
      <c r="D1584" s="6">
        <f>IFERROR(__xludf.DUMMYFUNCTION("""COMPUTED_VALUE"""),4.0)</f>
        <v>4</v>
      </c>
      <c r="E1584" s="6">
        <f>IFERROR(__xludf.DUMMYFUNCTION("""COMPUTED_VALUE"""),4.0)</f>
        <v>4</v>
      </c>
      <c r="F1584" s="6">
        <f>IFERROR(__xludf.DUMMYFUNCTION("""COMPUTED_VALUE"""),8.0)</f>
        <v>8</v>
      </c>
      <c r="G1584" s="6">
        <f>IFERROR(__xludf.DUMMYFUNCTION("""COMPUTED_VALUE"""),16.0)</f>
        <v>16</v>
      </c>
    </row>
    <row r="1585">
      <c r="A1585" s="6">
        <f>IFERROR(__xludf.DUMMYFUNCTION("""COMPUTED_VALUE"""),2020.0)</f>
        <v>2020</v>
      </c>
      <c r="B1585" s="6" t="str">
        <f>IFERROR(__xludf.DUMMYFUNCTION("""COMPUTED_VALUE"""),"Outubro")</f>
        <v>Outubro</v>
      </c>
      <c r="C1585" s="6" t="str">
        <f>IFERROR(__xludf.DUMMYFUNCTION("""COMPUTED_VALUE"""),"HOMICÍDIO CULPOSO")</f>
        <v>HOMICÍDIO CULPOSO</v>
      </c>
      <c r="D1585" s="6">
        <f>IFERROR(__xludf.DUMMYFUNCTION("""COMPUTED_VALUE"""),0.0)</f>
        <v>0</v>
      </c>
      <c r="E1585" s="6">
        <f>IFERROR(__xludf.DUMMYFUNCTION("""COMPUTED_VALUE"""),0.0)</f>
        <v>0</v>
      </c>
      <c r="F1585" s="6">
        <f>IFERROR(__xludf.DUMMYFUNCTION("""COMPUTED_VALUE"""),0.0)</f>
        <v>0</v>
      </c>
      <c r="G1585" s="6">
        <f>IFERROR(__xludf.DUMMYFUNCTION("""COMPUTED_VALUE"""),0.0)</f>
        <v>0</v>
      </c>
    </row>
    <row r="1586">
      <c r="A1586" s="6">
        <f>IFERROR(__xludf.DUMMYFUNCTION("""COMPUTED_VALUE"""),2020.0)</f>
        <v>2020</v>
      </c>
      <c r="B1586" s="6" t="str">
        <f>IFERROR(__xludf.DUMMYFUNCTION("""COMPUTED_VALUE"""),"Outubro")</f>
        <v>Outubro</v>
      </c>
      <c r="C1586" s="6" t="str">
        <f>IFERROR(__xludf.DUMMYFUNCTION("""COMPUTED_VALUE"""),"TENTATIVA DE HOMICÍDIO")</f>
        <v>TENTATIVA DE HOMICÍDIO</v>
      </c>
      <c r="D1586" s="6">
        <f>IFERROR(__xludf.DUMMYFUNCTION("""COMPUTED_VALUE"""),1.0)</f>
        <v>1</v>
      </c>
      <c r="E1586" s="6">
        <f>IFERROR(__xludf.DUMMYFUNCTION("""COMPUTED_VALUE"""),1.0)</f>
        <v>1</v>
      </c>
      <c r="F1586" s="6">
        <f>IFERROR(__xludf.DUMMYFUNCTION("""COMPUTED_VALUE"""),11.0)</f>
        <v>11</v>
      </c>
      <c r="G1586" s="6">
        <f>IFERROR(__xludf.DUMMYFUNCTION("""COMPUTED_VALUE"""),13.0)</f>
        <v>13</v>
      </c>
    </row>
    <row r="1587">
      <c r="A1587" s="6">
        <f>IFERROR(__xludf.DUMMYFUNCTION("""COMPUTED_VALUE"""),2020.0)</f>
        <v>2020</v>
      </c>
      <c r="B1587" s="6" t="str">
        <f>IFERROR(__xludf.DUMMYFUNCTION("""COMPUTED_VALUE"""),"Outubro")</f>
        <v>Outubro</v>
      </c>
      <c r="C1587" s="6" t="str">
        <f>IFERROR(__xludf.DUMMYFUNCTION("""COMPUTED_VALUE"""),"LESÃO CORPORAL DOLOSA")</f>
        <v>LESÃO CORPORAL DOLOSA</v>
      </c>
      <c r="D1587" s="6">
        <f>IFERROR(__xludf.DUMMYFUNCTION("""COMPUTED_VALUE"""),912.0)</f>
        <v>912</v>
      </c>
      <c r="E1587" s="6">
        <f>IFERROR(__xludf.DUMMYFUNCTION("""COMPUTED_VALUE"""),784.0)</f>
        <v>784</v>
      </c>
      <c r="F1587" s="6">
        <f>IFERROR(__xludf.DUMMYFUNCTION("""COMPUTED_VALUE"""),2814.0)</f>
        <v>2814</v>
      </c>
      <c r="G1587" s="6">
        <f>IFERROR(__xludf.DUMMYFUNCTION("""COMPUTED_VALUE"""),4510.0)</f>
        <v>4510</v>
      </c>
    </row>
    <row r="1588">
      <c r="A1588" s="6">
        <f>IFERROR(__xludf.DUMMYFUNCTION("""COMPUTED_VALUE"""),2020.0)</f>
        <v>2020</v>
      </c>
      <c r="B1588" s="6" t="str">
        <f>IFERROR(__xludf.DUMMYFUNCTION("""COMPUTED_VALUE"""),"Outubro")</f>
        <v>Outubro</v>
      </c>
      <c r="C1588" s="6" t="str">
        <f>IFERROR(__xludf.DUMMYFUNCTION("""COMPUTED_VALUE"""),"MAUS TRATOS")</f>
        <v>MAUS TRATOS</v>
      </c>
      <c r="D1588" s="6">
        <f>IFERROR(__xludf.DUMMYFUNCTION("""COMPUTED_VALUE"""),2.0)</f>
        <v>2</v>
      </c>
      <c r="E1588" s="6">
        <f>IFERROR(__xludf.DUMMYFUNCTION("""COMPUTED_VALUE"""),2.0)</f>
        <v>2</v>
      </c>
      <c r="F1588" s="6">
        <f>IFERROR(__xludf.DUMMYFUNCTION("""COMPUTED_VALUE"""),14.0)</f>
        <v>14</v>
      </c>
      <c r="G1588" s="6">
        <f>IFERROR(__xludf.DUMMYFUNCTION("""COMPUTED_VALUE"""),18.0)</f>
        <v>18</v>
      </c>
    </row>
    <row r="1589">
      <c r="A1589" s="6">
        <f>IFERROR(__xludf.DUMMYFUNCTION("""COMPUTED_VALUE"""),2020.0)</f>
        <v>2020</v>
      </c>
      <c r="B1589" s="6" t="str">
        <f>IFERROR(__xludf.DUMMYFUNCTION("""COMPUTED_VALUE"""),"Outubro")</f>
        <v>Outubro</v>
      </c>
      <c r="C1589" s="6" t="str">
        <f>IFERROR(__xludf.DUMMYFUNCTION("""COMPUTED_VALUE"""),"CALÚNIA - DIFAMAÇÃO - INJÚRIA")</f>
        <v>CALÚNIA - DIFAMAÇÃO - INJÚRIA</v>
      </c>
      <c r="D1589" s="6">
        <f>IFERROR(__xludf.DUMMYFUNCTION("""COMPUTED_VALUE"""),178.0)</f>
        <v>178</v>
      </c>
      <c r="E1589" s="6">
        <f>IFERROR(__xludf.DUMMYFUNCTION("""COMPUTED_VALUE"""),151.0)</f>
        <v>151</v>
      </c>
      <c r="F1589" s="6">
        <f>IFERROR(__xludf.DUMMYFUNCTION("""COMPUTED_VALUE"""),654.0)</f>
        <v>654</v>
      </c>
      <c r="G1589" s="6">
        <f>IFERROR(__xludf.DUMMYFUNCTION("""COMPUTED_VALUE"""),983.0)</f>
        <v>983</v>
      </c>
    </row>
    <row r="1590">
      <c r="A1590" s="6">
        <f>IFERROR(__xludf.DUMMYFUNCTION("""COMPUTED_VALUE"""),2020.0)</f>
        <v>2020</v>
      </c>
      <c r="B1590" s="6" t="str">
        <f>IFERROR(__xludf.DUMMYFUNCTION("""COMPUTED_VALUE"""),"Outubro")</f>
        <v>Outubro</v>
      </c>
      <c r="C1590" s="6" t="str">
        <f>IFERROR(__xludf.DUMMYFUNCTION("""COMPUTED_VALUE"""),"CONSTRANGIMENTO ILEGAL")</f>
        <v>CONSTRANGIMENTO ILEGAL</v>
      </c>
      <c r="D1590" s="6">
        <f>IFERROR(__xludf.DUMMYFUNCTION("""COMPUTED_VALUE"""),1.0)</f>
        <v>1</v>
      </c>
      <c r="E1590" s="6">
        <f>IFERROR(__xludf.DUMMYFUNCTION("""COMPUTED_VALUE"""),0.0)</f>
        <v>0</v>
      </c>
      <c r="F1590" s="6">
        <f>IFERROR(__xludf.DUMMYFUNCTION("""COMPUTED_VALUE"""),5.0)</f>
        <v>5</v>
      </c>
      <c r="G1590" s="6">
        <f>IFERROR(__xludf.DUMMYFUNCTION("""COMPUTED_VALUE"""),6.0)</f>
        <v>6</v>
      </c>
    </row>
    <row r="1591">
      <c r="A1591" s="6">
        <f>IFERROR(__xludf.DUMMYFUNCTION("""COMPUTED_VALUE"""),2020.0)</f>
        <v>2020</v>
      </c>
      <c r="B1591" s="6" t="str">
        <f>IFERROR(__xludf.DUMMYFUNCTION("""COMPUTED_VALUE"""),"Outubro")</f>
        <v>Outubro</v>
      </c>
      <c r="C1591" s="6" t="str">
        <f>IFERROR(__xludf.DUMMYFUNCTION("""COMPUTED_VALUE"""),"AMEAÇA")</f>
        <v>AMEAÇA</v>
      </c>
      <c r="D1591" s="6">
        <f>IFERROR(__xludf.DUMMYFUNCTION("""COMPUTED_VALUE"""),842.0)</f>
        <v>842</v>
      </c>
      <c r="E1591" s="6">
        <f>IFERROR(__xludf.DUMMYFUNCTION("""COMPUTED_VALUE"""),771.0)</f>
        <v>771</v>
      </c>
      <c r="F1591" s="6">
        <f>IFERROR(__xludf.DUMMYFUNCTION("""COMPUTED_VALUE"""),2884.0)</f>
        <v>2884</v>
      </c>
      <c r="G1591" s="6">
        <f>IFERROR(__xludf.DUMMYFUNCTION("""COMPUTED_VALUE"""),4497.0)</f>
        <v>4497</v>
      </c>
    </row>
    <row r="1592">
      <c r="A1592" s="6">
        <f>IFERROR(__xludf.DUMMYFUNCTION("""COMPUTED_VALUE"""),2020.0)</f>
        <v>2020</v>
      </c>
      <c r="B1592" s="6" t="str">
        <f>IFERROR(__xludf.DUMMYFUNCTION("""COMPUTED_VALUE"""),"Outubro")</f>
        <v>Outubro</v>
      </c>
      <c r="C1592" s="6" t="str">
        <f>IFERROR(__xludf.DUMMYFUNCTION("""COMPUTED_VALUE"""),"INVASÃO DE DOMICÍLIO")</f>
        <v>INVASÃO DE DOMICÍLIO</v>
      </c>
      <c r="D1592" s="6">
        <f>IFERROR(__xludf.DUMMYFUNCTION("""COMPUTED_VALUE"""),1.0)</f>
        <v>1</v>
      </c>
      <c r="E1592" s="6">
        <f>IFERROR(__xludf.DUMMYFUNCTION("""COMPUTED_VALUE"""),1.0)</f>
        <v>1</v>
      </c>
      <c r="F1592" s="6">
        <f>IFERROR(__xludf.DUMMYFUNCTION("""COMPUTED_VALUE"""),11.0)</f>
        <v>11</v>
      </c>
      <c r="G1592" s="6">
        <f>IFERROR(__xludf.DUMMYFUNCTION("""COMPUTED_VALUE"""),13.0)</f>
        <v>13</v>
      </c>
    </row>
    <row r="1593">
      <c r="A1593" s="6">
        <f>IFERROR(__xludf.DUMMYFUNCTION("""COMPUTED_VALUE"""),2020.0)</f>
        <v>2020</v>
      </c>
      <c r="B1593" s="6" t="str">
        <f>IFERROR(__xludf.DUMMYFUNCTION("""COMPUTED_VALUE"""),"Outubro")</f>
        <v>Outubro</v>
      </c>
      <c r="C1593" s="6" t="str">
        <f>IFERROR(__xludf.DUMMYFUNCTION("""COMPUTED_VALUE"""),"DANO")</f>
        <v>DANO</v>
      </c>
      <c r="D1593" s="6">
        <f>IFERROR(__xludf.DUMMYFUNCTION("""COMPUTED_VALUE"""),9.0)</f>
        <v>9</v>
      </c>
      <c r="E1593" s="6">
        <f>IFERROR(__xludf.DUMMYFUNCTION("""COMPUTED_VALUE"""),9.0)</f>
        <v>9</v>
      </c>
      <c r="F1593" s="6">
        <f>IFERROR(__xludf.DUMMYFUNCTION("""COMPUTED_VALUE"""),51.0)</f>
        <v>51</v>
      </c>
      <c r="G1593" s="6">
        <f>IFERROR(__xludf.DUMMYFUNCTION("""COMPUTED_VALUE"""),69.0)</f>
        <v>69</v>
      </c>
    </row>
    <row r="1594">
      <c r="A1594" s="6">
        <f>IFERROR(__xludf.DUMMYFUNCTION("""COMPUTED_VALUE"""),2020.0)</f>
        <v>2020</v>
      </c>
      <c r="B1594" s="6" t="str">
        <f>IFERROR(__xludf.DUMMYFUNCTION("""COMPUTED_VALUE"""),"Outubro")</f>
        <v>Outubro</v>
      </c>
      <c r="C1594" s="6" t="str">
        <f>IFERROR(__xludf.DUMMYFUNCTION("""COMPUTED_VALUE"""),"ESTUPRO CONSUMADO")</f>
        <v>ESTUPRO CONSUMADO</v>
      </c>
      <c r="D1594" s="6">
        <f>IFERROR(__xludf.DUMMYFUNCTION("""COMPUTED_VALUE"""),9.0)</f>
        <v>9</v>
      </c>
      <c r="E1594" s="6">
        <f>IFERROR(__xludf.DUMMYFUNCTION("""COMPUTED_VALUE"""),6.0)</f>
        <v>6</v>
      </c>
      <c r="F1594" s="6">
        <f>IFERROR(__xludf.DUMMYFUNCTION("""COMPUTED_VALUE"""),16.0)</f>
        <v>16</v>
      </c>
      <c r="G1594" s="6">
        <f>IFERROR(__xludf.DUMMYFUNCTION("""COMPUTED_VALUE"""),31.0)</f>
        <v>31</v>
      </c>
    </row>
    <row r="1595">
      <c r="A1595" s="6">
        <f>IFERROR(__xludf.DUMMYFUNCTION("""COMPUTED_VALUE"""),2020.0)</f>
        <v>2020</v>
      </c>
      <c r="B1595" s="6" t="str">
        <f>IFERROR(__xludf.DUMMYFUNCTION("""COMPUTED_VALUE"""),"Outubro")</f>
        <v>Outubro</v>
      </c>
      <c r="C1595" s="6" t="str">
        <f>IFERROR(__xludf.DUMMYFUNCTION("""COMPUTED_VALUE"""),"ESTUPRO TENTADO")</f>
        <v>ESTUPRO TENTADO</v>
      </c>
      <c r="D1595" s="6">
        <f>IFERROR(__xludf.DUMMYFUNCTION("""COMPUTED_VALUE"""),0.0)</f>
        <v>0</v>
      </c>
      <c r="E1595" s="6">
        <f>IFERROR(__xludf.DUMMYFUNCTION("""COMPUTED_VALUE"""),0.0)</f>
        <v>0</v>
      </c>
      <c r="F1595" s="6">
        <f>IFERROR(__xludf.DUMMYFUNCTION("""COMPUTED_VALUE"""),1.0)</f>
        <v>1</v>
      </c>
      <c r="G1595" s="6">
        <f>IFERROR(__xludf.DUMMYFUNCTION("""COMPUTED_VALUE"""),1.0)</f>
        <v>1</v>
      </c>
    </row>
    <row r="1596">
      <c r="A1596" s="6">
        <f>IFERROR(__xludf.DUMMYFUNCTION("""COMPUTED_VALUE"""),2020.0)</f>
        <v>2020</v>
      </c>
      <c r="B1596" s="6" t="str">
        <f>IFERROR(__xludf.DUMMYFUNCTION("""COMPUTED_VALUE"""),"Outubro")</f>
        <v>Outubro</v>
      </c>
      <c r="C1596" s="6" t="str">
        <f>IFERROR(__xludf.DUMMYFUNCTION("""COMPUTED_VALUE"""),"ESTUPRO DE VULNERÁVEL CONSUMADO")</f>
        <v>ESTUPRO DE VULNERÁVEL CONSUMADO</v>
      </c>
      <c r="D1596" s="6">
        <f>IFERROR(__xludf.DUMMYFUNCTION("""COMPUTED_VALUE"""),2.0)</f>
        <v>2</v>
      </c>
      <c r="E1596" s="6">
        <f>IFERROR(__xludf.DUMMYFUNCTION("""COMPUTED_VALUE"""),3.0)</f>
        <v>3</v>
      </c>
      <c r="F1596" s="6">
        <f>IFERROR(__xludf.DUMMYFUNCTION("""COMPUTED_VALUE"""),15.0)</f>
        <v>15</v>
      </c>
      <c r="G1596" s="6">
        <f>IFERROR(__xludf.DUMMYFUNCTION("""COMPUTED_VALUE"""),20.0)</f>
        <v>20</v>
      </c>
    </row>
    <row r="1597">
      <c r="A1597" s="6">
        <f>IFERROR(__xludf.DUMMYFUNCTION("""COMPUTED_VALUE"""),2020.0)</f>
        <v>2020</v>
      </c>
      <c r="B1597" s="6" t="str">
        <f>IFERROR(__xludf.DUMMYFUNCTION("""COMPUTED_VALUE"""),"Outubro")</f>
        <v>Outubro</v>
      </c>
      <c r="C1597" s="6" t="str">
        <f>IFERROR(__xludf.DUMMYFUNCTION("""COMPUTED_VALUE"""),"OUTROS C/C/ DIGNIDADE SEXUAL")</f>
        <v>OUTROS C/C/ DIGNIDADE SEXUAL</v>
      </c>
      <c r="D1597" s="6">
        <f>IFERROR(__xludf.DUMMYFUNCTION("""COMPUTED_VALUE"""),0.0)</f>
        <v>0</v>
      </c>
      <c r="E1597" s="6">
        <f>IFERROR(__xludf.DUMMYFUNCTION("""COMPUTED_VALUE"""),0.0)</f>
        <v>0</v>
      </c>
      <c r="F1597" s="6">
        <f>IFERROR(__xludf.DUMMYFUNCTION("""COMPUTED_VALUE"""),1.0)</f>
        <v>1</v>
      </c>
      <c r="G1597" s="6">
        <f>IFERROR(__xludf.DUMMYFUNCTION("""COMPUTED_VALUE"""),1.0)</f>
        <v>1</v>
      </c>
    </row>
    <row r="1598">
      <c r="A1598" s="6">
        <f>IFERROR(__xludf.DUMMYFUNCTION("""COMPUTED_VALUE"""),2020.0)</f>
        <v>2020</v>
      </c>
      <c r="B1598" s="6" t="str">
        <f>IFERROR(__xludf.DUMMYFUNCTION("""COMPUTED_VALUE"""),"Novembro")</f>
        <v>Novembro</v>
      </c>
      <c r="C1598" s="6" t="str">
        <f>IFERROR(__xludf.DUMMYFUNCTION("""COMPUTED_VALUE"""),"HOMICÍDIO DOLOSO (exclui FEMINICÍDIO)")</f>
        <v>HOMICÍDIO DOLOSO (exclui FEMINICÍDIO)</v>
      </c>
      <c r="D1598" s="6">
        <f>IFERROR(__xludf.DUMMYFUNCTION("""COMPUTED_VALUE"""),1.0)</f>
        <v>1</v>
      </c>
      <c r="E1598" s="6">
        <f>IFERROR(__xludf.DUMMYFUNCTION("""COMPUTED_VALUE"""),0.0)</f>
        <v>0</v>
      </c>
      <c r="F1598" s="6">
        <f>IFERROR(__xludf.DUMMYFUNCTION("""COMPUTED_VALUE"""),2.0)</f>
        <v>2</v>
      </c>
      <c r="G1598" s="6">
        <f>IFERROR(__xludf.DUMMYFUNCTION("""COMPUTED_VALUE"""),3.0)</f>
        <v>3</v>
      </c>
    </row>
    <row r="1599">
      <c r="A1599" s="6">
        <f>IFERROR(__xludf.DUMMYFUNCTION("""COMPUTED_VALUE"""),2020.0)</f>
        <v>2020</v>
      </c>
      <c r="B1599" s="6" t="str">
        <f>IFERROR(__xludf.DUMMYFUNCTION("""COMPUTED_VALUE"""),"Novembro")</f>
        <v>Novembro</v>
      </c>
      <c r="C1599" s="6" t="str">
        <f>IFERROR(__xludf.DUMMYFUNCTION("""COMPUTED_VALUE"""),"FEMINICÍDIO")</f>
        <v>FEMINICÍDIO</v>
      </c>
      <c r="D1599" s="6">
        <f>IFERROR(__xludf.DUMMYFUNCTION("""COMPUTED_VALUE"""),3.0)</f>
        <v>3</v>
      </c>
      <c r="E1599" s="6">
        <f>IFERROR(__xludf.DUMMYFUNCTION("""COMPUTED_VALUE"""),3.0)</f>
        <v>3</v>
      </c>
      <c r="F1599" s="6">
        <f>IFERROR(__xludf.DUMMYFUNCTION("""COMPUTED_VALUE"""),6.0)</f>
        <v>6</v>
      </c>
      <c r="G1599" s="6">
        <f>IFERROR(__xludf.DUMMYFUNCTION("""COMPUTED_VALUE"""),12.0)</f>
        <v>12</v>
      </c>
    </row>
    <row r="1600">
      <c r="A1600" s="6">
        <f>IFERROR(__xludf.DUMMYFUNCTION("""COMPUTED_VALUE"""),2020.0)</f>
        <v>2020</v>
      </c>
      <c r="B1600" s="6" t="str">
        <f>IFERROR(__xludf.DUMMYFUNCTION("""COMPUTED_VALUE"""),"Novembro")</f>
        <v>Novembro</v>
      </c>
      <c r="C1600" s="6" t="str">
        <f>IFERROR(__xludf.DUMMYFUNCTION("""COMPUTED_VALUE"""),"HOMICÍDIO CULPOSO")</f>
        <v>HOMICÍDIO CULPOSO</v>
      </c>
      <c r="D1600" s="6">
        <f>IFERROR(__xludf.DUMMYFUNCTION("""COMPUTED_VALUE"""),0.0)</f>
        <v>0</v>
      </c>
      <c r="E1600" s="6">
        <f>IFERROR(__xludf.DUMMYFUNCTION("""COMPUTED_VALUE"""),0.0)</f>
        <v>0</v>
      </c>
      <c r="F1600" s="6">
        <f>IFERROR(__xludf.DUMMYFUNCTION("""COMPUTED_VALUE"""),0.0)</f>
        <v>0</v>
      </c>
      <c r="G1600" s="6">
        <f>IFERROR(__xludf.DUMMYFUNCTION("""COMPUTED_VALUE"""),0.0)</f>
        <v>0</v>
      </c>
    </row>
    <row r="1601">
      <c r="A1601" s="6">
        <f>IFERROR(__xludf.DUMMYFUNCTION("""COMPUTED_VALUE"""),2020.0)</f>
        <v>2020</v>
      </c>
      <c r="B1601" s="6" t="str">
        <f>IFERROR(__xludf.DUMMYFUNCTION("""COMPUTED_VALUE"""),"Novembro")</f>
        <v>Novembro</v>
      </c>
      <c r="C1601" s="6" t="str">
        <f>IFERROR(__xludf.DUMMYFUNCTION("""COMPUTED_VALUE"""),"TENTATIVA DE HOMICÍDIO")</f>
        <v>TENTATIVA DE HOMICÍDIO</v>
      </c>
      <c r="D1601" s="6">
        <f>IFERROR(__xludf.DUMMYFUNCTION("""COMPUTED_VALUE"""),2.0)</f>
        <v>2</v>
      </c>
      <c r="E1601" s="6">
        <f>IFERROR(__xludf.DUMMYFUNCTION("""COMPUTED_VALUE"""),2.0)</f>
        <v>2</v>
      </c>
      <c r="F1601" s="6">
        <f>IFERROR(__xludf.DUMMYFUNCTION("""COMPUTED_VALUE"""),12.0)</f>
        <v>12</v>
      </c>
      <c r="G1601" s="6">
        <f>IFERROR(__xludf.DUMMYFUNCTION("""COMPUTED_VALUE"""),16.0)</f>
        <v>16</v>
      </c>
    </row>
    <row r="1602">
      <c r="A1602" s="6">
        <f>IFERROR(__xludf.DUMMYFUNCTION("""COMPUTED_VALUE"""),2020.0)</f>
        <v>2020</v>
      </c>
      <c r="B1602" s="6" t="str">
        <f>IFERROR(__xludf.DUMMYFUNCTION("""COMPUTED_VALUE"""),"Novembro")</f>
        <v>Novembro</v>
      </c>
      <c r="C1602" s="6" t="str">
        <f>IFERROR(__xludf.DUMMYFUNCTION("""COMPUTED_VALUE"""),"LESÃO CORPORAL DOLOSA")</f>
        <v>LESÃO CORPORAL DOLOSA</v>
      </c>
      <c r="D1602" s="6">
        <f>IFERROR(__xludf.DUMMYFUNCTION("""COMPUTED_VALUE"""),948.0)</f>
        <v>948</v>
      </c>
      <c r="E1602" s="6">
        <f>IFERROR(__xludf.DUMMYFUNCTION("""COMPUTED_VALUE"""),812.0)</f>
        <v>812</v>
      </c>
      <c r="F1602" s="6">
        <f>IFERROR(__xludf.DUMMYFUNCTION("""COMPUTED_VALUE"""),2914.0)</f>
        <v>2914</v>
      </c>
      <c r="G1602" s="6">
        <f>IFERROR(__xludf.DUMMYFUNCTION("""COMPUTED_VALUE"""),4674.0)</f>
        <v>4674</v>
      </c>
    </row>
    <row r="1603">
      <c r="A1603" s="6">
        <f>IFERROR(__xludf.DUMMYFUNCTION("""COMPUTED_VALUE"""),2020.0)</f>
        <v>2020</v>
      </c>
      <c r="B1603" s="6" t="str">
        <f>IFERROR(__xludf.DUMMYFUNCTION("""COMPUTED_VALUE"""),"Novembro")</f>
        <v>Novembro</v>
      </c>
      <c r="C1603" s="6" t="str">
        <f>IFERROR(__xludf.DUMMYFUNCTION("""COMPUTED_VALUE"""),"MAUS TRATOS")</f>
        <v>MAUS TRATOS</v>
      </c>
      <c r="D1603" s="6">
        <f>IFERROR(__xludf.DUMMYFUNCTION("""COMPUTED_VALUE"""),3.0)</f>
        <v>3</v>
      </c>
      <c r="E1603" s="6">
        <f>IFERROR(__xludf.DUMMYFUNCTION("""COMPUTED_VALUE"""),2.0)</f>
        <v>2</v>
      </c>
      <c r="F1603" s="6">
        <f>IFERROR(__xludf.DUMMYFUNCTION("""COMPUTED_VALUE"""),16.0)</f>
        <v>16</v>
      </c>
      <c r="G1603" s="6">
        <f>IFERROR(__xludf.DUMMYFUNCTION("""COMPUTED_VALUE"""),21.0)</f>
        <v>21</v>
      </c>
    </row>
    <row r="1604">
      <c r="A1604" s="6">
        <f>IFERROR(__xludf.DUMMYFUNCTION("""COMPUTED_VALUE"""),2020.0)</f>
        <v>2020</v>
      </c>
      <c r="B1604" s="6" t="str">
        <f>IFERROR(__xludf.DUMMYFUNCTION("""COMPUTED_VALUE"""),"Novembro")</f>
        <v>Novembro</v>
      </c>
      <c r="C1604" s="6" t="str">
        <f>IFERROR(__xludf.DUMMYFUNCTION("""COMPUTED_VALUE"""),"CALÚNIA - DIFAMAÇÃO - INJÚRIA")</f>
        <v>CALÚNIA - DIFAMAÇÃO - INJÚRIA</v>
      </c>
      <c r="D1604" s="6">
        <f>IFERROR(__xludf.DUMMYFUNCTION("""COMPUTED_VALUE"""),187.0)</f>
        <v>187</v>
      </c>
      <c r="E1604" s="6">
        <f>IFERROR(__xludf.DUMMYFUNCTION("""COMPUTED_VALUE"""),159.0)</f>
        <v>159</v>
      </c>
      <c r="F1604" s="6">
        <f>IFERROR(__xludf.DUMMYFUNCTION("""COMPUTED_VALUE"""),694.0)</f>
        <v>694</v>
      </c>
      <c r="G1604" s="6">
        <f>IFERROR(__xludf.DUMMYFUNCTION("""COMPUTED_VALUE"""),1040.0)</f>
        <v>1040</v>
      </c>
    </row>
    <row r="1605">
      <c r="A1605" s="6">
        <f>IFERROR(__xludf.DUMMYFUNCTION("""COMPUTED_VALUE"""),2020.0)</f>
        <v>2020</v>
      </c>
      <c r="B1605" s="6" t="str">
        <f>IFERROR(__xludf.DUMMYFUNCTION("""COMPUTED_VALUE"""),"Novembro")</f>
        <v>Novembro</v>
      </c>
      <c r="C1605" s="6" t="str">
        <f>IFERROR(__xludf.DUMMYFUNCTION("""COMPUTED_VALUE"""),"CONSTRANGIMENTO ILEGAL")</f>
        <v>CONSTRANGIMENTO ILEGAL</v>
      </c>
      <c r="D1605" s="6">
        <f>IFERROR(__xludf.DUMMYFUNCTION("""COMPUTED_VALUE"""),1.0)</f>
        <v>1</v>
      </c>
      <c r="E1605" s="6">
        <f>IFERROR(__xludf.DUMMYFUNCTION("""COMPUTED_VALUE"""),0.0)</f>
        <v>0</v>
      </c>
      <c r="F1605" s="6">
        <f>IFERROR(__xludf.DUMMYFUNCTION("""COMPUTED_VALUE"""),6.0)</f>
        <v>6</v>
      </c>
      <c r="G1605" s="6">
        <f>IFERROR(__xludf.DUMMYFUNCTION("""COMPUTED_VALUE"""),7.0)</f>
        <v>7</v>
      </c>
    </row>
    <row r="1606">
      <c r="A1606" s="6">
        <f>IFERROR(__xludf.DUMMYFUNCTION("""COMPUTED_VALUE"""),2020.0)</f>
        <v>2020</v>
      </c>
      <c r="B1606" s="6" t="str">
        <f>IFERROR(__xludf.DUMMYFUNCTION("""COMPUTED_VALUE"""),"Novembro")</f>
        <v>Novembro</v>
      </c>
      <c r="C1606" s="6" t="str">
        <f>IFERROR(__xludf.DUMMYFUNCTION("""COMPUTED_VALUE"""),"AMEAÇA")</f>
        <v>AMEAÇA</v>
      </c>
      <c r="D1606" s="6">
        <f>IFERROR(__xludf.DUMMYFUNCTION("""COMPUTED_VALUE"""),872.0)</f>
        <v>872</v>
      </c>
      <c r="E1606" s="6">
        <f>IFERROR(__xludf.DUMMYFUNCTION("""COMPUTED_VALUE"""),804.0)</f>
        <v>804</v>
      </c>
      <c r="F1606" s="6">
        <f>IFERROR(__xludf.DUMMYFUNCTION("""COMPUTED_VALUE"""),2984.0)</f>
        <v>2984</v>
      </c>
      <c r="G1606" s="6">
        <f>IFERROR(__xludf.DUMMYFUNCTION("""COMPUTED_VALUE"""),4660.0)</f>
        <v>4660</v>
      </c>
    </row>
    <row r="1607">
      <c r="A1607" s="6">
        <f>IFERROR(__xludf.DUMMYFUNCTION("""COMPUTED_VALUE"""),2020.0)</f>
        <v>2020</v>
      </c>
      <c r="B1607" s="6" t="str">
        <f>IFERROR(__xludf.DUMMYFUNCTION("""COMPUTED_VALUE"""),"Novembro")</f>
        <v>Novembro</v>
      </c>
      <c r="C1607" s="6" t="str">
        <f>IFERROR(__xludf.DUMMYFUNCTION("""COMPUTED_VALUE"""),"INVASÃO DE DOMICÍLIO")</f>
        <v>INVASÃO DE DOMICÍLIO</v>
      </c>
      <c r="D1607" s="6">
        <f>IFERROR(__xludf.DUMMYFUNCTION("""COMPUTED_VALUE"""),1.0)</f>
        <v>1</v>
      </c>
      <c r="E1607" s="6">
        <f>IFERROR(__xludf.DUMMYFUNCTION("""COMPUTED_VALUE"""),2.0)</f>
        <v>2</v>
      </c>
      <c r="F1607" s="6">
        <f>IFERROR(__xludf.DUMMYFUNCTION("""COMPUTED_VALUE"""),13.0)</f>
        <v>13</v>
      </c>
      <c r="G1607" s="6">
        <f>IFERROR(__xludf.DUMMYFUNCTION("""COMPUTED_VALUE"""),16.0)</f>
        <v>16</v>
      </c>
    </row>
    <row r="1608">
      <c r="A1608" s="6">
        <f>IFERROR(__xludf.DUMMYFUNCTION("""COMPUTED_VALUE"""),2020.0)</f>
        <v>2020</v>
      </c>
      <c r="B1608" s="6" t="str">
        <f>IFERROR(__xludf.DUMMYFUNCTION("""COMPUTED_VALUE"""),"Novembro")</f>
        <v>Novembro</v>
      </c>
      <c r="C1608" s="6" t="str">
        <f>IFERROR(__xludf.DUMMYFUNCTION("""COMPUTED_VALUE"""),"DANO")</f>
        <v>DANO</v>
      </c>
      <c r="D1608" s="6">
        <f>IFERROR(__xludf.DUMMYFUNCTION("""COMPUTED_VALUE"""),11.0)</f>
        <v>11</v>
      </c>
      <c r="E1608" s="6">
        <f>IFERROR(__xludf.DUMMYFUNCTION("""COMPUTED_VALUE"""),10.0)</f>
        <v>10</v>
      </c>
      <c r="F1608" s="6">
        <f>IFERROR(__xludf.DUMMYFUNCTION("""COMPUTED_VALUE"""),54.0)</f>
        <v>54</v>
      </c>
      <c r="G1608" s="6">
        <f>IFERROR(__xludf.DUMMYFUNCTION("""COMPUTED_VALUE"""),75.0)</f>
        <v>75</v>
      </c>
    </row>
    <row r="1609">
      <c r="A1609" s="6">
        <f>IFERROR(__xludf.DUMMYFUNCTION("""COMPUTED_VALUE"""),2020.0)</f>
        <v>2020</v>
      </c>
      <c r="B1609" s="6" t="str">
        <f>IFERROR(__xludf.DUMMYFUNCTION("""COMPUTED_VALUE"""),"Novembro")</f>
        <v>Novembro</v>
      </c>
      <c r="C1609" s="6" t="str">
        <f>IFERROR(__xludf.DUMMYFUNCTION("""COMPUTED_VALUE"""),"ESTUPRO CONSUMADO")</f>
        <v>ESTUPRO CONSUMADO</v>
      </c>
      <c r="D1609" s="6">
        <f>IFERROR(__xludf.DUMMYFUNCTION("""COMPUTED_VALUE"""),10.0)</f>
        <v>10</v>
      </c>
      <c r="E1609" s="6">
        <f>IFERROR(__xludf.DUMMYFUNCTION("""COMPUTED_VALUE"""),7.0)</f>
        <v>7</v>
      </c>
      <c r="F1609" s="6">
        <f>IFERROR(__xludf.DUMMYFUNCTION("""COMPUTED_VALUE"""),17.0)</f>
        <v>17</v>
      </c>
      <c r="G1609" s="6">
        <f>IFERROR(__xludf.DUMMYFUNCTION("""COMPUTED_VALUE"""),34.0)</f>
        <v>34</v>
      </c>
    </row>
    <row r="1610">
      <c r="A1610" s="6">
        <f>IFERROR(__xludf.DUMMYFUNCTION("""COMPUTED_VALUE"""),2020.0)</f>
        <v>2020</v>
      </c>
      <c r="B1610" s="6" t="str">
        <f>IFERROR(__xludf.DUMMYFUNCTION("""COMPUTED_VALUE"""),"Novembro")</f>
        <v>Novembro</v>
      </c>
      <c r="C1610" s="6" t="str">
        <f>IFERROR(__xludf.DUMMYFUNCTION("""COMPUTED_VALUE"""),"ESTUPRO TENTADO")</f>
        <v>ESTUPRO TENTADO</v>
      </c>
      <c r="D1610" s="6">
        <f>IFERROR(__xludf.DUMMYFUNCTION("""COMPUTED_VALUE"""),0.0)</f>
        <v>0</v>
      </c>
      <c r="E1610" s="6">
        <f>IFERROR(__xludf.DUMMYFUNCTION("""COMPUTED_VALUE"""),0.0)</f>
        <v>0</v>
      </c>
      <c r="F1610" s="6">
        <f>IFERROR(__xludf.DUMMYFUNCTION("""COMPUTED_VALUE"""),1.0)</f>
        <v>1</v>
      </c>
      <c r="G1610" s="6">
        <f>IFERROR(__xludf.DUMMYFUNCTION("""COMPUTED_VALUE"""),1.0)</f>
        <v>1</v>
      </c>
    </row>
    <row r="1611">
      <c r="A1611" s="6">
        <f>IFERROR(__xludf.DUMMYFUNCTION("""COMPUTED_VALUE"""),2020.0)</f>
        <v>2020</v>
      </c>
      <c r="B1611" s="6" t="str">
        <f>IFERROR(__xludf.DUMMYFUNCTION("""COMPUTED_VALUE"""),"Novembro")</f>
        <v>Novembro</v>
      </c>
      <c r="C1611" s="6" t="str">
        <f>IFERROR(__xludf.DUMMYFUNCTION("""COMPUTED_VALUE"""),"ESTUPRO DE VULNERÁVEL CONSUMADO")</f>
        <v>ESTUPRO DE VULNERÁVEL CONSUMADO</v>
      </c>
      <c r="D1611" s="6">
        <f>IFERROR(__xludf.DUMMYFUNCTION("""COMPUTED_VALUE"""),3.0)</f>
        <v>3</v>
      </c>
      <c r="E1611" s="6">
        <f>IFERROR(__xludf.DUMMYFUNCTION("""COMPUTED_VALUE"""),4.0)</f>
        <v>4</v>
      </c>
      <c r="F1611" s="6">
        <f>IFERROR(__xludf.DUMMYFUNCTION("""COMPUTED_VALUE"""),17.0)</f>
        <v>17</v>
      </c>
      <c r="G1611" s="6">
        <f>IFERROR(__xludf.DUMMYFUNCTION("""COMPUTED_VALUE"""),24.0)</f>
        <v>24</v>
      </c>
    </row>
    <row r="1612">
      <c r="A1612" s="6">
        <f>IFERROR(__xludf.DUMMYFUNCTION("""COMPUTED_VALUE"""),2020.0)</f>
        <v>2020</v>
      </c>
      <c r="B1612" s="6" t="str">
        <f>IFERROR(__xludf.DUMMYFUNCTION("""COMPUTED_VALUE"""),"Novembro")</f>
        <v>Novembro</v>
      </c>
      <c r="C1612" s="6" t="str">
        <f>IFERROR(__xludf.DUMMYFUNCTION("""COMPUTED_VALUE"""),"OUTROS C/C/ DIGNIDADE SEXUAL")</f>
        <v>OUTROS C/C/ DIGNIDADE SEXUAL</v>
      </c>
      <c r="D1612" s="6">
        <f>IFERROR(__xludf.DUMMYFUNCTION("""COMPUTED_VALUE"""),0.0)</f>
        <v>0</v>
      </c>
      <c r="E1612" s="6">
        <f>IFERROR(__xludf.DUMMYFUNCTION("""COMPUTED_VALUE"""),0.0)</f>
        <v>0</v>
      </c>
      <c r="F1612" s="6">
        <f>IFERROR(__xludf.DUMMYFUNCTION("""COMPUTED_VALUE"""),2.0)</f>
        <v>2</v>
      </c>
      <c r="G1612" s="6">
        <f>IFERROR(__xludf.DUMMYFUNCTION("""COMPUTED_VALUE"""),2.0)</f>
        <v>2</v>
      </c>
    </row>
    <row r="1613">
      <c r="A1613" s="6">
        <f>IFERROR(__xludf.DUMMYFUNCTION("""COMPUTED_VALUE"""),2020.0)</f>
        <v>2020</v>
      </c>
      <c r="B1613" s="6" t="str">
        <f>IFERROR(__xludf.DUMMYFUNCTION("""COMPUTED_VALUE"""),"Dezembro")</f>
        <v>Dezembro</v>
      </c>
      <c r="C1613" s="6" t="str">
        <f>IFERROR(__xludf.DUMMYFUNCTION("""COMPUTED_VALUE"""),"HOMICÍDIO DOLOSO (exclui FEMINICÍDIO)")</f>
        <v>HOMICÍDIO DOLOSO (exclui FEMINICÍDIO)</v>
      </c>
      <c r="D1613" s="6">
        <f>IFERROR(__xludf.DUMMYFUNCTION("""COMPUTED_VALUE"""),1.0)</f>
        <v>1</v>
      </c>
      <c r="E1613" s="6">
        <f>IFERROR(__xludf.DUMMYFUNCTION("""COMPUTED_VALUE"""),0.0)</f>
        <v>0</v>
      </c>
      <c r="F1613" s="6">
        <f>IFERROR(__xludf.DUMMYFUNCTION("""COMPUTED_VALUE"""),2.0)</f>
        <v>2</v>
      </c>
      <c r="G1613" s="6">
        <f>IFERROR(__xludf.DUMMYFUNCTION("""COMPUTED_VALUE"""),3.0)</f>
        <v>3</v>
      </c>
    </row>
    <row r="1614">
      <c r="A1614" s="6">
        <f>IFERROR(__xludf.DUMMYFUNCTION("""COMPUTED_VALUE"""),2020.0)</f>
        <v>2020</v>
      </c>
      <c r="B1614" s="6" t="str">
        <f>IFERROR(__xludf.DUMMYFUNCTION("""COMPUTED_VALUE"""),"Dezembro")</f>
        <v>Dezembro</v>
      </c>
      <c r="C1614" s="6" t="str">
        <f>IFERROR(__xludf.DUMMYFUNCTION("""COMPUTED_VALUE"""),"FEMINICÍDIO")</f>
        <v>FEMINICÍDIO</v>
      </c>
      <c r="D1614" s="6">
        <f>IFERROR(__xludf.DUMMYFUNCTION("""COMPUTED_VALUE"""),4.0)</f>
        <v>4</v>
      </c>
      <c r="E1614" s="6">
        <f>IFERROR(__xludf.DUMMYFUNCTION("""COMPUTED_VALUE"""),4.0)</f>
        <v>4</v>
      </c>
      <c r="F1614" s="6">
        <f>IFERROR(__xludf.DUMMYFUNCTION("""COMPUTED_VALUE"""),8.0)</f>
        <v>8</v>
      </c>
      <c r="G1614" s="6">
        <f>IFERROR(__xludf.DUMMYFUNCTION("""COMPUTED_VALUE"""),16.0)</f>
        <v>16</v>
      </c>
    </row>
    <row r="1615">
      <c r="A1615" s="6">
        <f>IFERROR(__xludf.DUMMYFUNCTION("""COMPUTED_VALUE"""),2020.0)</f>
        <v>2020</v>
      </c>
      <c r="B1615" s="6" t="str">
        <f>IFERROR(__xludf.DUMMYFUNCTION("""COMPUTED_VALUE"""),"Dezembro")</f>
        <v>Dezembro</v>
      </c>
      <c r="C1615" s="6" t="str">
        <f>IFERROR(__xludf.DUMMYFUNCTION("""COMPUTED_VALUE"""),"HOMICÍDIO CULPOSO")</f>
        <v>HOMICÍDIO CULPOSO</v>
      </c>
      <c r="D1615" s="6">
        <f>IFERROR(__xludf.DUMMYFUNCTION("""COMPUTED_VALUE"""),0.0)</f>
        <v>0</v>
      </c>
      <c r="E1615" s="6">
        <f>IFERROR(__xludf.DUMMYFUNCTION("""COMPUTED_VALUE"""),0.0)</f>
        <v>0</v>
      </c>
      <c r="F1615" s="6">
        <f>IFERROR(__xludf.DUMMYFUNCTION("""COMPUTED_VALUE"""),0.0)</f>
        <v>0</v>
      </c>
      <c r="G1615" s="6">
        <f>IFERROR(__xludf.DUMMYFUNCTION("""COMPUTED_VALUE"""),0.0)</f>
        <v>0</v>
      </c>
    </row>
    <row r="1616">
      <c r="A1616" s="6">
        <f>IFERROR(__xludf.DUMMYFUNCTION("""COMPUTED_VALUE"""),2020.0)</f>
        <v>2020</v>
      </c>
      <c r="B1616" s="6" t="str">
        <f>IFERROR(__xludf.DUMMYFUNCTION("""COMPUTED_VALUE"""),"Dezembro")</f>
        <v>Dezembro</v>
      </c>
      <c r="C1616" s="6" t="str">
        <f>IFERROR(__xludf.DUMMYFUNCTION("""COMPUTED_VALUE"""),"TENTATIVA DE HOMICÍDIO")</f>
        <v>TENTATIVA DE HOMICÍDIO</v>
      </c>
      <c r="D1616" s="6">
        <f>IFERROR(__xludf.DUMMYFUNCTION("""COMPUTED_VALUE"""),1.0)</f>
        <v>1</v>
      </c>
      <c r="E1616" s="6">
        <f>IFERROR(__xludf.DUMMYFUNCTION("""COMPUTED_VALUE"""),1.0)</f>
        <v>1</v>
      </c>
      <c r="F1616" s="6">
        <f>IFERROR(__xludf.DUMMYFUNCTION("""COMPUTED_VALUE"""),11.0)</f>
        <v>11</v>
      </c>
      <c r="G1616" s="6">
        <f>IFERROR(__xludf.DUMMYFUNCTION("""COMPUTED_VALUE"""),13.0)</f>
        <v>13</v>
      </c>
    </row>
    <row r="1617">
      <c r="A1617" s="6">
        <f>IFERROR(__xludf.DUMMYFUNCTION("""COMPUTED_VALUE"""),2020.0)</f>
        <v>2020</v>
      </c>
      <c r="B1617" s="6" t="str">
        <f>IFERROR(__xludf.DUMMYFUNCTION("""COMPUTED_VALUE"""),"Dezembro")</f>
        <v>Dezembro</v>
      </c>
      <c r="C1617" s="6" t="str">
        <f>IFERROR(__xludf.DUMMYFUNCTION("""COMPUTED_VALUE"""),"LESÃO CORPORAL DOLOSA")</f>
        <v>LESÃO CORPORAL DOLOSA</v>
      </c>
      <c r="D1617" s="6">
        <f>IFERROR(__xludf.DUMMYFUNCTION("""COMPUTED_VALUE"""),912.0)</f>
        <v>912</v>
      </c>
      <c r="E1617" s="6">
        <f>IFERROR(__xludf.DUMMYFUNCTION("""COMPUTED_VALUE"""),784.0)</f>
        <v>784</v>
      </c>
      <c r="F1617" s="6">
        <f>IFERROR(__xludf.DUMMYFUNCTION("""COMPUTED_VALUE"""),2814.0)</f>
        <v>2814</v>
      </c>
      <c r="G1617" s="6">
        <f>IFERROR(__xludf.DUMMYFUNCTION("""COMPUTED_VALUE"""),4510.0)</f>
        <v>4510</v>
      </c>
    </row>
    <row r="1618">
      <c r="A1618" s="6">
        <f>IFERROR(__xludf.DUMMYFUNCTION("""COMPUTED_VALUE"""),2020.0)</f>
        <v>2020</v>
      </c>
      <c r="B1618" s="6" t="str">
        <f>IFERROR(__xludf.DUMMYFUNCTION("""COMPUTED_VALUE"""),"Dezembro")</f>
        <v>Dezembro</v>
      </c>
      <c r="C1618" s="6" t="str">
        <f>IFERROR(__xludf.DUMMYFUNCTION("""COMPUTED_VALUE"""),"MAUS TRATOS")</f>
        <v>MAUS TRATOS</v>
      </c>
      <c r="D1618" s="6">
        <f>IFERROR(__xludf.DUMMYFUNCTION("""COMPUTED_VALUE"""),2.0)</f>
        <v>2</v>
      </c>
      <c r="E1618" s="6">
        <f>IFERROR(__xludf.DUMMYFUNCTION("""COMPUTED_VALUE"""),2.0)</f>
        <v>2</v>
      </c>
      <c r="F1618" s="6">
        <f>IFERROR(__xludf.DUMMYFUNCTION("""COMPUTED_VALUE"""),14.0)</f>
        <v>14</v>
      </c>
      <c r="G1618" s="6">
        <f>IFERROR(__xludf.DUMMYFUNCTION("""COMPUTED_VALUE"""),18.0)</f>
        <v>18</v>
      </c>
    </row>
    <row r="1619">
      <c r="A1619" s="6">
        <f>IFERROR(__xludf.DUMMYFUNCTION("""COMPUTED_VALUE"""),2020.0)</f>
        <v>2020</v>
      </c>
      <c r="B1619" s="6" t="str">
        <f>IFERROR(__xludf.DUMMYFUNCTION("""COMPUTED_VALUE"""),"Dezembro")</f>
        <v>Dezembro</v>
      </c>
      <c r="C1619" s="6" t="str">
        <f>IFERROR(__xludf.DUMMYFUNCTION("""COMPUTED_VALUE"""),"CALÚNIA - DIFAMAÇÃO - INJÚRIA")</f>
        <v>CALÚNIA - DIFAMAÇÃO - INJÚRIA</v>
      </c>
      <c r="D1619" s="6">
        <f>IFERROR(__xludf.DUMMYFUNCTION("""COMPUTED_VALUE"""),178.0)</f>
        <v>178</v>
      </c>
      <c r="E1619" s="6">
        <f>IFERROR(__xludf.DUMMYFUNCTION("""COMPUTED_VALUE"""),151.0)</f>
        <v>151</v>
      </c>
      <c r="F1619" s="6">
        <f>IFERROR(__xludf.DUMMYFUNCTION("""COMPUTED_VALUE"""),654.0)</f>
        <v>654</v>
      </c>
      <c r="G1619" s="6">
        <f>IFERROR(__xludf.DUMMYFUNCTION("""COMPUTED_VALUE"""),983.0)</f>
        <v>983</v>
      </c>
    </row>
    <row r="1620">
      <c r="A1620" s="6">
        <f>IFERROR(__xludf.DUMMYFUNCTION("""COMPUTED_VALUE"""),2020.0)</f>
        <v>2020</v>
      </c>
      <c r="B1620" s="6" t="str">
        <f>IFERROR(__xludf.DUMMYFUNCTION("""COMPUTED_VALUE"""),"Dezembro")</f>
        <v>Dezembro</v>
      </c>
      <c r="C1620" s="6" t="str">
        <f>IFERROR(__xludf.DUMMYFUNCTION("""COMPUTED_VALUE"""),"CONSTRANGIMENTO ILEGAL")</f>
        <v>CONSTRANGIMENTO ILEGAL</v>
      </c>
      <c r="D1620" s="6">
        <f>IFERROR(__xludf.DUMMYFUNCTION("""COMPUTED_VALUE"""),1.0)</f>
        <v>1</v>
      </c>
      <c r="E1620" s="6">
        <f>IFERROR(__xludf.DUMMYFUNCTION("""COMPUTED_VALUE"""),0.0)</f>
        <v>0</v>
      </c>
      <c r="F1620" s="6">
        <f>IFERROR(__xludf.DUMMYFUNCTION("""COMPUTED_VALUE"""),5.0)</f>
        <v>5</v>
      </c>
      <c r="G1620" s="6">
        <f>IFERROR(__xludf.DUMMYFUNCTION("""COMPUTED_VALUE"""),6.0)</f>
        <v>6</v>
      </c>
    </row>
    <row r="1621">
      <c r="A1621" s="6">
        <f>IFERROR(__xludf.DUMMYFUNCTION("""COMPUTED_VALUE"""),2020.0)</f>
        <v>2020</v>
      </c>
      <c r="B1621" s="6" t="str">
        <f>IFERROR(__xludf.DUMMYFUNCTION("""COMPUTED_VALUE"""),"Dezembro")</f>
        <v>Dezembro</v>
      </c>
      <c r="C1621" s="6" t="str">
        <f>IFERROR(__xludf.DUMMYFUNCTION("""COMPUTED_VALUE"""),"AMEAÇA")</f>
        <v>AMEAÇA</v>
      </c>
      <c r="D1621" s="6">
        <f>IFERROR(__xludf.DUMMYFUNCTION("""COMPUTED_VALUE"""),842.0)</f>
        <v>842</v>
      </c>
      <c r="E1621" s="6">
        <f>IFERROR(__xludf.DUMMYFUNCTION("""COMPUTED_VALUE"""),771.0)</f>
        <v>771</v>
      </c>
      <c r="F1621" s="6">
        <f>IFERROR(__xludf.DUMMYFUNCTION("""COMPUTED_VALUE"""),2884.0)</f>
        <v>2884</v>
      </c>
      <c r="G1621" s="6">
        <f>IFERROR(__xludf.DUMMYFUNCTION("""COMPUTED_VALUE"""),4497.0)</f>
        <v>4497</v>
      </c>
    </row>
    <row r="1622">
      <c r="A1622" s="6">
        <f>IFERROR(__xludf.DUMMYFUNCTION("""COMPUTED_VALUE"""),2020.0)</f>
        <v>2020</v>
      </c>
      <c r="B1622" s="6" t="str">
        <f>IFERROR(__xludf.DUMMYFUNCTION("""COMPUTED_VALUE"""),"Dezembro")</f>
        <v>Dezembro</v>
      </c>
      <c r="C1622" s="6" t="str">
        <f>IFERROR(__xludf.DUMMYFUNCTION("""COMPUTED_VALUE"""),"INVASÃO DE DOMICÍLIO")</f>
        <v>INVASÃO DE DOMICÍLIO</v>
      </c>
      <c r="D1622" s="6">
        <f>IFERROR(__xludf.DUMMYFUNCTION("""COMPUTED_VALUE"""),1.0)</f>
        <v>1</v>
      </c>
      <c r="E1622" s="6">
        <f>IFERROR(__xludf.DUMMYFUNCTION("""COMPUTED_VALUE"""),1.0)</f>
        <v>1</v>
      </c>
      <c r="F1622" s="6">
        <f>IFERROR(__xludf.DUMMYFUNCTION("""COMPUTED_VALUE"""),11.0)</f>
        <v>11</v>
      </c>
      <c r="G1622" s="6">
        <f>IFERROR(__xludf.DUMMYFUNCTION("""COMPUTED_VALUE"""),13.0)</f>
        <v>13</v>
      </c>
    </row>
    <row r="1623">
      <c r="A1623" s="6">
        <f>IFERROR(__xludf.DUMMYFUNCTION("""COMPUTED_VALUE"""),2020.0)</f>
        <v>2020</v>
      </c>
      <c r="B1623" s="6" t="str">
        <f>IFERROR(__xludf.DUMMYFUNCTION("""COMPUTED_VALUE"""),"Dezembro")</f>
        <v>Dezembro</v>
      </c>
      <c r="C1623" s="6" t="str">
        <f>IFERROR(__xludf.DUMMYFUNCTION("""COMPUTED_VALUE"""),"DANO")</f>
        <v>DANO</v>
      </c>
      <c r="D1623" s="6">
        <f>IFERROR(__xludf.DUMMYFUNCTION("""COMPUTED_VALUE"""),9.0)</f>
        <v>9</v>
      </c>
      <c r="E1623" s="6">
        <f>IFERROR(__xludf.DUMMYFUNCTION("""COMPUTED_VALUE"""),9.0)</f>
        <v>9</v>
      </c>
      <c r="F1623" s="6">
        <f>IFERROR(__xludf.DUMMYFUNCTION("""COMPUTED_VALUE"""),51.0)</f>
        <v>51</v>
      </c>
      <c r="G1623" s="6">
        <f>IFERROR(__xludf.DUMMYFUNCTION("""COMPUTED_VALUE"""),69.0)</f>
        <v>69</v>
      </c>
    </row>
    <row r="1624">
      <c r="A1624" s="6">
        <f>IFERROR(__xludf.DUMMYFUNCTION("""COMPUTED_VALUE"""),2020.0)</f>
        <v>2020</v>
      </c>
      <c r="B1624" s="6" t="str">
        <f>IFERROR(__xludf.DUMMYFUNCTION("""COMPUTED_VALUE"""),"Dezembro")</f>
        <v>Dezembro</v>
      </c>
      <c r="C1624" s="6" t="str">
        <f>IFERROR(__xludf.DUMMYFUNCTION("""COMPUTED_VALUE"""),"ESTUPRO CONSUMADO")</f>
        <v>ESTUPRO CONSUMADO</v>
      </c>
      <c r="D1624" s="6">
        <f>IFERROR(__xludf.DUMMYFUNCTION("""COMPUTED_VALUE"""),9.0)</f>
        <v>9</v>
      </c>
      <c r="E1624" s="6">
        <f>IFERROR(__xludf.DUMMYFUNCTION("""COMPUTED_VALUE"""),6.0)</f>
        <v>6</v>
      </c>
      <c r="F1624" s="6">
        <f>IFERROR(__xludf.DUMMYFUNCTION("""COMPUTED_VALUE"""),16.0)</f>
        <v>16</v>
      </c>
      <c r="G1624" s="6">
        <f>IFERROR(__xludf.DUMMYFUNCTION("""COMPUTED_VALUE"""),31.0)</f>
        <v>31</v>
      </c>
    </row>
    <row r="1625">
      <c r="A1625" s="6">
        <f>IFERROR(__xludf.DUMMYFUNCTION("""COMPUTED_VALUE"""),2020.0)</f>
        <v>2020</v>
      </c>
      <c r="B1625" s="6" t="str">
        <f>IFERROR(__xludf.DUMMYFUNCTION("""COMPUTED_VALUE"""),"Dezembro")</f>
        <v>Dezembro</v>
      </c>
      <c r="C1625" s="6" t="str">
        <f>IFERROR(__xludf.DUMMYFUNCTION("""COMPUTED_VALUE"""),"ESTUPRO TENTADO")</f>
        <v>ESTUPRO TENTADO</v>
      </c>
      <c r="D1625" s="6">
        <f>IFERROR(__xludf.DUMMYFUNCTION("""COMPUTED_VALUE"""),0.0)</f>
        <v>0</v>
      </c>
      <c r="E1625" s="6">
        <f>IFERROR(__xludf.DUMMYFUNCTION("""COMPUTED_VALUE"""),0.0)</f>
        <v>0</v>
      </c>
      <c r="F1625" s="6">
        <f>IFERROR(__xludf.DUMMYFUNCTION("""COMPUTED_VALUE"""),1.0)</f>
        <v>1</v>
      </c>
      <c r="G1625" s="6">
        <f>IFERROR(__xludf.DUMMYFUNCTION("""COMPUTED_VALUE"""),1.0)</f>
        <v>1</v>
      </c>
    </row>
    <row r="1626">
      <c r="A1626" s="6">
        <f>IFERROR(__xludf.DUMMYFUNCTION("""COMPUTED_VALUE"""),2020.0)</f>
        <v>2020</v>
      </c>
      <c r="B1626" s="6" t="str">
        <f>IFERROR(__xludf.DUMMYFUNCTION("""COMPUTED_VALUE"""),"Dezembro")</f>
        <v>Dezembro</v>
      </c>
      <c r="C1626" s="6" t="str">
        <f>IFERROR(__xludf.DUMMYFUNCTION("""COMPUTED_VALUE"""),"ESTUPRO DE VULNERÁVEL CONSUMADO")</f>
        <v>ESTUPRO DE VULNERÁVEL CONSUMADO</v>
      </c>
      <c r="D1626" s="6">
        <f>IFERROR(__xludf.DUMMYFUNCTION("""COMPUTED_VALUE"""),2.0)</f>
        <v>2</v>
      </c>
      <c r="E1626" s="6">
        <f>IFERROR(__xludf.DUMMYFUNCTION("""COMPUTED_VALUE"""),3.0)</f>
        <v>3</v>
      </c>
      <c r="F1626" s="6">
        <f>IFERROR(__xludf.DUMMYFUNCTION("""COMPUTED_VALUE"""),15.0)</f>
        <v>15</v>
      </c>
      <c r="G1626" s="6">
        <f>IFERROR(__xludf.DUMMYFUNCTION("""COMPUTED_VALUE"""),20.0)</f>
        <v>20</v>
      </c>
    </row>
    <row r="1627">
      <c r="A1627" s="6">
        <f>IFERROR(__xludf.DUMMYFUNCTION("""COMPUTED_VALUE"""),2020.0)</f>
        <v>2020</v>
      </c>
      <c r="B1627" s="6" t="str">
        <f>IFERROR(__xludf.DUMMYFUNCTION("""COMPUTED_VALUE"""),"Dezembro")</f>
        <v>Dezembro</v>
      </c>
      <c r="C1627" s="6" t="str">
        <f>IFERROR(__xludf.DUMMYFUNCTION("""COMPUTED_VALUE"""),"OUTROS C/C/ DIGNIDADE SEXUAL")</f>
        <v>OUTROS C/C/ DIGNIDADE SEXUAL</v>
      </c>
      <c r="D1627" s="6">
        <f>IFERROR(__xludf.DUMMYFUNCTION("""COMPUTED_VALUE"""),0.0)</f>
        <v>0</v>
      </c>
      <c r="E1627" s="6">
        <f>IFERROR(__xludf.DUMMYFUNCTION("""COMPUTED_VALUE"""),0.0)</f>
        <v>0</v>
      </c>
      <c r="F1627" s="6">
        <f>IFERROR(__xludf.DUMMYFUNCTION("""COMPUTED_VALUE"""),1.0)</f>
        <v>1</v>
      </c>
      <c r="G1627" s="6">
        <f>IFERROR(__xludf.DUMMYFUNCTION("""COMPUTED_VALUE"""),1.0)</f>
        <v>1</v>
      </c>
    </row>
    <row r="1628">
      <c r="A1628" s="6">
        <f>IFERROR(__xludf.DUMMYFUNCTION("""COMPUTED_VALUE"""),2021.0)</f>
        <v>2021</v>
      </c>
      <c r="B1628" s="6" t="str">
        <f>IFERROR(__xludf.DUMMYFUNCTION("""COMPUTED_VALUE"""),"Janeiro")</f>
        <v>Janeiro</v>
      </c>
      <c r="C1628" s="6" t="str">
        <f>IFERROR(__xludf.DUMMYFUNCTION("""COMPUTED_VALUE"""),"HOMICÍDIO DOLOSO (exclui FEMINICÍDIO)")</f>
        <v>HOMICÍDIO DOLOSO (exclui FEMINICÍDIO)</v>
      </c>
      <c r="D1628" s="6">
        <f>IFERROR(__xludf.DUMMYFUNCTION("""COMPUTED_VALUE"""),1.0)</f>
        <v>1</v>
      </c>
      <c r="E1628" s="6">
        <f>IFERROR(__xludf.DUMMYFUNCTION("""COMPUTED_VALUE"""),0.0)</f>
        <v>0</v>
      </c>
      <c r="F1628" s="6">
        <f>IFERROR(__xludf.DUMMYFUNCTION("""COMPUTED_VALUE"""),2.0)</f>
        <v>2</v>
      </c>
      <c r="G1628" s="6">
        <f>IFERROR(__xludf.DUMMYFUNCTION("""COMPUTED_VALUE"""),3.0)</f>
        <v>3</v>
      </c>
    </row>
    <row r="1629">
      <c r="A1629" s="6">
        <f>IFERROR(__xludf.DUMMYFUNCTION("""COMPUTED_VALUE"""),2021.0)</f>
        <v>2021</v>
      </c>
      <c r="B1629" s="6" t="str">
        <f>IFERROR(__xludf.DUMMYFUNCTION("""COMPUTED_VALUE"""),"Janeiro")</f>
        <v>Janeiro</v>
      </c>
      <c r="C1629" s="6" t="str">
        <f>IFERROR(__xludf.DUMMYFUNCTION("""COMPUTED_VALUE"""),"FEMINICÍDIO")</f>
        <v>FEMINICÍDIO</v>
      </c>
      <c r="D1629" s="6">
        <f>IFERROR(__xludf.DUMMYFUNCTION("""COMPUTED_VALUE"""),4.0)</f>
        <v>4</v>
      </c>
      <c r="E1629" s="6">
        <f>IFERROR(__xludf.DUMMYFUNCTION("""COMPUTED_VALUE"""),4.0)</f>
        <v>4</v>
      </c>
      <c r="F1629" s="6">
        <f>IFERROR(__xludf.DUMMYFUNCTION("""COMPUTED_VALUE"""),9.0)</f>
        <v>9</v>
      </c>
      <c r="G1629" s="6">
        <f>IFERROR(__xludf.DUMMYFUNCTION("""COMPUTED_VALUE"""),17.0)</f>
        <v>17</v>
      </c>
    </row>
    <row r="1630">
      <c r="A1630" s="6">
        <f>IFERROR(__xludf.DUMMYFUNCTION("""COMPUTED_VALUE"""),2021.0)</f>
        <v>2021</v>
      </c>
      <c r="B1630" s="6" t="str">
        <f>IFERROR(__xludf.DUMMYFUNCTION("""COMPUTED_VALUE"""),"Janeiro")</f>
        <v>Janeiro</v>
      </c>
      <c r="C1630" s="6" t="str">
        <f>IFERROR(__xludf.DUMMYFUNCTION("""COMPUTED_VALUE"""),"HOMICÍDIO CULPOSO")</f>
        <v>HOMICÍDIO CULPOSO</v>
      </c>
      <c r="D1630" s="6">
        <f>IFERROR(__xludf.DUMMYFUNCTION("""COMPUTED_VALUE"""),0.0)</f>
        <v>0</v>
      </c>
      <c r="E1630" s="6">
        <f>IFERROR(__xludf.DUMMYFUNCTION("""COMPUTED_VALUE"""),0.0)</f>
        <v>0</v>
      </c>
      <c r="F1630" s="6">
        <f>IFERROR(__xludf.DUMMYFUNCTION("""COMPUTED_VALUE"""),0.0)</f>
        <v>0</v>
      </c>
      <c r="G1630" s="6">
        <f>IFERROR(__xludf.DUMMYFUNCTION("""COMPUTED_VALUE"""),0.0)</f>
        <v>0</v>
      </c>
    </row>
    <row r="1631">
      <c r="A1631" s="6">
        <f>IFERROR(__xludf.DUMMYFUNCTION("""COMPUTED_VALUE"""),2021.0)</f>
        <v>2021</v>
      </c>
      <c r="B1631" s="6" t="str">
        <f>IFERROR(__xludf.DUMMYFUNCTION("""COMPUTED_VALUE"""),"Janeiro")</f>
        <v>Janeiro</v>
      </c>
      <c r="C1631" s="6" t="str">
        <f>IFERROR(__xludf.DUMMYFUNCTION("""COMPUTED_VALUE"""),"TENTATIVA DE HOMICÍDIO")</f>
        <v>TENTATIVA DE HOMICÍDIO</v>
      </c>
      <c r="D1631" s="6">
        <f>IFERROR(__xludf.DUMMYFUNCTION("""COMPUTED_VALUE"""),2.0)</f>
        <v>2</v>
      </c>
      <c r="E1631" s="6">
        <f>IFERROR(__xludf.DUMMYFUNCTION("""COMPUTED_VALUE"""),2.0)</f>
        <v>2</v>
      </c>
      <c r="F1631" s="6">
        <f>IFERROR(__xludf.DUMMYFUNCTION("""COMPUTED_VALUE"""),12.0)</f>
        <v>12</v>
      </c>
      <c r="G1631" s="6">
        <f>IFERROR(__xludf.DUMMYFUNCTION("""COMPUTED_VALUE"""),16.0)</f>
        <v>16</v>
      </c>
    </row>
    <row r="1632">
      <c r="A1632" s="6">
        <f>IFERROR(__xludf.DUMMYFUNCTION("""COMPUTED_VALUE"""),2021.0)</f>
        <v>2021</v>
      </c>
      <c r="B1632" s="6" t="str">
        <f>IFERROR(__xludf.DUMMYFUNCTION("""COMPUTED_VALUE"""),"Janeiro")</f>
        <v>Janeiro</v>
      </c>
      <c r="C1632" s="6" t="str">
        <f>IFERROR(__xludf.DUMMYFUNCTION("""COMPUTED_VALUE"""),"LESÃO CORPORAL DOLOSA")</f>
        <v>LESÃO CORPORAL DOLOSA</v>
      </c>
      <c r="D1632" s="6">
        <f>IFERROR(__xludf.DUMMYFUNCTION("""COMPUTED_VALUE"""),948.0)</f>
        <v>948</v>
      </c>
      <c r="E1632" s="6">
        <f>IFERROR(__xludf.DUMMYFUNCTION("""COMPUTED_VALUE"""),812.0)</f>
        <v>812</v>
      </c>
      <c r="F1632" s="6">
        <f>IFERROR(__xludf.DUMMYFUNCTION("""COMPUTED_VALUE"""),2914.0)</f>
        <v>2914</v>
      </c>
      <c r="G1632" s="6">
        <f>IFERROR(__xludf.DUMMYFUNCTION("""COMPUTED_VALUE"""),4674.0)</f>
        <v>4674</v>
      </c>
    </row>
    <row r="1633">
      <c r="A1633" s="6">
        <f>IFERROR(__xludf.DUMMYFUNCTION("""COMPUTED_VALUE"""),2021.0)</f>
        <v>2021</v>
      </c>
      <c r="B1633" s="6" t="str">
        <f>IFERROR(__xludf.DUMMYFUNCTION("""COMPUTED_VALUE"""),"Janeiro")</f>
        <v>Janeiro</v>
      </c>
      <c r="C1633" s="6" t="str">
        <f>IFERROR(__xludf.DUMMYFUNCTION("""COMPUTED_VALUE"""),"MAUS TRATOS")</f>
        <v>MAUS TRATOS</v>
      </c>
      <c r="D1633" s="6">
        <f>IFERROR(__xludf.DUMMYFUNCTION("""COMPUTED_VALUE"""),3.0)</f>
        <v>3</v>
      </c>
      <c r="E1633" s="6">
        <f>IFERROR(__xludf.DUMMYFUNCTION("""COMPUTED_VALUE"""),2.0)</f>
        <v>2</v>
      </c>
      <c r="F1633" s="6">
        <f>IFERROR(__xludf.DUMMYFUNCTION("""COMPUTED_VALUE"""),16.0)</f>
        <v>16</v>
      </c>
      <c r="G1633" s="6">
        <f>IFERROR(__xludf.DUMMYFUNCTION("""COMPUTED_VALUE"""),21.0)</f>
        <v>21</v>
      </c>
    </row>
    <row r="1634">
      <c r="A1634" s="6">
        <f>IFERROR(__xludf.DUMMYFUNCTION("""COMPUTED_VALUE"""),2021.0)</f>
        <v>2021</v>
      </c>
      <c r="B1634" s="6" t="str">
        <f>IFERROR(__xludf.DUMMYFUNCTION("""COMPUTED_VALUE"""),"Janeiro")</f>
        <v>Janeiro</v>
      </c>
      <c r="C1634" s="6" t="str">
        <f>IFERROR(__xludf.DUMMYFUNCTION("""COMPUTED_VALUE"""),"CALÚNIA - DIFAMAÇÃO - INJÚRIA")</f>
        <v>CALÚNIA - DIFAMAÇÃO - INJÚRIA</v>
      </c>
      <c r="D1634" s="6">
        <f>IFERROR(__xludf.DUMMYFUNCTION("""COMPUTED_VALUE"""),187.0)</f>
        <v>187</v>
      </c>
      <c r="E1634" s="6">
        <f>IFERROR(__xludf.DUMMYFUNCTION("""COMPUTED_VALUE"""),159.0)</f>
        <v>159</v>
      </c>
      <c r="F1634" s="6">
        <f>IFERROR(__xludf.DUMMYFUNCTION("""COMPUTED_VALUE"""),694.0)</f>
        <v>694</v>
      </c>
      <c r="G1634" s="6">
        <f>IFERROR(__xludf.DUMMYFUNCTION("""COMPUTED_VALUE"""),1040.0)</f>
        <v>1040</v>
      </c>
    </row>
    <row r="1635">
      <c r="A1635" s="6">
        <f>IFERROR(__xludf.DUMMYFUNCTION("""COMPUTED_VALUE"""),2021.0)</f>
        <v>2021</v>
      </c>
      <c r="B1635" s="6" t="str">
        <f>IFERROR(__xludf.DUMMYFUNCTION("""COMPUTED_VALUE"""),"Janeiro")</f>
        <v>Janeiro</v>
      </c>
      <c r="C1635" s="6" t="str">
        <f>IFERROR(__xludf.DUMMYFUNCTION("""COMPUTED_VALUE"""),"CONSTRANGIMENTO ILEGAL")</f>
        <v>CONSTRANGIMENTO ILEGAL</v>
      </c>
      <c r="D1635" s="6">
        <f>IFERROR(__xludf.DUMMYFUNCTION("""COMPUTED_VALUE"""),1.0)</f>
        <v>1</v>
      </c>
      <c r="E1635" s="6">
        <f>IFERROR(__xludf.DUMMYFUNCTION("""COMPUTED_VALUE"""),0.0)</f>
        <v>0</v>
      </c>
      <c r="F1635" s="6">
        <f>IFERROR(__xludf.DUMMYFUNCTION("""COMPUTED_VALUE"""),6.0)</f>
        <v>6</v>
      </c>
      <c r="G1635" s="6">
        <f>IFERROR(__xludf.DUMMYFUNCTION("""COMPUTED_VALUE"""),7.0)</f>
        <v>7</v>
      </c>
    </row>
    <row r="1636">
      <c r="A1636" s="6">
        <f>IFERROR(__xludf.DUMMYFUNCTION("""COMPUTED_VALUE"""),2021.0)</f>
        <v>2021</v>
      </c>
      <c r="B1636" s="6" t="str">
        <f>IFERROR(__xludf.DUMMYFUNCTION("""COMPUTED_VALUE"""),"Janeiro")</f>
        <v>Janeiro</v>
      </c>
      <c r="C1636" s="6" t="str">
        <f>IFERROR(__xludf.DUMMYFUNCTION("""COMPUTED_VALUE"""),"AMEAÇA")</f>
        <v>AMEAÇA</v>
      </c>
      <c r="D1636" s="6">
        <f>IFERROR(__xludf.DUMMYFUNCTION("""COMPUTED_VALUE"""),872.0)</f>
        <v>872</v>
      </c>
      <c r="E1636" s="6">
        <f>IFERROR(__xludf.DUMMYFUNCTION("""COMPUTED_VALUE"""),804.0)</f>
        <v>804</v>
      </c>
      <c r="F1636" s="6">
        <f>IFERROR(__xludf.DUMMYFUNCTION("""COMPUTED_VALUE"""),2984.0)</f>
        <v>2984</v>
      </c>
      <c r="G1636" s="6">
        <f>IFERROR(__xludf.DUMMYFUNCTION("""COMPUTED_VALUE"""),4660.0)</f>
        <v>4660</v>
      </c>
    </row>
    <row r="1637">
      <c r="A1637" s="6">
        <f>IFERROR(__xludf.DUMMYFUNCTION("""COMPUTED_VALUE"""),2021.0)</f>
        <v>2021</v>
      </c>
      <c r="B1637" s="6" t="str">
        <f>IFERROR(__xludf.DUMMYFUNCTION("""COMPUTED_VALUE"""),"Janeiro")</f>
        <v>Janeiro</v>
      </c>
      <c r="C1637" s="6" t="str">
        <f>IFERROR(__xludf.DUMMYFUNCTION("""COMPUTED_VALUE"""),"INVASÃO DE DOMICÍLIO")</f>
        <v>INVASÃO DE DOMICÍLIO</v>
      </c>
      <c r="D1637" s="6">
        <f>IFERROR(__xludf.DUMMYFUNCTION("""COMPUTED_VALUE"""),1.0)</f>
        <v>1</v>
      </c>
      <c r="E1637" s="6">
        <f>IFERROR(__xludf.DUMMYFUNCTION("""COMPUTED_VALUE"""),2.0)</f>
        <v>2</v>
      </c>
      <c r="F1637" s="6">
        <f>IFERROR(__xludf.DUMMYFUNCTION("""COMPUTED_VALUE"""),13.0)</f>
        <v>13</v>
      </c>
      <c r="G1637" s="6">
        <f>IFERROR(__xludf.DUMMYFUNCTION("""COMPUTED_VALUE"""),16.0)</f>
        <v>16</v>
      </c>
    </row>
    <row r="1638">
      <c r="A1638" s="6">
        <f>IFERROR(__xludf.DUMMYFUNCTION("""COMPUTED_VALUE"""),2021.0)</f>
        <v>2021</v>
      </c>
      <c r="B1638" s="6" t="str">
        <f>IFERROR(__xludf.DUMMYFUNCTION("""COMPUTED_VALUE"""),"Janeiro")</f>
        <v>Janeiro</v>
      </c>
      <c r="C1638" s="6" t="str">
        <f>IFERROR(__xludf.DUMMYFUNCTION("""COMPUTED_VALUE"""),"DANO")</f>
        <v>DANO</v>
      </c>
      <c r="D1638" s="6">
        <f>IFERROR(__xludf.DUMMYFUNCTION("""COMPUTED_VALUE"""),11.0)</f>
        <v>11</v>
      </c>
      <c r="E1638" s="6">
        <f>IFERROR(__xludf.DUMMYFUNCTION("""COMPUTED_VALUE"""),10.0)</f>
        <v>10</v>
      </c>
      <c r="F1638" s="6">
        <f>IFERROR(__xludf.DUMMYFUNCTION("""COMPUTED_VALUE"""),54.0)</f>
        <v>54</v>
      </c>
      <c r="G1638" s="6">
        <f>IFERROR(__xludf.DUMMYFUNCTION("""COMPUTED_VALUE"""),75.0)</f>
        <v>75</v>
      </c>
    </row>
    <row r="1639">
      <c r="A1639" s="6">
        <f>IFERROR(__xludf.DUMMYFUNCTION("""COMPUTED_VALUE"""),2021.0)</f>
        <v>2021</v>
      </c>
      <c r="B1639" s="6" t="str">
        <f>IFERROR(__xludf.DUMMYFUNCTION("""COMPUTED_VALUE"""),"Janeiro")</f>
        <v>Janeiro</v>
      </c>
      <c r="C1639" s="6" t="str">
        <f>IFERROR(__xludf.DUMMYFUNCTION("""COMPUTED_VALUE"""),"ESTUPRO CONSUMADO")</f>
        <v>ESTUPRO CONSUMADO</v>
      </c>
      <c r="D1639" s="6">
        <f>IFERROR(__xludf.DUMMYFUNCTION("""COMPUTED_VALUE"""),10.0)</f>
        <v>10</v>
      </c>
      <c r="E1639" s="6">
        <f>IFERROR(__xludf.DUMMYFUNCTION("""COMPUTED_VALUE"""),7.0)</f>
        <v>7</v>
      </c>
      <c r="F1639" s="6">
        <f>IFERROR(__xludf.DUMMYFUNCTION("""COMPUTED_VALUE"""),17.0)</f>
        <v>17</v>
      </c>
      <c r="G1639" s="6">
        <f>IFERROR(__xludf.DUMMYFUNCTION("""COMPUTED_VALUE"""),34.0)</f>
        <v>34</v>
      </c>
    </row>
    <row r="1640">
      <c r="A1640" s="6">
        <f>IFERROR(__xludf.DUMMYFUNCTION("""COMPUTED_VALUE"""),2021.0)</f>
        <v>2021</v>
      </c>
      <c r="B1640" s="6" t="str">
        <f>IFERROR(__xludf.DUMMYFUNCTION("""COMPUTED_VALUE"""),"Janeiro")</f>
        <v>Janeiro</v>
      </c>
      <c r="C1640" s="6" t="str">
        <f>IFERROR(__xludf.DUMMYFUNCTION("""COMPUTED_VALUE"""),"ESTUPRO TENTADO")</f>
        <v>ESTUPRO TENTADO</v>
      </c>
      <c r="D1640" s="6">
        <f>IFERROR(__xludf.DUMMYFUNCTION("""COMPUTED_VALUE"""),0.0)</f>
        <v>0</v>
      </c>
      <c r="E1640" s="6">
        <f>IFERROR(__xludf.DUMMYFUNCTION("""COMPUTED_VALUE"""),0.0)</f>
        <v>0</v>
      </c>
      <c r="F1640" s="6">
        <f>IFERROR(__xludf.DUMMYFUNCTION("""COMPUTED_VALUE"""),1.0)</f>
        <v>1</v>
      </c>
      <c r="G1640" s="6">
        <f>IFERROR(__xludf.DUMMYFUNCTION("""COMPUTED_VALUE"""),1.0)</f>
        <v>1</v>
      </c>
    </row>
    <row r="1641">
      <c r="A1641" s="6">
        <f>IFERROR(__xludf.DUMMYFUNCTION("""COMPUTED_VALUE"""),2021.0)</f>
        <v>2021</v>
      </c>
      <c r="B1641" s="6" t="str">
        <f>IFERROR(__xludf.DUMMYFUNCTION("""COMPUTED_VALUE"""),"Janeiro")</f>
        <v>Janeiro</v>
      </c>
      <c r="C1641" s="6" t="str">
        <f>IFERROR(__xludf.DUMMYFUNCTION("""COMPUTED_VALUE"""),"ESTUPRO DE VULNERÁVEL CONSUMADO")</f>
        <v>ESTUPRO DE VULNERÁVEL CONSUMADO</v>
      </c>
      <c r="D1641" s="6">
        <f>IFERROR(__xludf.DUMMYFUNCTION("""COMPUTED_VALUE"""),3.0)</f>
        <v>3</v>
      </c>
      <c r="E1641" s="6">
        <f>IFERROR(__xludf.DUMMYFUNCTION("""COMPUTED_VALUE"""),4.0)</f>
        <v>4</v>
      </c>
      <c r="F1641" s="6">
        <f>IFERROR(__xludf.DUMMYFUNCTION("""COMPUTED_VALUE"""),17.0)</f>
        <v>17</v>
      </c>
      <c r="G1641" s="6">
        <f>IFERROR(__xludf.DUMMYFUNCTION("""COMPUTED_VALUE"""),24.0)</f>
        <v>24</v>
      </c>
    </row>
    <row r="1642">
      <c r="A1642" s="6">
        <f>IFERROR(__xludf.DUMMYFUNCTION("""COMPUTED_VALUE"""),2021.0)</f>
        <v>2021</v>
      </c>
      <c r="B1642" s="6" t="str">
        <f>IFERROR(__xludf.DUMMYFUNCTION("""COMPUTED_VALUE"""),"Janeiro")</f>
        <v>Janeiro</v>
      </c>
      <c r="C1642" s="6" t="str">
        <f>IFERROR(__xludf.DUMMYFUNCTION("""COMPUTED_VALUE"""),"OUTROS C/C/ DIGNIDADE SEXUAL")</f>
        <v>OUTROS C/C/ DIGNIDADE SEXUAL</v>
      </c>
      <c r="D1642" s="6">
        <f>IFERROR(__xludf.DUMMYFUNCTION("""COMPUTED_VALUE"""),0.0)</f>
        <v>0</v>
      </c>
      <c r="E1642" s="6">
        <f>IFERROR(__xludf.DUMMYFUNCTION("""COMPUTED_VALUE"""),0.0)</f>
        <v>0</v>
      </c>
      <c r="F1642" s="6">
        <f>IFERROR(__xludf.DUMMYFUNCTION("""COMPUTED_VALUE"""),2.0)</f>
        <v>2</v>
      </c>
      <c r="G1642" s="6">
        <f>IFERROR(__xludf.DUMMYFUNCTION("""COMPUTED_VALUE"""),2.0)</f>
        <v>2</v>
      </c>
    </row>
    <row r="1643">
      <c r="A1643" s="6">
        <f>IFERROR(__xludf.DUMMYFUNCTION("""COMPUTED_VALUE"""),2021.0)</f>
        <v>2021</v>
      </c>
      <c r="B1643" s="6" t="str">
        <f>IFERROR(__xludf.DUMMYFUNCTION("""COMPUTED_VALUE"""),"Fevereiro")</f>
        <v>Fevereiro</v>
      </c>
      <c r="C1643" s="6" t="str">
        <f>IFERROR(__xludf.DUMMYFUNCTION("""COMPUTED_VALUE"""),"HOMICÍDIO DOLOSO (exclui FEMINICÍDIO)")</f>
        <v>HOMICÍDIO DOLOSO (exclui FEMINICÍDIO)</v>
      </c>
      <c r="D1643" s="6">
        <f>IFERROR(__xludf.DUMMYFUNCTION("""COMPUTED_VALUE"""),1.0)</f>
        <v>1</v>
      </c>
      <c r="E1643" s="6">
        <f>IFERROR(__xludf.DUMMYFUNCTION("""COMPUTED_VALUE"""),0.0)</f>
        <v>0</v>
      </c>
      <c r="F1643" s="6">
        <f>IFERROR(__xludf.DUMMYFUNCTION("""COMPUTED_VALUE"""),2.0)</f>
        <v>2</v>
      </c>
      <c r="G1643" s="6">
        <f>IFERROR(__xludf.DUMMYFUNCTION("""COMPUTED_VALUE"""),3.0)</f>
        <v>3</v>
      </c>
    </row>
    <row r="1644">
      <c r="A1644" s="6">
        <f>IFERROR(__xludf.DUMMYFUNCTION("""COMPUTED_VALUE"""),2021.0)</f>
        <v>2021</v>
      </c>
      <c r="B1644" s="6" t="str">
        <f>IFERROR(__xludf.DUMMYFUNCTION("""COMPUTED_VALUE"""),"Fevereiro")</f>
        <v>Fevereiro</v>
      </c>
      <c r="C1644" s="6" t="str">
        <f>IFERROR(__xludf.DUMMYFUNCTION("""COMPUTED_VALUE"""),"FEMINICÍDIO")</f>
        <v>FEMINICÍDIO</v>
      </c>
      <c r="D1644" s="6">
        <f>IFERROR(__xludf.DUMMYFUNCTION("""COMPUTED_VALUE"""),3.0)</f>
        <v>3</v>
      </c>
      <c r="E1644" s="6">
        <f>IFERROR(__xludf.DUMMYFUNCTION("""COMPUTED_VALUE"""),4.0)</f>
        <v>4</v>
      </c>
      <c r="F1644" s="6">
        <f>IFERROR(__xludf.DUMMYFUNCTION("""COMPUTED_VALUE"""),7.0)</f>
        <v>7</v>
      </c>
      <c r="G1644" s="6">
        <f>IFERROR(__xludf.DUMMYFUNCTION("""COMPUTED_VALUE"""),14.0)</f>
        <v>14</v>
      </c>
    </row>
    <row r="1645">
      <c r="A1645" s="6">
        <f>IFERROR(__xludf.DUMMYFUNCTION("""COMPUTED_VALUE"""),2021.0)</f>
        <v>2021</v>
      </c>
      <c r="B1645" s="6" t="str">
        <f>IFERROR(__xludf.DUMMYFUNCTION("""COMPUTED_VALUE"""),"Fevereiro")</f>
        <v>Fevereiro</v>
      </c>
      <c r="C1645" s="6" t="str">
        <f>IFERROR(__xludf.DUMMYFUNCTION("""COMPUTED_VALUE"""),"HOMICÍDIO CULPOSO")</f>
        <v>HOMICÍDIO CULPOSO</v>
      </c>
      <c r="D1645" s="6">
        <f>IFERROR(__xludf.DUMMYFUNCTION("""COMPUTED_VALUE"""),0.0)</f>
        <v>0</v>
      </c>
      <c r="E1645" s="6">
        <f>IFERROR(__xludf.DUMMYFUNCTION("""COMPUTED_VALUE"""),0.0)</f>
        <v>0</v>
      </c>
      <c r="F1645" s="6">
        <f>IFERROR(__xludf.DUMMYFUNCTION("""COMPUTED_VALUE"""),0.0)</f>
        <v>0</v>
      </c>
      <c r="G1645" s="6">
        <f>IFERROR(__xludf.DUMMYFUNCTION("""COMPUTED_VALUE"""),0.0)</f>
        <v>0</v>
      </c>
    </row>
    <row r="1646">
      <c r="A1646" s="6">
        <f>IFERROR(__xludf.DUMMYFUNCTION("""COMPUTED_VALUE"""),2021.0)</f>
        <v>2021</v>
      </c>
      <c r="B1646" s="6" t="str">
        <f>IFERROR(__xludf.DUMMYFUNCTION("""COMPUTED_VALUE"""),"Fevereiro")</f>
        <v>Fevereiro</v>
      </c>
      <c r="C1646" s="6" t="str">
        <f>IFERROR(__xludf.DUMMYFUNCTION("""COMPUTED_VALUE"""),"TENTATIVA DE HOMICÍDIO")</f>
        <v>TENTATIVA DE HOMICÍDIO</v>
      </c>
      <c r="D1646" s="6">
        <f>IFERROR(__xludf.DUMMYFUNCTION("""COMPUTED_VALUE"""),2.0)</f>
        <v>2</v>
      </c>
      <c r="E1646" s="6">
        <f>IFERROR(__xludf.DUMMYFUNCTION("""COMPUTED_VALUE"""),2.0)</f>
        <v>2</v>
      </c>
      <c r="F1646" s="6">
        <f>IFERROR(__xludf.DUMMYFUNCTION("""COMPUTED_VALUE"""),12.0)</f>
        <v>12</v>
      </c>
      <c r="G1646" s="6">
        <f>IFERROR(__xludf.DUMMYFUNCTION("""COMPUTED_VALUE"""),16.0)</f>
        <v>16</v>
      </c>
    </row>
    <row r="1647">
      <c r="A1647" s="6">
        <f>IFERROR(__xludf.DUMMYFUNCTION("""COMPUTED_VALUE"""),2021.0)</f>
        <v>2021</v>
      </c>
      <c r="B1647" s="6" t="str">
        <f>IFERROR(__xludf.DUMMYFUNCTION("""COMPUTED_VALUE"""),"Fevereiro")</f>
        <v>Fevereiro</v>
      </c>
      <c r="C1647" s="6" t="str">
        <f>IFERROR(__xludf.DUMMYFUNCTION("""COMPUTED_VALUE"""),"LESÃO CORPORAL DOLOSA")</f>
        <v>LESÃO CORPORAL DOLOSA</v>
      </c>
      <c r="D1647" s="6">
        <f>IFERROR(__xludf.DUMMYFUNCTION("""COMPUTED_VALUE"""),948.0)</f>
        <v>948</v>
      </c>
      <c r="E1647" s="6">
        <f>IFERROR(__xludf.DUMMYFUNCTION("""COMPUTED_VALUE"""),812.0)</f>
        <v>812</v>
      </c>
      <c r="F1647" s="6">
        <f>IFERROR(__xludf.DUMMYFUNCTION("""COMPUTED_VALUE"""),2914.0)</f>
        <v>2914</v>
      </c>
      <c r="G1647" s="6">
        <f>IFERROR(__xludf.DUMMYFUNCTION("""COMPUTED_VALUE"""),4674.0)</f>
        <v>4674</v>
      </c>
    </row>
    <row r="1648">
      <c r="A1648" s="6">
        <f>IFERROR(__xludf.DUMMYFUNCTION("""COMPUTED_VALUE"""),2021.0)</f>
        <v>2021</v>
      </c>
      <c r="B1648" s="6" t="str">
        <f>IFERROR(__xludf.DUMMYFUNCTION("""COMPUTED_VALUE"""),"Fevereiro")</f>
        <v>Fevereiro</v>
      </c>
      <c r="C1648" s="6" t="str">
        <f>IFERROR(__xludf.DUMMYFUNCTION("""COMPUTED_VALUE"""),"MAUS TRATOS")</f>
        <v>MAUS TRATOS</v>
      </c>
      <c r="D1648" s="6">
        <f>IFERROR(__xludf.DUMMYFUNCTION("""COMPUTED_VALUE"""),3.0)</f>
        <v>3</v>
      </c>
      <c r="E1648" s="6">
        <f>IFERROR(__xludf.DUMMYFUNCTION("""COMPUTED_VALUE"""),2.0)</f>
        <v>2</v>
      </c>
      <c r="F1648" s="6">
        <f>IFERROR(__xludf.DUMMYFUNCTION("""COMPUTED_VALUE"""),16.0)</f>
        <v>16</v>
      </c>
      <c r="G1648" s="6">
        <f>IFERROR(__xludf.DUMMYFUNCTION("""COMPUTED_VALUE"""),21.0)</f>
        <v>21</v>
      </c>
    </row>
    <row r="1649">
      <c r="A1649" s="6">
        <f>IFERROR(__xludf.DUMMYFUNCTION("""COMPUTED_VALUE"""),2021.0)</f>
        <v>2021</v>
      </c>
      <c r="B1649" s="6" t="str">
        <f>IFERROR(__xludf.DUMMYFUNCTION("""COMPUTED_VALUE"""),"Fevereiro")</f>
        <v>Fevereiro</v>
      </c>
      <c r="C1649" s="6" t="str">
        <f>IFERROR(__xludf.DUMMYFUNCTION("""COMPUTED_VALUE"""),"CALÚNIA - DIFAMAÇÃO - INJÚRIA")</f>
        <v>CALÚNIA - DIFAMAÇÃO - INJÚRIA</v>
      </c>
      <c r="D1649" s="6">
        <f>IFERROR(__xludf.DUMMYFUNCTION("""COMPUTED_VALUE"""),187.0)</f>
        <v>187</v>
      </c>
      <c r="E1649" s="6">
        <f>IFERROR(__xludf.DUMMYFUNCTION("""COMPUTED_VALUE"""),159.0)</f>
        <v>159</v>
      </c>
      <c r="F1649" s="6">
        <f>IFERROR(__xludf.DUMMYFUNCTION("""COMPUTED_VALUE"""),694.0)</f>
        <v>694</v>
      </c>
      <c r="G1649" s="6">
        <f>IFERROR(__xludf.DUMMYFUNCTION("""COMPUTED_VALUE"""),1040.0)</f>
        <v>1040</v>
      </c>
    </row>
    <row r="1650">
      <c r="A1650" s="6">
        <f>IFERROR(__xludf.DUMMYFUNCTION("""COMPUTED_VALUE"""),2021.0)</f>
        <v>2021</v>
      </c>
      <c r="B1650" s="6" t="str">
        <f>IFERROR(__xludf.DUMMYFUNCTION("""COMPUTED_VALUE"""),"Fevereiro")</f>
        <v>Fevereiro</v>
      </c>
      <c r="C1650" s="6" t="str">
        <f>IFERROR(__xludf.DUMMYFUNCTION("""COMPUTED_VALUE"""),"CONSTRANGIMENTO ILEGAL")</f>
        <v>CONSTRANGIMENTO ILEGAL</v>
      </c>
      <c r="D1650" s="6">
        <f>IFERROR(__xludf.DUMMYFUNCTION("""COMPUTED_VALUE"""),1.0)</f>
        <v>1</v>
      </c>
      <c r="E1650" s="6">
        <f>IFERROR(__xludf.DUMMYFUNCTION("""COMPUTED_VALUE"""),0.0)</f>
        <v>0</v>
      </c>
      <c r="F1650" s="6">
        <f>IFERROR(__xludf.DUMMYFUNCTION("""COMPUTED_VALUE"""),6.0)</f>
        <v>6</v>
      </c>
      <c r="G1650" s="6">
        <f>IFERROR(__xludf.DUMMYFUNCTION("""COMPUTED_VALUE"""),7.0)</f>
        <v>7</v>
      </c>
    </row>
    <row r="1651">
      <c r="A1651" s="6">
        <f>IFERROR(__xludf.DUMMYFUNCTION("""COMPUTED_VALUE"""),2021.0)</f>
        <v>2021</v>
      </c>
      <c r="B1651" s="6" t="str">
        <f>IFERROR(__xludf.DUMMYFUNCTION("""COMPUTED_VALUE"""),"Fevereiro")</f>
        <v>Fevereiro</v>
      </c>
      <c r="C1651" s="6" t="str">
        <f>IFERROR(__xludf.DUMMYFUNCTION("""COMPUTED_VALUE"""),"AMEAÇA")</f>
        <v>AMEAÇA</v>
      </c>
      <c r="D1651" s="6">
        <f>IFERROR(__xludf.DUMMYFUNCTION("""COMPUTED_VALUE"""),872.0)</f>
        <v>872</v>
      </c>
      <c r="E1651" s="6">
        <f>IFERROR(__xludf.DUMMYFUNCTION("""COMPUTED_VALUE"""),804.0)</f>
        <v>804</v>
      </c>
      <c r="F1651" s="6">
        <f>IFERROR(__xludf.DUMMYFUNCTION("""COMPUTED_VALUE"""),2984.0)</f>
        <v>2984</v>
      </c>
      <c r="G1651" s="6">
        <f>IFERROR(__xludf.DUMMYFUNCTION("""COMPUTED_VALUE"""),4660.0)</f>
        <v>4660</v>
      </c>
    </row>
    <row r="1652">
      <c r="A1652" s="6">
        <f>IFERROR(__xludf.DUMMYFUNCTION("""COMPUTED_VALUE"""),2021.0)</f>
        <v>2021</v>
      </c>
      <c r="B1652" s="6" t="str">
        <f>IFERROR(__xludf.DUMMYFUNCTION("""COMPUTED_VALUE"""),"Fevereiro")</f>
        <v>Fevereiro</v>
      </c>
      <c r="C1652" s="6" t="str">
        <f>IFERROR(__xludf.DUMMYFUNCTION("""COMPUTED_VALUE"""),"INVASÃO DE DOMICÍLIO")</f>
        <v>INVASÃO DE DOMICÍLIO</v>
      </c>
      <c r="D1652" s="6">
        <f>IFERROR(__xludf.DUMMYFUNCTION("""COMPUTED_VALUE"""),1.0)</f>
        <v>1</v>
      </c>
      <c r="E1652" s="6">
        <f>IFERROR(__xludf.DUMMYFUNCTION("""COMPUTED_VALUE"""),2.0)</f>
        <v>2</v>
      </c>
      <c r="F1652" s="6">
        <f>IFERROR(__xludf.DUMMYFUNCTION("""COMPUTED_VALUE"""),13.0)</f>
        <v>13</v>
      </c>
      <c r="G1652" s="6">
        <f>IFERROR(__xludf.DUMMYFUNCTION("""COMPUTED_VALUE"""),16.0)</f>
        <v>16</v>
      </c>
    </row>
    <row r="1653">
      <c r="A1653" s="6">
        <f>IFERROR(__xludf.DUMMYFUNCTION("""COMPUTED_VALUE"""),2021.0)</f>
        <v>2021</v>
      </c>
      <c r="B1653" s="6" t="str">
        <f>IFERROR(__xludf.DUMMYFUNCTION("""COMPUTED_VALUE"""),"Fevereiro")</f>
        <v>Fevereiro</v>
      </c>
      <c r="C1653" s="6" t="str">
        <f>IFERROR(__xludf.DUMMYFUNCTION("""COMPUTED_VALUE"""),"DANO")</f>
        <v>DANO</v>
      </c>
      <c r="D1653" s="6">
        <f>IFERROR(__xludf.DUMMYFUNCTION("""COMPUTED_VALUE"""),11.0)</f>
        <v>11</v>
      </c>
      <c r="E1653" s="6">
        <f>IFERROR(__xludf.DUMMYFUNCTION("""COMPUTED_VALUE"""),10.0)</f>
        <v>10</v>
      </c>
      <c r="F1653" s="6">
        <f>IFERROR(__xludf.DUMMYFUNCTION("""COMPUTED_VALUE"""),54.0)</f>
        <v>54</v>
      </c>
      <c r="G1653" s="6">
        <f>IFERROR(__xludf.DUMMYFUNCTION("""COMPUTED_VALUE"""),75.0)</f>
        <v>75</v>
      </c>
    </row>
    <row r="1654">
      <c r="A1654" s="6">
        <f>IFERROR(__xludf.DUMMYFUNCTION("""COMPUTED_VALUE"""),2021.0)</f>
        <v>2021</v>
      </c>
      <c r="B1654" s="6" t="str">
        <f>IFERROR(__xludf.DUMMYFUNCTION("""COMPUTED_VALUE"""),"Fevereiro")</f>
        <v>Fevereiro</v>
      </c>
      <c r="C1654" s="6" t="str">
        <f>IFERROR(__xludf.DUMMYFUNCTION("""COMPUTED_VALUE"""),"ESTUPRO CONSUMADO")</f>
        <v>ESTUPRO CONSUMADO</v>
      </c>
      <c r="D1654" s="6">
        <f>IFERROR(__xludf.DUMMYFUNCTION("""COMPUTED_VALUE"""),10.0)</f>
        <v>10</v>
      </c>
      <c r="E1654" s="6">
        <f>IFERROR(__xludf.DUMMYFUNCTION("""COMPUTED_VALUE"""),7.0)</f>
        <v>7</v>
      </c>
      <c r="F1654" s="6">
        <f>IFERROR(__xludf.DUMMYFUNCTION("""COMPUTED_VALUE"""),17.0)</f>
        <v>17</v>
      </c>
      <c r="G1654" s="6">
        <f>IFERROR(__xludf.DUMMYFUNCTION("""COMPUTED_VALUE"""),34.0)</f>
        <v>34</v>
      </c>
    </row>
    <row r="1655">
      <c r="A1655" s="6">
        <f>IFERROR(__xludf.DUMMYFUNCTION("""COMPUTED_VALUE"""),2021.0)</f>
        <v>2021</v>
      </c>
      <c r="B1655" s="6" t="str">
        <f>IFERROR(__xludf.DUMMYFUNCTION("""COMPUTED_VALUE"""),"Fevereiro")</f>
        <v>Fevereiro</v>
      </c>
      <c r="C1655" s="6" t="str">
        <f>IFERROR(__xludf.DUMMYFUNCTION("""COMPUTED_VALUE"""),"ESTUPRO TENTADO")</f>
        <v>ESTUPRO TENTADO</v>
      </c>
      <c r="D1655" s="6">
        <f>IFERROR(__xludf.DUMMYFUNCTION("""COMPUTED_VALUE"""),0.0)</f>
        <v>0</v>
      </c>
      <c r="E1655" s="6">
        <f>IFERROR(__xludf.DUMMYFUNCTION("""COMPUTED_VALUE"""),0.0)</f>
        <v>0</v>
      </c>
      <c r="F1655" s="6">
        <f>IFERROR(__xludf.DUMMYFUNCTION("""COMPUTED_VALUE"""),1.0)</f>
        <v>1</v>
      </c>
      <c r="G1655" s="6">
        <f>IFERROR(__xludf.DUMMYFUNCTION("""COMPUTED_VALUE"""),1.0)</f>
        <v>1</v>
      </c>
    </row>
    <row r="1656">
      <c r="A1656" s="6">
        <f>IFERROR(__xludf.DUMMYFUNCTION("""COMPUTED_VALUE"""),2021.0)</f>
        <v>2021</v>
      </c>
      <c r="B1656" s="6" t="str">
        <f>IFERROR(__xludf.DUMMYFUNCTION("""COMPUTED_VALUE"""),"Fevereiro")</f>
        <v>Fevereiro</v>
      </c>
      <c r="C1656" s="6" t="str">
        <f>IFERROR(__xludf.DUMMYFUNCTION("""COMPUTED_VALUE"""),"ESTUPRO DE VULNERÁVEL CONSUMADO")</f>
        <v>ESTUPRO DE VULNERÁVEL CONSUMADO</v>
      </c>
      <c r="D1656" s="6">
        <f>IFERROR(__xludf.DUMMYFUNCTION("""COMPUTED_VALUE"""),3.0)</f>
        <v>3</v>
      </c>
      <c r="E1656" s="6">
        <f>IFERROR(__xludf.DUMMYFUNCTION("""COMPUTED_VALUE"""),4.0)</f>
        <v>4</v>
      </c>
      <c r="F1656" s="6">
        <f>IFERROR(__xludf.DUMMYFUNCTION("""COMPUTED_VALUE"""),17.0)</f>
        <v>17</v>
      </c>
      <c r="G1656" s="6">
        <f>IFERROR(__xludf.DUMMYFUNCTION("""COMPUTED_VALUE"""),24.0)</f>
        <v>24</v>
      </c>
    </row>
    <row r="1657">
      <c r="A1657" s="6">
        <f>IFERROR(__xludf.DUMMYFUNCTION("""COMPUTED_VALUE"""),2021.0)</f>
        <v>2021</v>
      </c>
      <c r="B1657" s="6" t="str">
        <f>IFERROR(__xludf.DUMMYFUNCTION("""COMPUTED_VALUE"""),"Fevereiro")</f>
        <v>Fevereiro</v>
      </c>
      <c r="C1657" s="6" t="str">
        <f>IFERROR(__xludf.DUMMYFUNCTION("""COMPUTED_VALUE"""),"OUTROS C/C/ DIGNIDADE SEXUAL")</f>
        <v>OUTROS C/C/ DIGNIDADE SEXUAL</v>
      </c>
      <c r="D1657" s="6">
        <f>IFERROR(__xludf.DUMMYFUNCTION("""COMPUTED_VALUE"""),0.0)</f>
        <v>0</v>
      </c>
      <c r="E1657" s="6">
        <f>IFERROR(__xludf.DUMMYFUNCTION("""COMPUTED_VALUE"""),0.0)</f>
        <v>0</v>
      </c>
      <c r="F1657" s="6">
        <f>IFERROR(__xludf.DUMMYFUNCTION("""COMPUTED_VALUE"""),2.0)</f>
        <v>2</v>
      </c>
      <c r="G1657" s="6">
        <f>IFERROR(__xludf.DUMMYFUNCTION("""COMPUTED_VALUE"""),2.0)</f>
        <v>2</v>
      </c>
    </row>
    <row r="1658">
      <c r="A1658" s="6">
        <f>IFERROR(__xludf.DUMMYFUNCTION("""COMPUTED_VALUE"""),2021.0)</f>
        <v>2021</v>
      </c>
      <c r="B1658" s="6" t="str">
        <f>IFERROR(__xludf.DUMMYFUNCTION("""COMPUTED_VALUE"""),"Março")</f>
        <v>Março</v>
      </c>
      <c r="C1658" s="6" t="str">
        <f>IFERROR(__xludf.DUMMYFUNCTION("""COMPUTED_VALUE"""),"HOMICÍDIO DOLOSO (exclui FEMINICÍDIO)")</f>
        <v>HOMICÍDIO DOLOSO (exclui FEMINICÍDIO)</v>
      </c>
      <c r="D1658" s="6">
        <f>IFERROR(__xludf.DUMMYFUNCTION("""COMPUTED_VALUE"""),1.0)</f>
        <v>1</v>
      </c>
      <c r="E1658" s="6">
        <f>IFERROR(__xludf.DUMMYFUNCTION("""COMPUTED_VALUE"""),0.0)</f>
        <v>0</v>
      </c>
      <c r="F1658" s="6">
        <f>IFERROR(__xludf.DUMMYFUNCTION("""COMPUTED_VALUE"""),2.0)</f>
        <v>2</v>
      </c>
      <c r="G1658" s="6">
        <f>IFERROR(__xludf.DUMMYFUNCTION("""COMPUTED_VALUE"""),3.0)</f>
        <v>3</v>
      </c>
    </row>
    <row r="1659">
      <c r="A1659" s="6">
        <f>IFERROR(__xludf.DUMMYFUNCTION("""COMPUTED_VALUE"""),2021.0)</f>
        <v>2021</v>
      </c>
      <c r="B1659" s="6" t="str">
        <f>IFERROR(__xludf.DUMMYFUNCTION("""COMPUTED_VALUE"""),"Março")</f>
        <v>Março</v>
      </c>
      <c r="C1659" s="6" t="str">
        <f>IFERROR(__xludf.DUMMYFUNCTION("""COMPUTED_VALUE"""),"FEMINICÍDIO")</f>
        <v>FEMINICÍDIO</v>
      </c>
      <c r="D1659" s="6">
        <f>IFERROR(__xludf.DUMMYFUNCTION("""COMPUTED_VALUE"""),4.0)</f>
        <v>4</v>
      </c>
      <c r="E1659" s="6">
        <f>IFERROR(__xludf.DUMMYFUNCTION("""COMPUTED_VALUE"""),4.0)</f>
        <v>4</v>
      </c>
      <c r="F1659" s="6">
        <f>IFERROR(__xludf.DUMMYFUNCTION("""COMPUTED_VALUE"""),9.0)</f>
        <v>9</v>
      </c>
      <c r="G1659" s="6">
        <f>IFERROR(__xludf.DUMMYFUNCTION("""COMPUTED_VALUE"""),17.0)</f>
        <v>17</v>
      </c>
    </row>
    <row r="1660">
      <c r="A1660" s="6">
        <f>IFERROR(__xludf.DUMMYFUNCTION("""COMPUTED_VALUE"""),2021.0)</f>
        <v>2021</v>
      </c>
      <c r="B1660" s="6" t="str">
        <f>IFERROR(__xludf.DUMMYFUNCTION("""COMPUTED_VALUE"""),"Março")</f>
        <v>Março</v>
      </c>
      <c r="C1660" s="6" t="str">
        <f>IFERROR(__xludf.DUMMYFUNCTION("""COMPUTED_VALUE"""),"HOMICÍDIO CULPOSO")</f>
        <v>HOMICÍDIO CULPOSO</v>
      </c>
      <c r="D1660" s="6">
        <f>IFERROR(__xludf.DUMMYFUNCTION("""COMPUTED_VALUE"""),0.0)</f>
        <v>0</v>
      </c>
      <c r="E1660" s="6">
        <f>IFERROR(__xludf.DUMMYFUNCTION("""COMPUTED_VALUE"""),0.0)</f>
        <v>0</v>
      </c>
      <c r="F1660" s="6">
        <f>IFERROR(__xludf.DUMMYFUNCTION("""COMPUTED_VALUE"""),0.0)</f>
        <v>0</v>
      </c>
      <c r="G1660" s="6">
        <f>IFERROR(__xludf.DUMMYFUNCTION("""COMPUTED_VALUE"""),0.0)</f>
        <v>0</v>
      </c>
    </row>
    <row r="1661">
      <c r="A1661" s="6">
        <f>IFERROR(__xludf.DUMMYFUNCTION("""COMPUTED_VALUE"""),2021.0)</f>
        <v>2021</v>
      </c>
      <c r="B1661" s="6" t="str">
        <f>IFERROR(__xludf.DUMMYFUNCTION("""COMPUTED_VALUE"""),"Março")</f>
        <v>Março</v>
      </c>
      <c r="C1661" s="6" t="str">
        <f>IFERROR(__xludf.DUMMYFUNCTION("""COMPUTED_VALUE"""),"TENTATIVA DE HOMICÍDIO")</f>
        <v>TENTATIVA DE HOMICÍDIO</v>
      </c>
      <c r="D1661" s="6">
        <f>IFERROR(__xludf.DUMMYFUNCTION("""COMPUTED_VALUE"""),2.0)</f>
        <v>2</v>
      </c>
      <c r="E1661" s="6">
        <f>IFERROR(__xludf.DUMMYFUNCTION("""COMPUTED_VALUE"""),2.0)</f>
        <v>2</v>
      </c>
      <c r="F1661" s="6">
        <f>IFERROR(__xludf.DUMMYFUNCTION("""COMPUTED_VALUE"""),12.0)</f>
        <v>12</v>
      </c>
      <c r="G1661" s="6">
        <f>IFERROR(__xludf.DUMMYFUNCTION("""COMPUTED_VALUE"""),16.0)</f>
        <v>16</v>
      </c>
    </row>
    <row r="1662">
      <c r="A1662" s="6">
        <f>IFERROR(__xludf.DUMMYFUNCTION("""COMPUTED_VALUE"""),2021.0)</f>
        <v>2021</v>
      </c>
      <c r="B1662" s="6" t="str">
        <f>IFERROR(__xludf.DUMMYFUNCTION("""COMPUTED_VALUE"""),"Março")</f>
        <v>Março</v>
      </c>
      <c r="C1662" s="6" t="str">
        <f>IFERROR(__xludf.DUMMYFUNCTION("""COMPUTED_VALUE"""),"LESÃO CORPORAL DOLOSA")</f>
        <v>LESÃO CORPORAL DOLOSA</v>
      </c>
      <c r="D1662" s="6">
        <f>IFERROR(__xludf.DUMMYFUNCTION("""COMPUTED_VALUE"""),948.0)</f>
        <v>948</v>
      </c>
      <c r="E1662" s="6">
        <f>IFERROR(__xludf.DUMMYFUNCTION("""COMPUTED_VALUE"""),812.0)</f>
        <v>812</v>
      </c>
      <c r="F1662" s="6">
        <f>IFERROR(__xludf.DUMMYFUNCTION("""COMPUTED_VALUE"""),2914.0)</f>
        <v>2914</v>
      </c>
      <c r="G1662" s="6">
        <f>IFERROR(__xludf.DUMMYFUNCTION("""COMPUTED_VALUE"""),4674.0)</f>
        <v>4674</v>
      </c>
    </row>
    <row r="1663">
      <c r="A1663" s="6">
        <f>IFERROR(__xludf.DUMMYFUNCTION("""COMPUTED_VALUE"""),2021.0)</f>
        <v>2021</v>
      </c>
      <c r="B1663" s="6" t="str">
        <f>IFERROR(__xludf.DUMMYFUNCTION("""COMPUTED_VALUE"""),"Março")</f>
        <v>Março</v>
      </c>
      <c r="C1663" s="6" t="str">
        <f>IFERROR(__xludf.DUMMYFUNCTION("""COMPUTED_VALUE"""),"MAUS TRATOS")</f>
        <v>MAUS TRATOS</v>
      </c>
      <c r="D1663" s="6">
        <f>IFERROR(__xludf.DUMMYFUNCTION("""COMPUTED_VALUE"""),3.0)</f>
        <v>3</v>
      </c>
      <c r="E1663" s="6">
        <f>IFERROR(__xludf.DUMMYFUNCTION("""COMPUTED_VALUE"""),2.0)</f>
        <v>2</v>
      </c>
      <c r="F1663" s="6">
        <f>IFERROR(__xludf.DUMMYFUNCTION("""COMPUTED_VALUE"""),16.0)</f>
        <v>16</v>
      </c>
      <c r="G1663" s="6">
        <f>IFERROR(__xludf.DUMMYFUNCTION("""COMPUTED_VALUE"""),21.0)</f>
        <v>21</v>
      </c>
    </row>
    <row r="1664">
      <c r="A1664" s="6">
        <f>IFERROR(__xludf.DUMMYFUNCTION("""COMPUTED_VALUE"""),2021.0)</f>
        <v>2021</v>
      </c>
      <c r="B1664" s="6" t="str">
        <f>IFERROR(__xludf.DUMMYFUNCTION("""COMPUTED_VALUE"""),"Março")</f>
        <v>Março</v>
      </c>
      <c r="C1664" s="6" t="str">
        <f>IFERROR(__xludf.DUMMYFUNCTION("""COMPUTED_VALUE"""),"CALÚNIA - DIFAMAÇÃO - INJÚRIA")</f>
        <v>CALÚNIA - DIFAMAÇÃO - INJÚRIA</v>
      </c>
      <c r="D1664" s="6">
        <f>IFERROR(__xludf.DUMMYFUNCTION("""COMPUTED_VALUE"""),187.0)</f>
        <v>187</v>
      </c>
      <c r="E1664" s="6">
        <f>IFERROR(__xludf.DUMMYFUNCTION("""COMPUTED_VALUE"""),159.0)</f>
        <v>159</v>
      </c>
      <c r="F1664" s="6">
        <f>IFERROR(__xludf.DUMMYFUNCTION("""COMPUTED_VALUE"""),694.0)</f>
        <v>694</v>
      </c>
      <c r="G1664" s="6">
        <f>IFERROR(__xludf.DUMMYFUNCTION("""COMPUTED_VALUE"""),1040.0)</f>
        <v>1040</v>
      </c>
    </row>
    <row r="1665">
      <c r="A1665" s="6">
        <f>IFERROR(__xludf.DUMMYFUNCTION("""COMPUTED_VALUE"""),2021.0)</f>
        <v>2021</v>
      </c>
      <c r="B1665" s="6" t="str">
        <f>IFERROR(__xludf.DUMMYFUNCTION("""COMPUTED_VALUE"""),"Março")</f>
        <v>Março</v>
      </c>
      <c r="C1665" s="6" t="str">
        <f>IFERROR(__xludf.DUMMYFUNCTION("""COMPUTED_VALUE"""),"CONSTRANGIMENTO ILEGAL")</f>
        <v>CONSTRANGIMENTO ILEGAL</v>
      </c>
      <c r="D1665" s="6">
        <f>IFERROR(__xludf.DUMMYFUNCTION("""COMPUTED_VALUE"""),1.0)</f>
        <v>1</v>
      </c>
      <c r="E1665" s="6">
        <f>IFERROR(__xludf.DUMMYFUNCTION("""COMPUTED_VALUE"""),0.0)</f>
        <v>0</v>
      </c>
      <c r="F1665" s="6">
        <f>IFERROR(__xludf.DUMMYFUNCTION("""COMPUTED_VALUE"""),6.0)</f>
        <v>6</v>
      </c>
      <c r="G1665" s="6">
        <f>IFERROR(__xludf.DUMMYFUNCTION("""COMPUTED_VALUE"""),7.0)</f>
        <v>7</v>
      </c>
    </row>
    <row r="1666">
      <c r="A1666" s="6">
        <f>IFERROR(__xludf.DUMMYFUNCTION("""COMPUTED_VALUE"""),2021.0)</f>
        <v>2021</v>
      </c>
      <c r="B1666" s="6" t="str">
        <f>IFERROR(__xludf.DUMMYFUNCTION("""COMPUTED_VALUE"""),"Março")</f>
        <v>Março</v>
      </c>
      <c r="C1666" s="6" t="str">
        <f>IFERROR(__xludf.DUMMYFUNCTION("""COMPUTED_VALUE"""),"AMEAÇA")</f>
        <v>AMEAÇA</v>
      </c>
      <c r="D1666" s="6">
        <f>IFERROR(__xludf.DUMMYFUNCTION("""COMPUTED_VALUE"""),872.0)</f>
        <v>872</v>
      </c>
      <c r="E1666" s="6">
        <f>IFERROR(__xludf.DUMMYFUNCTION("""COMPUTED_VALUE"""),804.0)</f>
        <v>804</v>
      </c>
      <c r="F1666" s="6">
        <f>IFERROR(__xludf.DUMMYFUNCTION("""COMPUTED_VALUE"""),2984.0)</f>
        <v>2984</v>
      </c>
      <c r="G1666" s="6">
        <f>IFERROR(__xludf.DUMMYFUNCTION("""COMPUTED_VALUE"""),4660.0)</f>
        <v>4660</v>
      </c>
    </row>
    <row r="1667">
      <c r="A1667" s="6">
        <f>IFERROR(__xludf.DUMMYFUNCTION("""COMPUTED_VALUE"""),2021.0)</f>
        <v>2021</v>
      </c>
      <c r="B1667" s="6" t="str">
        <f>IFERROR(__xludf.DUMMYFUNCTION("""COMPUTED_VALUE"""),"Março")</f>
        <v>Março</v>
      </c>
      <c r="C1667" s="6" t="str">
        <f>IFERROR(__xludf.DUMMYFUNCTION("""COMPUTED_VALUE"""),"INVASÃO DE DOMICÍLIO")</f>
        <v>INVASÃO DE DOMICÍLIO</v>
      </c>
      <c r="D1667" s="6">
        <f>IFERROR(__xludf.DUMMYFUNCTION("""COMPUTED_VALUE"""),1.0)</f>
        <v>1</v>
      </c>
      <c r="E1667" s="6">
        <f>IFERROR(__xludf.DUMMYFUNCTION("""COMPUTED_VALUE"""),2.0)</f>
        <v>2</v>
      </c>
      <c r="F1667" s="6">
        <f>IFERROR(__xludf.DUMMYFUNCTION("""COMPUTED_VALUE"""),13.0)</f>
        <v>13</v>
      </c>
      <c r="G1667" s="6">
        <f>IFERROR(__xludf.DUMMYFUNCTION("""COMPUTED_VALUE"""),16.0)</f>
        <v>16</v>
      </c>
    </row>
    <row r="1668">
      <c r="A1668" s="6">
        <f>IFERROR(__xludf.DUMMYFUNCTION("""COMPUTED_VALUE"""),2021.0)</f>
        <v>2021</v>
      </c>
      <c r="B1668" s="6" t="str">
        <f>IFERROR(__xludf.DUMMYFUNCTION("""COMPUTED_VALUE"""),"Março")</f>
        <v>Março</v>
      </c>
      <c r="C1668" s="6" t="str">
        <f>IFERROR(__xludf.DUMMYFUNCTION("""COMPUTED_VALUE"""),"DANO")</f>
        <v>DANO</v>
      </c>
      <c r="D1668" s="6">
        <f>IFERROR(__xludf.DUMMYFUNCTION("""COMPUTED_VALUE"""),11.0)</f>
        <v>11</v>
      </c>
      <c r="E1668" s="6">
        <f>IFERROR(__xludf.DUMMYFUNCTION("""COMPUTED_VALUE"""),10.0)</f>
        <v>10</v>
      </c>
      <c r="F1668" s="6">
        <f>IFERROR(__xludf.DUMMYFUNCTION("""COMPUTED_VALUE"""),54.0)</f>
        <v>54</v>
      </c>
      <c r="G1668" s="6">
        <f>IFERROR(__xludf.DUMMYFUNCTION("""COMPUTED_VALUE"""),75.0)</f>
        <v>75</v>
      </c>
    </row>
    <row r="1669">
      <c r="A1669" s="6">
        <f>IFERROR(__xludf.DUMMYFUNCTION("""COMPUTED_VALUE"""),2021.0)</f>
        <v>2021</v>
      </c>
      <c r="B1669" s="6" t="str">
        <f>IFERROR(__xludf.DUMMYFUNCTION("""COMPUTED_VALUE"""),"Março")</f>
        <v>Março</v>
      </c>
      <c r="C1669" s="6" t="str">
        <f>IFERROR(__xludf.DUMMYFUNCTION("""COMPUTED_VALUE"""),"ESTUPRO CONSUMADO")</f>
        <v>ESTUPRO CONSUMADO</v>
      </c>
      <c r="D1669" s="6">
        <f>IFERROR(__xludf.DUMMYFUNCTION("""COMPUTED_VALUE"""),10.0)</f>
        <v>10</v>
      </c>
      <c r="E1669" s="6">
        <f>IFERROR(__xludf.DUMMYFUNCTION("""COMPUTED_VALUE"""),7.0)</f>
        <v>7</v>
      </c>
      <c r="F1669" s="6">
        <f>IFERROR(__xludf.DUMMYFUNCTION("""COMPUTED_VALUE"""),17.0)</f>
        <v>17</v>
      </c>
      <c r="G1669" s="6">
        <f>IFERROR(__xludf.DUMMYFUNCTION("""COMPUTED_VALUE"""),34.0)</f>
        <v>34</v>
      </c>
    </row>
    <row r="1670">
      <c r="A1670" s="6">
        <f>IFERROR(__xludf.DUMMYFUNCTION("""COMPUTED_VALUE"""),2021.0)</f>
        <v>2021</v>
      </c>
      <c r="B1670" s="6" t="str">
        <f>IFERROR(__xludf.DUMMYFUNCTION("""COMPUTED_VALUE"""),"Março")</f>
        <v>Março</v>
      </c>
      <c r="C1670" s="6" t="str">
        <f>IFERROR(__xludf.DUMMYFUNCTION("""COMPUTED_VALUE"""),"ESTUPRO TENTADO")</f>
        <v>ESTUPRO TENTADO</v>
      </c>
      <c r="D1670" s="6">
        <f>IFERROR(__xludf.DUMMYFUNCTION("""COMPUTED_VALUE"""),0.0)</f>
        <v>0</v>
      </c>
      <c r="E1670" s="6">
        <f>IFERROR(__xludf.DUMMYFUNCTION("""COMPUTED_VALUE"""),0.0)</f>
        <v>0</v>
      </c>
      <c r="F1670" s="6">
        <f>IFERROR(__xludf.DUMMYFUNCTION("""COMPUTED_VALUE"""),1.0)</f>
        <v>1</v>
      </c>
      <c r="G1670" s="6">
        <f>IFERROR(__xludf.DUMMYFUNCTION("""COMPUTED_VALUE"""),1.0)</f>
        <v>1</v>
      </c>
    </row>
    <row r="1671">
      <c r="A1671" s="6">
        <f>IFERROR(__xludf.DUMMYFUNCTION("""COMPUTED_VALUE"""),2021.0)</f>
        <v>2021</v>
      </c>
      <c r="B1671" s="6" t="str">
        <f>IFERROR(__xludf.DUMMYFUNCTION("""COMPUTED_VALUE"""),"Março")</f>
        <v>Março</v>
      </c>
      <c r="C1671" s="6" t="str">
        <f>IFERROR(__xludf.DUMMYFUNCTION("""COMPUTED_VALUE"""),"ESTUPRO DE VULNERÁVEL CONSUMADO")</f>
        <v>ESTUPRO DE VULNERÁVEL CONSUMADO</v>
      </c>
      <c r="D1671" s="6">
        <f>IFERROR(__xludf.DUMMYFUNCTION("""COMPUTED_VALUE"""),3.0)</f>
        <v>3</v>
      </c>
      <c r="E1671" s="6">
        <f>IFERROR(__xludf.DUMMYFUNCTION("""COMPUTED_VALUE"""),4.0)</f>
        <v>4</v>
      </c>
      <c r="F1671" s="6">
        <f>IFERROR(__xludf.DUMMYFUNCTION("""COMPUTED_VALUE"""),17.0)</f>
        <v>17</v>
      </c>
      <c r="G1671" s="6">
        <f>IFERROR(__xludf.DUMMYFUNCTION("""COMPUTED_VALUE"""),24.0)</f>
        <v>24</v>
      </c>
    </row>
    <row r="1672">
      <c r="A1672" s="6">
        <f>IFERROR(__xludf.DUMMYFUNCTION("""COMPUTED_VALUE"""),2021.0)</f>
        <v>2021</v>
      </c>
      <c r="B1672" s="6" t="str">
        <f>IFERROR(__xludf.DUMMYFUNCTION("""COMPUTED_VALUE"""),"Março")</f>
        <v>Março</v>
      </c>
      <c r="C1672" s="6" t="str">
        <f>IFERROR(__xludf.DUMMYFUNCTION("""COMPUTED_VALUE"""),"OUTROS C/C/ DIGNIDADE SEXUAL")</f>
        <v>OUTROS C/C/ DIGNIDADE SEXUAL</v>
      </c>
      <c r="D1672" s="6">
        <f>IFERROR(__xludf.DUMMYFUNCTION("""COMPUTED_VALUE"""),0.0)</f>
        <v>0</v>
      </c>
      <c r="E1672" s="6">
        <f>IFERROR(__xludf.DUMMYFUNCTION("""COMPUTED_VALUE"""),0.0)</f>
        <v>0</v>
      </c>
      <c r="F1672" s="6">
        <f>IFERROR(__xludf.DUMMYFUNCTION("""COMPUTED_VALUE"""),2.0)</f>
        <v>2</v>
      </c>
      <c r="G1672" s="6">
        <f>IFERROR(__xludf.DUMMYFUNCTION("""COMPUTED_VALUE"""),2.0)</f>
        <v>2</v>
      </c>
    </row>
    <row r="1673">
      <c r="A1673" s="6">
        <f>IFERROR(__xludf.DUMMYFUNCTION("""COMPUTED_VALUE"""),2021.0)</f>
        <v>2021</v>
      </c>
      <c r="B1673" s="6" t="str">
        <f>IFERROR(__xludf.DUMMYFUNCTION("""COMPUTED_VALUE"""),"Abril")</f>
        <v>Abril</v>
      </c>
      <c r="C1673" s="6" t="str">
        <f>IFERROR(__xludf.DUMMYFUNCTION("""COMPUTED_VALUE"""),"HOMICÍDIO DOLOSO (exclui FEMINICÍDIO)")</f>
        <v>HOMICÍDIO DOLOSO (exclui FEMINICÍDIO)</v>
      </c>
      <c r="D1673" s="6">
        <f>IFERROR(__xludf.DUMMYFUNCTION("""COMPUTED_VALUE"""),1.0)</f>
        <v>1</v>
      </c>
      <c r="E1673" s="6">
        <f>IFERROR(__xludf.DUMMYFUNCTION("""COMPUTED_VALUE"""),0.0)</f>
        <v>0</v>
      </c>
      <c r="F1673" s="6">
        <f>IFERROR(__xludf.DUMMYFUNCTION("""COMPUTED_VALUE"""),2.0)</f>
        <v>2</v>
      </c>
      <c r="G1673" s="6">
        <f>IFERROR(__xludf.DUMMYFUNCTION("""COMPUTED_VALUE"""),3.0)</f>
        <v>3</v>
      </c>
    </row>
    <row r="1674">
      <c r="A1674" s="6">
        <f>IFERROR(__xludf.DUMMYFUNCTION("""COMPUTED_VALUE"""),2021.0)</f>
        <v>2021</v>
      </c>
      <c r="B1674" s="6" t="str">
        <f>IFERROR(__xludf.DUMMYFUNCTION("""COMPUTED_VALUE"""),"Abril")</f>
        <v>Abril</v>
      </c>
      <c r="C1674" s="6" t="str">
        <f>IFERROR(__xludf.DUMMYFUNCTION("""COMPUTED_VALUE"""),"FEMINICÍDIO")</f>
        <v>FEMINICÍDIO</v>
      </c>
      <c r="D1674" s="6">
        <f>IFERROR(__xludf.DUMMYFUNCTION("""COMPUTED_VALUE"""),3.0)</f>
        <v>3</v>
      </c>
      <c r="E1674" s="6">
        <f>IFERROR(__xludf.DUMMYFUNCTION("""COMPUTED_VALUE"""),3.0)</f>
        <v>3</v>
      </c>
      <c r="F1674" s="6">
        <f>IFERROR(__xludf.DUMMYFUNCTION("""COMPUTED_VALUE"""),6.0)</f>
        <v>6</v>
      </c>
      <c r="G1674" s="6">
        <f>IFERROR(__xludf.DUMMYFUNCTION("""COMPUTED_VALUE"""),12.0)</f>
        <v>12</v>
      </c>
    </row>
    <row r="1675">
      <c r="A1675" s="6">
        <f>IFERROR(__xludf.DUMMYFUNCTION("""COMPUTED_VALUE"""),2021.0)</f>
        <v>2021</v>
      </c>
      <c r="B1675" s="6" t="str">
        <f>IFERROR(__xludf.DUMMYFUNCTION("""COMPUTED_VALUE"""),"Abril")</f>
        <v>Abril</v>
      </c>
      <c r="C1675" s="6" t="str">
        <f>IFERROR(__xludf.DUMMYFUNCTION("""COMPUTED_VALUE"""),"HOMICÍDIO CULPOSO")</f>
        <v>HOMICÍDIO CULPOSO</v>
      </c>
      <c r="D1675" s="6">
        <f>IFERROR(__xludf.DUMMYFUNCTION("""COMPUTED_VALUE"""),0.0)</f>
        <v>0</v>
      </c>
      <c r="E1675" s="6">
        <f>IFERROR(__xludf.DUMMYFUNCTION("""COMPUTED_VALUE"""),0.0)</f>
        <v>0</v>
      </c>
      <c r="F1675" s="6">
        <f>IFERROR(__xludf.DUMMYFUNCTION("""COMPUTED_VALUE"""),0.0)</f>
        <v>0</v>
      </c>
      <c r="G1675" s="6">
        <f>IFERROR(__xludf.DUMMYFUNCTION("""COMPUTED_VALUE"""),0.0)</f>
        <v>0</v>
      </c>
    </row>
    <row r="1676">
      <c r="A1676" s="6">
        <f>IFERROR(__xludf.DUMMYFUNCTION("""COMPUTED_VALUE"""),2021.0)</f>
        <v>2021</v>
      </c>
      <c r="B1676" s="6" t="str">
        <f>IFERROR(__xludf.DUMMYFUNCTION("""COMPUTED_VALUE"""),"Abril")</f>
        <v>Abril</v>
      </c>
      <c r="C1676" s="6" t="str">
        <f>IFERROR(__xludf.DUMMYFUNCTION("""COMPUTED_VALUE"""),"TENTATIVA DE HOMICÍDIO")</f>
        <v>TENTATIVA DE HOMICÍDIO</v>
      </c>
      <c r="D1676" s="6">
        <f>IFERROR(__xludf.DUMMYFUNCTION("""COMPUTED_VALUE"""),1.0)</f>
        <v>1</v>
      </c>
      <c r="E1676" s="6">
        <f>IFERROR(__xludf.DUMMYFUNCTION("""COMPUTED_VALUE"""),1.0)</f>
        <v>1</v>
      </c>
      <c r="F1676" s="6">
        <f>IFERROR(__xludf.DUMMYFUNCTION("""COMPUTED_VALUE"""),11.0)</f>
        <v>11</v>
      </c>
      <c r="G1676" s="6">
        <f>IFERROR(__xludf.DUMMYFUNCTION("""COMPUTED_VALUE"""),13.0)</f>
        <v>13</v>
      </c>
    </row>
    <row r="1677">
      <c r="A1677" s="6">
        <f>IFERROR(__xludf.DUMMYFUNCTION("""COMPUTED_VALUE"""),2021.0)</f>
        <v>2021</v>
      </c>
      <c r="B1677" s="6" t="str">
        <f>IFERROR(__xludf.DUMMYFUNCTION("""COMPUTED_VALUE"""),"Abril")</f>
        <v>Abril</v>
      </c>
      <c r="C1677" s="6" t="str">
        <f>IFERROR(__xludf.DUMMYFUNCTION("""COMPUTED_VALUE"""),"LESÃO CORPORAL DOLOSA")</f>
        <v>LESÃO CORPORAL DOLOSA</v>
      </c>
      <c r="D1677" s="6">
        <f>IFERROR(__xludf.DUMMYFUNCTION("""COMPUTED_VALUE"""),912.0)</f>
        <v>912</v>
      </c>
      <c r="E1677" s="6">
        <f>IFERROR(__xludf.DUMMYFUNCTION("""COMPUTED_VALUE"""),784.0)</f>
        <v>784</v>
      </c>
      <c r="F1677" s="6">
        <f>IFERROR(__xludf.DUMMYFUNCTION("""COMPUTED_VALUE"""),2814.0)</f>
        <v>2814</v>
      </c>
      <c r="G1677" s="6">
        <f>IFERROR(__xludf.DUMMYFUNCTION("""COMPUTED_VALUE"""),4510.0)</f>
        <v>4510</v>
      </c>
    </row>
    <row r="1678">
      <c r="A1678" s="6">
        <f>IFERROR(__xludf.DUMMYFUNCTION("""COMPUTED_VALUE"""),2021.0)</f>
        <v>2021</v>
      </c>
      <c r="B1678" s="6" t="str">
        <f>IFERROR(__xludf.DUMMYFUNCTION("""COMPUTED_VALUE"""),"Abril")</f>
        <v>Abril</v>
      </c>
      <c r="C1678" s="6" t="str">
        <f>IFERROR(__xludf.DUMMYFUNCTION("""COMPUTED_VALUE"""),"MAUS TRATOS")</f>
        <v>MAUS TRATOS</v>
      </c>
      <c r="D1678" s="6">
        <f>IFERROR(__xludf.DUMMYFUNCTION("""COMPUTED_VALUE"""),2.0)</f>
        <v>2</v>
      </c>
      <c r="E1678" s="6">
        <f>IFERROR(__xludf.DUMMYFUNCTION("""COMPUTED_VALUE"""),2.0)</f>
        <v>2</v>
      </c>
      <c r="F1678" s="6">
        <f>IFERROR(__xludf.DUMMYFUNCTION("""COMPUTED_VALUE"""),14.0)</f>
        <v>14</v>
      </c>
      <c r="G1678" s="6">
        <f>IFERROR(__xludf.DUMMYFUNCTION("""COMPUTED_VALUE"""),18.0)</f>
        <v>18</v>
      </c>
    </row>
    <row r="1679">
      <c r="A1679" s="6">
        <f>IFERROR(__xludf.DUMMYFUNCTION("""COMPUTED_VALUE"""),2021.0)</f>
        <v>2021</v>
      </c>
      <c r="B1679" s="6" t="str">
        <f>IFERROR(__xludf.DUMMYFUNCTION("""COMPUTED_VALUE"""),"Abril")</f>
        <v>Abril</v>
      </c>
      <c r="C1679" s="6" t="str">
        <f>IFERROR(__xludf.DUMMYFUNCTION("""COMPUTED_VALUE"""),"CALÚNIA - DIFAMAÇÃO - INJÚRIA")</f>
        <v>CALÚNIA - DIFAMAÇÃO - INJÚRIA</v>
      </c>
      <c r="D1679" s="6">
        <f>IFERROR(__xludf.DUMMYFUNCTION("""COMPUTED_VALUE"""),178.0)</f>
        <v>178</v>
      </c>
      <c r="E1679" s="6">
        <f>IFERROR(__xludf.DUMMYFUNCTION("""COMPUTED_VALUE"""),151.0)</f>
        <v>151</v>
      </c>
      <c r="F1679" s="6">
        <f>IFERROR(__xludf.DUMMYFUNCTION("""COMPUTED_VALUE"""),654.0)</f>
        <v>654</v>
      </c>
      <c r="G1679" s="6">
        <f>IFERROR(__xludf.DUMMYFUNCTION("""COMPUTED_VALUE"""),983.0)</f>
        <v>983</v>
      </c>
    </row>
    <row r="1680">
      <c r="A1680" s="6">
        <f>IFERROR(__xludf.DUMMYFUNCTION("""COMPUTED_VALUE"""),2021.0)</f>
        <v>2021</v>
      </c>
      <c r="B1680" s="6" t="str">
        <f>IFERROR(__xludf.DUMMYFUNCTION("""COMPUTED_VALUE"""),"Abril")</f>
        <v>Abril</v>
      </c>
      <c r="C1680" s="6" t="str">
        <f>IFERROR(__xludf.DUMMYFUNCTION("""COMPUTED_VALUE"""),"CONSTRANGIMENTO ILEGAL")</f>
        <v>CONSTRANGIMENTO ILEGAL</v>
      </c>
      <c r="D1680" s="6">
        <f>IFERROR(__xludf.DUMMYFUNCTION("""COMPUTED_VALUE"""),1.0)</f>
        <v>1</v>
      </c>
      <c r="E1680" s="6">
        <f>IFERROR(__xludf.DUMMYFUNCTION("""COMPUTED_VALUE"""),0.0)</f>
        <v>0</v>
      </c>
      <c r="F1680" s="6">
        <f>IFERROR(__xludf.DUMMYFUNCTION("""COMPUTED_VALUE"""),5.0)</f>
        <v>5</v>
      </c>
      <c r="G1680" s="6">
        <f>IFERROR(__xludf.DUMMYFUNCTION("""COMPUTED_VALUE"""),6.0)</f>
        <v>6</v>
      </c>
    </row>
    <row r="1681">
      <c r="A1681" s="6">
        <f>IFERROR(__xludf.DUMMYFUNCTION("""COMPUTED_VALUE"""),2021.0)</f>
        <v>2021</v>
      </c>
      <c r="B1681" s="6" t="str">
        <f>IFERROR(__xludf.DUMMYFUNCTION("""COMPUTED_VALUE"""),"Abril")</f>
        <v>Abril</v>
      </c>
      <c r="C1681" s="6" t="str">
        <f>IFERROR(__xludf.DUMMYFUNCTION("""COMPUTED_VALUE"""),"AMEAÇA")</f>
        <v>AMEAÇA</v>
      </c>
      <c r="D1681" s="6">
        <f>IFERROR(__xludf.DUMMYFUNCTION("""COMPUTED_VALUE"""),842.0)</f>
        <v>842</v>
      </c>
      <c r="E1681" s="6">
        <f>IFERROR(__xludf.DUMMYFUNCTION("""COMPUTED_VALUE"""),771.0)</f>
        <v>771</v>
      </c>
      <c r="F1681" s="6">
        <f>IFERROR(__xludf.DUMMYFUNCTION("""COMPUTED_VALUE"""),2884.0)</f>
        <v>2884</v>
      </c>
      <c r="G1681" s="6">
        <f>IFERROR(__xludf.DUMMYFUNCTION("""COMPUTED_VALUE"""),4497.0)</f>
        <v>4497</v>
      </c>
    </row>
    <row r="1682">
      <c r="A1682" s="6">
        <f>IFERROR(__xludf.DUMMYFUNCTION("""COMPUTED_VALUE"""),2021.0)</f>
        <v>2021</v>
      </c>
      <c r="B1682" s="6" t="str">
        <f>IFERROR(__xludf.DUMMYFUNCTION("""COMPUTED_VALUE"""),"Abril")</f>
        <v>Abril</v>
      </c>
      <c r="C1682" s="6" t="str">
        <f>IFERROR(__xludf.DUMMYFUNCTION("""COMPUTED_VALUE"""),"INVASÃO DE DOMICÍLIO")</f>
        <v>INVASÃO DE DOMICÍLIO</v>
      </c>
      <c r="D1682" s="6">
        <f>IFERROR(__xludf.DUMMYFUNCTION("""COMPUTED_VALUE"""),1.0)</f>
        <v>1</v>
      </c>
      <c r="E1682" s="6">
        <f>IFERROR(__xludf.DUMMYFUNCTION("""COMPUTED_VALUE"""),1.0)</f>
        <v>1</v>
      </c>
      <c r="F1682" s="6">
        <f>IFERROR(__xludf.DUMMYFUNCTION("""COMPUTED_VALUE"""),11.0)</f>
        <v>11</v>
      </c>
      <c r="G1682" s="6">
        <f>IFERROR(__xludf.DUMMYFUNCTION("""COMPUTED_VALUE"""),13.0)</f>
        <v>13</v>
      </c>
    </row>
    <row r="1683">
      <c r="A1683" s="6">
        <f>IFERROR(__xludf.DUMMYFUNCTION("""COMPUTED_VALUE"""),2021.0)</f>
        <v>2021</v>
      </c>
      <c r="B1683" s="6" t="str">
        <f>IFERROR(__xludf.DUMMYFUNCTION("""COMPUTED_VALUE"""),"Abril")</f>
        <v>Abril</v>
      </c>
      <c r="C1683" s="6" t="str">
        <f>IFERROR(__xludf.DUMMYFUNCTION("""COMPUTED_VALUE"""),"DANO")</f>
        <v>DANO</v>
      </c>
      <c r="D1683" s="6">
        <f>IFERROR(__xludf.DUMMYFUNCTION("""COMPUTED_VALUE"""),9.0)</f>
        <v>9</v>
      </c>
      <c r="E1683" s="6">
        <f>IFERROR(__xludf.DUMMYFUNCTION("""COMPUTED_VALUE"""),9.0)</f>
        <v>9</v>
      </c>
      <c r="F1683" s="6">
        <f>IFERROR(__xludf.DUMMYFUNCTION("""COMPUTED_VALUE"""),51.0)</f>
        <v>51</v>
      </c>
      <c r="G1683" s="6">
        <f>IFERROR(__xludf.DUMMYFUNCTION("""COMPUTED_VALUE"""),69.0)</f>
        <v>69</v>
      </c>
    </row>
    <row r="1684">
      <c r="A1684" s="6">
        <f>IFERROR(__xludf.DUMMYFUNCTION("""COMPUTED_VALUE"""),2021.0)</f>
        <v>2021</v>
      </c>
      <c r="B1684" s="6" t="str">
        <f>IFERROR(__xludf.DUMMYFUNCTION("""COMPUTED_VALUE"""),"Abril")</f>
        <v>Abril</v>
      </c>
      <c r="C1684" s="6" t="str">
        <f>IFERROR(__xludf.DUMMYFUNCTION("""COMPUTED_VALUE"""),"ESTUPRO CONSUMADO")</f>
        <v>ESTUPRO CONSUMADO</v>
      </c>
      <c r="D1684" s="6">
        <f>IFERROR(__xludf.DUMMYFUNCTION("""COMPUTED_VALUE"""),9.0)</f>
        <v>9</v>
      </c>
      <c r="E1684" s="6">
        <f>IFERROR(__xludf.DUMMYFUNCTION("""COMPUTED_VALUE"""),6.0)</f>
        <v>6</v>
      </c>
      <c r="F1684" s="6">
        <f>IFERROR(__xludf.DUMMYFUNCTION("""COMPUTED_VALUE"""),16.0)</f>
        <v>16</v>
      </c>
      <c r="G1684" s="6">
        <f>IFERROR(__xludf.DUMMYFUNCTION("""COMPUTED_VALUE"""),31.0)</f>
        <v>31</v>
      </c>
    </row>
    <row r="1685">
      <c r="A1685" s="6">
        <f>IFERROR(__xludf.DUMMYFUNCTION("""COMPUTED_VALUE"""),2021.0)</f>
        <v>2021</v>
      </c>
      <c r="B1685" s="6" t="str">
        <f>IFERROR(__xludf.DUMMYFUNCTION("""COMPUTED_VALUE"""),"Abril")</f>
        <v>Abril</v>
      </c>
      <c r="C1685" s="6" t="str">
        <f>IFERROR(__xludf.DUMMYFUNCTION("""COMPUTED_VALUE"""),"ESTUPRO TENTADO")</f>
        <v>ESTUPRO TENTADO</v>
      </c>
      <c r="D1685" s="6">
        <f>IFERROR(__xludf.DUMMYFUNCTION("""COMPUTED_VALUE"""),0.0)</f>
        <v>0</v>
      </c>
      <c r="E1685" s="6">
        <f>IFERROR(__xludf.DUMMYFUNCTION("""COMPUTED_VALUE"""),0.0)</f>
        <v>0</v>
      </c>
      <c r="F1685" s="6">
        <f>IFERROR(__xludf.DUMMYFUNCTION("""COMPUTED_VALUE"""),1.0)</f>
        <v>1</v>
      </c>
      <c r="G1685" s="6">
        <f>IFERROR(__xludf.DUMMYFUNCTION("""COMPUTED_VALUE"""),1.0)</f>
        <v>1</v>
      </c>
    </row>
    <row r="1686">
      <c r="A1686" s="6">
        <f>IFERROR(__xludf.DUMMYFUNCTION("""COMPUTED_VALUE"""),2021.0)</f>
        <v>2021</v>
      </c>
      <c r="B1686" s="6" t="str">
        <f>IFERROR(__xludf.DUMMYFUNCTION("""COMPUTED_VALUE"""),"Abril")</f>
        <v>Abril</v>
      </c>
      <c r="C1686" s="6" t="str">
        <f>IFERROR(__xludf.DUMMYFUNCTION("""COMPUTED_VALUE"""),"ESTUPRO DE VULNERÁVEL CONSUMADO")</f>
        <v>ESTUPRO DE VULNERÁVEL CONSUMADO</v>
      </c>
      <c r="D1686" s="6">
        <f>IFERROR(__xludf.DUMMYFUNCTION("""COMPUTED_VALUE"""),2.0)</f>
        <v>2</v>
      </c>
      <c r="E1686" s="6">
        <f>IFERROR(__xludf.DUMMYFUNCTION("""COMPUTED_VALUE"""),3.0)</f>
        <v>3</v>
      </c>
      <c r="F1686" s="6">
        <f>IFERROR(__xludf.DUMMYFUNCTION("""COMPUTED_VALUE"""),15.0)</f>
        <v>15</v>
      </c>
      <c r="G1686" s="6">
        <f>IFERROR(__xludf.DUMMYFUNCTION("""COMPUTED_VALUE"""),20.0)</f>
        <v>20</v>
      </c>
    </row>
    <row r="1687">
      <c r="A1687" s="6">
        <f>IFERROR(__xludf.DUMMYFUNCTION("""COMPUTED_VALUE"""),2021.0)</f>
        <v>2021</v>
      </c>
      <c r="B1687" s="6" t="str">
        <f>IFERROR(__xludf.DUMMYFUNCTION("""COMPUTED_VALUE"""),"Abril")</f>
        <v>Abril</v>
      </c>
      <c r="C1687" s="6" t="str">
        <f>IFERROR(__xludf.DUMMYFUNCTION("""COMPUTED_VALUE"""),"OUTROS C/C/ DIGNIDADE SEXUAL")</f>
        <v>OUTROS C/C/ DIGNIDADE SEXUAL</v>
      </c>
      <c r="D1687" s="6">
        <f>IFERROR(__xludf.DUMMYFUNCTION("""COMPUTED_VALUE"""),0.0)</f>
        <v>0</v>
      </c>
      <c r="E1687" s="6">
        <f>IFERROR(__xludf.DUMMYFUNCTION("""COMPUTED_VALUE"""),0.0)</f>
        <v>0</v>
      </c>
      <c r="F1687" s="6">
        <f>IFERROR(__xludf.DUMMYFUNCTION("""COMPUTED_VALUE"""),1.0)</f>
        <v>1</v>
      </c>
      <c r="G1687" s="6">
        <f>IFERROR(__xludf.DUMMYFUNCTION("""COMPUTED_VALUE"""),1.0)</f>
        <v>1</v>
      </c>
    </row>
    <row r="1688">
      <c r="A1688" s="6">
        <f>IFERROR(__xludf.DUMMYFUNCTION("""COMPUTED_VALUE"""),2021.0)</f>
        <v>2021</v>
      </c>
      <c r="B1688" s="6" t="str">
        <f>IFERROR(__xludf.DUMMYFUNCTION("""COMPUTED_VALUE"""),"Maio")</f>
        <v>Maio</v>
      </c>
      <c r="C1688" s="6" t="str">
        <f>IFERROR(__xludf.DUMMYFUNCTION("""COMPUTED_VALUE"""),"HOMICÍDIO DOLOSO (exclui FEMINICÍDIO)")</f>
        <v>HOMICÍDIO DOLOSO (exclui FEMINICÍDIO)</v>
      </c>
      <c r="D1688" s="6">
        <f>IFERROR(__xludf.DUMMYFUNCTION("""COMPUTED_VALUE"""),2.0)</f>
        <v>2</v>
      </c>
      <c r="E1688" s="6">
        <f>IFERROR(__xludf.DUMMYFUNCTION("""COMPUTED_VALUE"""),1.0)</f>
        <v>1</v>
      </c>
      <c r="F1688" s="6">
        <f>IFERROR(__xludf.DUMMYFUNCTION("""COMPUTED_VALUE"""),3.0)</f>
        <v>3</v>
      </c>
      <c r="G1688" s="6">
        <f>IFERROR(__xludf.DUMMYFUNCTION("""COMPUTED_VALUE"""),6.0)</f>
        <v>6</v>
      </c>
    </row>
    <row r="1689">
      <c r="A1689" s="6">
        <f>IFERROR(__xludf.DUMMYFUNCTION("""COMPUTED_VALUE"""),2021.0)</f>
        <v>2021</v>
      </c>
      <c r="B1689" s="6" t="str">
        <f>IFERROR(__xludf.DUMMYFUNCTION("""COMPUTED_VALUE"""),"Maio")</f>
        <v>Maio</v>
      </c>
      <c r="C1689" s="6" t="str">
        <f>IFERROR(__xludf.DUMMYFUNCTION("""COMPUTED_VALUE"""),"FEMINICÍDIO")</f>
        <v>FEMINICÍDIO</v>
      </c>
      <c r="D1689" s="6">
        <f>IFERROR(__xludf.DUMMYFUNCTION("""COMPUTED_VALUE"""),4.0)</f>
        <v>4</v>
      </c>
      <c r="E1689" s="6">
        <f>IFERROR(__xludf.DUMMYFUNCTION("""COMPUTED_VALUE"""),4.0)</f>
        <v>4</v>
      </c>
      <c r="F1689" s="6">
        <f>IFERROR(__xludf.DUMMYFUNCTION("""COMPUTED_VALUE"""),8.0)</f>
        <v>8</v>
      </c>
      <c r="G1689" s="6">
        <f>IFERROR(__xludf.DUMMYFUNCTION("""COMPUTED_VALUE"""),16.0)</f>
        <v>16</v>
      </c>
    </row>
    <row r="1690">
      <c r="A1690" s="6">
        <f>IFERROR(__xludf.DUMMYFUNCTION("""COMPUTED_VALUE"""),2021.0)</f>
        <v>2021</v>
      </c>
      <c r="B1690" s="6" t="str">
        <f>IFERROR(__xludf.DUMMYFUNCTION("""COMPUTED_VALUE"""),"Maio")</f>
        <v>Maio</v>
      </c>
      <c r="C1690" s="6" t="str">
        <f>IFERROR(__xludf.DUMMYFUNCTION("""COMPUTED_VALUE"""),"HOMICÍDIO CULPOSO")</f>
        <v>HOMICÍDIO CULPOSO</v>
      </c>
      <c r="D1690" s="6">
        <f>IFERROR(__xludf.DUMMYFUNCTION("""COMPUTED_VALUE"""),0.0)</f>
        <v>0</v>
      </c>
      <c r="E1690" s="6">
        <f>IFERROR(__xludf.DUMMYFUNCTION("""COMPUTED_VALUE"""),0.0)</f>
        <v>0</v>
      </c>
      <c r="F1690" s="6">
        <f>IFERROR(__xludf.DUMMYFUNCTION("""COMPUTED_VALUE"""),0.0)</f>
        <v>0</v>
      </c>
      <c r="G1690" s="6">
        <f>IFERROR(__xludf.DUMMYFUNCTION("""COMPUTED_VALUE"""),0.0)</f>
        <v>0</v>
      </c>
    </row>
    <row r="1691">
      <c r="A1691" s="6">
        <f>IFERROR(__xludf.DUMMYFUNCTION("""COMPUTED_VALUE"""),2021.0)</f>
        <v>2021</v>
      </c>
      <c r="B1691" s="6" t="str">
        <f>IFERROR(__xludf.DUMMYFUNCTION("""COMPUTED_VALUE"""),"Maio")</f>
        <v>Maio</v>
      </c>
      <c r="C1691" s="6" t="str">
        <f>IFERROR(__xludf.DUMMYFUNCTION("""COMPUTED_VALUE"""),"TENTATIVA DE HOMICÍDIO")</f>
        <v>TENTATIVA DE HOMICÍDIO</v>
      </c>
      <c r="D1691" s="6">
        <f>IFERROR(__xludf.DUMMYFUNCTION("""COMPUTED_VALUE"""),2.0)</f>
        <v>2</v>
      </c>
      <c r="E1691" s="6">
        <f>IFERROR(__xludf.DUMMYFUNCTION("""COMPUTED_VALUE"""),2.0)</f>
        <v>2</v>
      </c>
      <c r="F1691" s="6">
        <f>IFERROR(__xludf.DUMMYFUNCTION("""COMPUTED_VALUE"""),13.0)</f>
        <v>13</v>
      </c>
      <c r="G1691" s="6">
        <f>IFERROR(__xludf.DUMMYFUNCTION("""COMPUTED_VALUE"""),17.0)</f>
        <v>17</v>
      </c>
    </row>
    <row r="1692">
      <c r="A1692" s="6">
        <f>IFERROR(__xludf.DUMMYFUNCTION("""COMPUTED_VALUE"""),2021.0)</f>
        <v>2021</v>
      </c>
      <c r="B1692" s="6" t="str">
        <f>IFERROR(__xludf.DUMMYFUNCTION("""COMPUTED_VALUE"""),"Maio")</f>
        <v>Maio</v>
      </c>
      <c r="C1692" s="6" t="str">
        <f>IFERROR(__xludf.DUMMYFUNCTION("""COMPUTED_VALUE"""),"LESÃO CORPORAL DOLOSA")</f>
        <v>LESÃO CORPORAL DOLOSA</v>
      </c>
      <c r="D1692" s="6">
        <f>IFERROR(__xludf.DUMMYFUNCTION("""COMPUTED_VALUE"""),1014.0)</f>
        <v>1014</v>
      </c>
      <c r="E1692" s="6">
        <f>IFERROR(__xludf.DUMMYFUNCTION("""COMPUTED_VALUE"""),864.0)</f>
        <v>864</v>
      </c>
      <c r="F1692" s="6">
        <f>IFERROR(__xludf.DUMMYFUNCTION("""COMPUTED_VALUE"""),3118.0)</f>
        <v>3118</v>
      </c>
      <c r="G1692" s="6">
        <f>IFERROR(__xludf.DUMMYFUNCTION("""COMPUTED_VALUE"""),4996.0)</f>
        <v>4996</v>
      </c>
    </row>
    <row r="1693">
      <c r="A1693" s="6">
        <f>IFERROR(__xludf.DUMMYFUNCTION("""COMPUTED_VALUE"""),2021.0)</f>
        <v>2021</v>
      </c>
      <c r="B1693" s="6" t="str">
        <f>IFERROR(__xludf.DUMMYFUNCTION("""COMPUTED_VALUE"""),"Maio")</f>
        <v>Maio</v>
      </c>
      <c r="C1693" s="6" t="str">
        <f>IFERROR(__xludf.DUMMYFUNCTION("""COMPUTED_VALUE"""),"MAUS TRATOS")</f>
        <v>MAUS TRATOS</v>
      </c>
      <c r="D1693" s="6">
        <f>IFERROR(__xludf.DUMMYFUNCTION("""COMPUTED_VALUE"""),3.0)</f>
        <v>3</v>
      </c>
      <c r="E1693" s="6">
        <f>IFERROR(__xludf.DUMMYFUNCTION("""COMPUTED_VALUE"""),2.0)</f>
        <v>2</v>
      </c>
      <c r="F1693" s="6">
        <f>IFERROR(__xludf.DUMMYFUNCTION("""COMPUTED_VALUE"""),18.0)</f>
        <v>18</v>
      </c>
      <c r="G1693" s="6">
        <f>IFERROR(__xludf.DUMMYFUNCTION("""COMPUTED_VALUE"""),23.0)</f>
        <v>23</v>
      </c>
    </row>
    <row r="1694">
      <c r="A1694" s="6">
        <f>IFERROR(__xludf.DUMMYFUNCTION("""COMPUTED_VALUE"""),2021.0)</f>
        <v>2021</v>
      </c>
      <c r="B1694" s="6" t="str">
        <f>IFERROR(__xludf.DUMMYFUNCTION("""COMPUTED_VALUE"""),"Maio")</f>
        <v>Maio</v>
      </c>
      <c r="C1694" s="6" t="str">
        <f>IFERROR(__xludf.DUMMYFUNCTION("""COMPUTED_VALUE"""),"CALÚNIA - DIFAMAÇÃO - INJÚRIA")</f>
        <v>CALÚNIA - DIFAMAÇÃO - INJÚRIA</v>
      </c>
      <c r="D1694" s="6">
        <f>IFERROR(__xludf.DUMMYFUNCTION("""COMPUTED_VALUE"""),198.0)</f>
        <v>198</v>
      </c>
      <c r="E1694" s="6">
        <f>IFERROR(__xludf.DUMMYFUNCTION("""COMPUTED_VALUE"""),168.0)</f>
        <v>168</v>
      </c>
      <c r="F1694" s="6">
        <f>IFERROR(__xludf.DUMMYFUNCTION("""COMPUTED_VALUE"""),724.0)</f>
        <v>724</v>
      </c>
      <c r="G1694" s="6">
        <f>IFERROR(__xludf.DUMMYFUNCTION("""COMPUTED_VALUE"""),1090.0)</f>
        <v>1090</v>
      </c>
    </row>
    <row r="1695">
      <c r="A1695" s="6">
        <f>IFERROR(__xludf.DUMMYFUNCTION("""COMPUTED_VALUE"""),2021.0)</f>
        <v>2021</v>
      </c>
      <c r="B1695" s="6" t="str">
        <f>IFERROR(__xludf.DUMMYFUNCTION("""COMPUTED_VALUE"""),"Maio")</f>
        <v>Maio</v>
      </c>
      <c r="C1695" s="6" t="str">
        <f>IFERROR(__xludf.DUMMYFUNCTION("""COMPUTED_VALUE"""),"CONSTRANGIMENTO ILEGAL")</f>
        <v>CONSTRANGIMENTO ILEGAL</v>
      </c>
      <c r="D1695" s="6">
        <f>IFERROR(__xludf.DUMMYFUNCTION("""COMPUTED_VALUE"""),1.0)</f>
        <v>1</v>
      </c>
      <c r="E1695" s="6">
        <f>IFERROR(__xludf.DUMMYFUNCTION("""COMPUTED_VALUE"""),1.0)</f>
        <v>1</v>
      </c>
      <c r="F1695" s="6">
        <f>IFERROR(__xludf.DUMMYFUNCTION("""COMPUTED_VALUE"""),7.0)</f>
        <v>7</v>
      </c>
      <c r="G1695" s="6">
        <f>IFERROR(__xludf.DUMMYFUNCTION("""COMPUTED_VALUE"""),9.0)</f>
        <v>9</v>
      </c>
    </row>
    <row r="1696">
      <c r="A1696" s="6">
        <f>IFERROR(__xludf.DUMMYFUNCTION("""COMPUTED_VALUE"""),2021.0)</f>
        <v>2021</v>
      </c>
      <c r="B1696" s="6" t="str">
        <f>IFERROR(__xludf.DUMMYFUNCTION("""COMPUTED_VALUE"""),"Maio")</f>
        <v>Maio</v>
      </c>
      <c r="C1696" s="6" t="str">
        <f>IFERROR(__xludf.DUMMYFUNCTION("""COMPUTED_VALUE"""),"AMEAÇA")</f>
        <v>AMEAÇA</v>
      </c>
      <c r="D1696" s="6">
        <f>IFERROR(__xludf.DUMMYFUNCTION("""COMPUTED_VALUE"""),948.0)</f>
        <v>948</v>
      </c>
      <c r="E1696" s="6">
        <f>IFERROR(__xludf.DUMMYFUNCTION("""COMPUTED_VALUE"""),852.0)</f>
        <v>852</v>
      </c>
      <c r="F1696" s="6">
        <f>IFERROR(__xludf.DUMMYFUNCTION("""COMPUTED_VALUE"""),3214.0)</f>
        <v>3214</v>
      </c>
      <c r="G1696" s="6">
        <f>IFERROR(__xludf.DUMMYFUNCTION("""COMPUTED_VALUE"""),5014.0)</f>
        <v>5014</v>
      </c>
    </row>
    <row r="1697">
      <c r="A1697" s="6">
        <f>IFERROR(__xludf.DUMMYFUNCTION("""COMPUTED_VALUE"""),2021.0)</f>
        <v>2021</v>
      </c>
      <c r="B1697" s="6" t="str">
        <f>IFERROR(__xludf.DUMMYFUNCTION("""COMPUTED_VALUE"""),"Maio")</f>
        <v>Maio</v>
      </c>
      <c r="C1697" s="6" t="str">
        <f>IFERROR(__xludf.DUMMYFUNCTION("""COMPUTED_VALUE"""),"INVASÃO DE DOMICÍLIO")</f>
        <v>INVASÃO DE DOMICÍLIO</v>
      </c>
      <c r="D1697" s="6">
        <f>IFERROR(__xludf.DUMMYFUNCTION("""COMPUTED_VALUE"""),1.0)</f>
        <v>1</v>
      </c>
      <c r="E1697" s="6">
        <f>IFERROR(__xludf.DUMMYFUNCTION("""COMPUTED_VALUE"""),2.0)</f>
        <v>2</v>
      </c>
      <c r="F1697" s="6">
        <f>IFERROR(__xludf.DUMMYFUNCTION("""COMPUTED_VALUE"""),13.0)</f>
        <v>13</v>
      </c>
      <c r="G1697" s="6">
        <f>IFERROR(__xludf.DUMMYFUNCTION("""COMPUTED_VALUE"""),16.0)</f>
        <v>16</v>
      </c>
    </row>
    <row r="1698">
      <c r="A1698" s="6">
        <f>IFERROR(__xludf.DUMMYFUNCTION("""COMPUTED_VALUE"""),2021.0)</f>
        <v>2021</v>
      </c>
      <c r="B1698" s="6" t="str">
        <f>IFERROR(__xludf.DUMMYFUNCTION("""COMPUTED_VALUE"""),"Maio")</f>
        <v>Maio</v>
      </c>
      <c r="C1698" s="6" t="str">
        <f>IFERROR(__xludf.DUMMYFUNCTION("""COMPUTED_VALUE"""),"DANO")</f>
        <v>DANO</v>
      </c>
      <c r="D1698" s="6">
        <f>IFERROR(__xludf.DUMMYFUNCTION("""COMPUTED_VALUE"""),11.0)</f>
        <v>11</v>
      </c>
      <c r="E1698" s="6">
        <f>IFERROR(__xludf.DUMMYFUNCTION("""COMPUTED_VALUE"""),11.0)</f>
        <v>11</v>
      </c>
      <c r="F1698" s="6">
        <f>IFERROR(__xludf.DUMMYFUNCTION("""COMPUTED_VALUE"""),62.0)</f>
        <v>62</v>
      </c>
      <c r="G1698" s="6">
        <f>IFERROR(__xludf.DUMMYFUNCTION("""COMPUTED_VALUE"""),84.0)</f>
        <v>84</v>
      </c>
    </row>
    <row r="1699">
      <c r="A1699" s="6">
        <f>IFERROR(__xludf.DUMMYFUNCTION("""COMPUTED_VALUE"""),2021.0)</f>
        <v>2021</v>
      </c>
      <c r="B1699" s="6" t="str">
        <f>IFERROR(__xludf.DUMMYFUNCTION("""COMPUTED_VALUE"""),"Maio")</f>
        <v>Maio</v>
      </c>
      <c r="C1699" s="6" t="str">
        <f>IFERROR(__xludf.DUMMYFUNCTION("""COMPUTED_VALUE"""),"ESTUPRO CONSUMADO")</f>
        <v>ESTUPRO CONSUMADO</v>
      </c>
      <c r="D1699" s="6">
        <f>IFERROR(__xludf.DUMMYFUNCTION("""COMPUTED_VALUE"""),10.0)</f>
        <v>10</v>
      </c>
      <c r="E1699" s="6">
        <f>IFERROR(__xludf.DUMMYFUNCTION("""COMPUTED_VALUE"""),7.0)</f>
        <v>7</v>
      </c>
      <c r="F1699" s="6">
        <f>IFERROR(__xludf.DUMMYFUNCTION("""COMPUTED_VALUE"""),19.0)</f>
        <v>19</v>
      </c>
      <c r="G1699" s="6">
        <f>IFERROR(__xludf.DUMMYFUNCTION("""COMPUTED_VALUE"""),36.0)</f>
        <v>36</v>
      </c>
    </row>
    <row r="1700">
      <c r="A1700" s="6">
        <f>IFERROR(__xludf.DUMMYFUNCTION("""COMPUTED_VALUE"""),2021.0)</f>
        <v>2021</v>
      </c>
      <c r="B1700" s="6" t="str">
        <f>IFERROR(__xludf.DUMMYFUNCTION("""COMPUTED_VALUE"""),"Maio")</f>
        <v>Maio</v>
      </c>
      <c r="C1700" s="6" t="str">
        <f>IFERROR(__xludf.DUMMYFUNCTION("""COMPUTED_VALUE"""),"ESTUPRO TENTADO")</f>
        <v>ESTUPRO TENTADO</v>
      </c>
      <c r="D1700" s="6">
        <f>IFERROR(__xludf.DUMMYFUNCTION("""COMPUTED_VALUE"""),1.0)</f>
        <v>1</v>
      </c>
      <c r="E1700" s="6">
        <f>IFERROR(__xludf.DUMMYFUNCTION("""COMPUTED_VALUE"""),0.0)</f>
        <v>0</v>
      </c>
      <c r="F1700" s="6">
        <f>IFERROR(__xludf.DUMMYFUNCTION("""COMPUTED_VALUE"""),1.0)</f>
        <v>1</v>
      </c>
      <c r="G1700" s="6">
        <f>IFERROR(__xludf.DUMMYFUNCTION("""COMPUTED_VALUE"""),2.0)</f>
        <v>2</v>
      </c>
    </row>
    <row r="1701">
      <c r="A1701" s="6">
        <f>IFERROR(__xludf.DUMMYFUNCTION("""COMPUTED_VALUE"""),2021.0)</f>
        <v>2021</v>
      </c>
      <c r="B1701" s="6" t="str">
        <f>IFERROR(__xludf.DUMMYFUNCTION("""COMPUTED_VALUE"""),"Maio")</f>
        <v>Maio</v>
      </c>
      <c r="C1701" s="6" t="str">
        <f>IFERROR(__xludf.DUMMYFUNCTION("""COMPUTED_VALUE"""),"ESTUPRO DE VULNERÁVEL CONSUMADO")</f>
        <v>ESTUPRO DE VULNERÁVEL CONSUMADO</v>
      </c>
      <c r="D1701" s="6">
        <f>IFERROR(__xludf.DUMMYFUNCTION("""COMPUTED_VALUE"""),3.0)</f>
        <v>3</v>
      </c>
      <c r="E1701" s="6">
        <f>IFERROR(__xludf.DUMMYFUNCTION("""COMPUTED_VALUE"""),4.0)</f>
        <v>4</v>
      </c>
      <c r="F1701" s="6">
        <f>IFERROR(__xludf.DUMMYFUNCTION("""COMPUTED_VALUE"""),18.0)</f>
        <v>18</v>
      </c>
      <c r="G1701" s="6">
        <f>IFERROR(__xludf.DUMMYFUNCTION("""COMPUTED_VALUE"""),25.0)</f>
        <v>25</v>
      </c>
    </row>
    <row r="1702">
      <c r="A1702" s="6">
        <f>IFERROR(__xludf.DUMMYFUNCTION("""COMPUTED_VALUE"""),2021.0)</f>
        <v>2021</v>
      </c>
      <c r="B1702" s="6" t="str">
        <f>IFERROR(__xludf.DUMMYFUNCTION("""COMPUTED_VALUE"""),"Maio")</f>
        <v>Maio</v>
      </c>
      <c r="C1702" s="6" t="str">
        <f>IFERROR(__xludf.DUMMYFUNCTION("""COMPUTED_VALUE"""),"OUTROS C/C/ DIGNIDADE SEXUAL")</f>
        <v>OUTROS C/C/ DIGNIDADE SEXUAL</v>
      </c>
      <c r="D1702" s="6">
        <f>IFERROR(__xludf.DUMMYFUNCTION("""COMPUTED_VALUE"""),0.0)</f>
        <v>0</v>
      </c>
      <c r="E1702" s="6">
        <f>IFERROR(__xludf.DUMMYFUNCTION("""COMPUTED_VALUE"""),1.0)</f>
        <v>1</v>
      </c>
      <c r="F1702" s="6">
        <f>IFERROR(__xludf.DUMMYFUNCTION("""COMPUTED_VALUE"""),2.0)</f>
        <v>2</v>
      </c>
      <c r="G1702" s="6">
        <f>IFERROR(__xludf.DUMMYFUNCTION("""COMPUTED_VALUE"""),3.0)</f>
        <v>3</v>
      </c>
    </row>
    <row r="1703">
      <c r="A1703" s="6">
        <f>IFERROR(__xludf.DUMMYFUNCTION("""COMPUTED_VALUE"""),2021.0)</f>
        <v>2021</v>
      </c>
      <c r="B1703" s="6" t="str">
        <f>IFERROR(__xludf.DUMMYFUNCTION("""COMPUTED_VALUE"""),"Junho")</f>
        <v>Junho</v>
      </c>
      <c r="C1703" s="6" t="str">
        <f>IFERROR(__xludf.DUMMYFUNCTION("""COMPUTED_VALUE"""),"HOMICÍDIO DOLOSO (exclui FEMINICÍDIO)")</f>
        <v>HOMICÍDIO DOLOSO (exclui FEMINICÍDIO)</v>
      </c>
      <c r="D1703" s="6">
        <f>IFERROR(__xludf.DUMMYFUNCTION("""COMPUTED_VALUE"""),1.0)</f>
        <v>1</v>
      </c>
      <c r="E1703" s="6">
        <f>IFERROR(__xludf.DUMMYFUNCTION("""COMPUTED_VALUE"""),0.0)</f>
        <v>0</v>
      </c>
      <c r="F1703" s="6">
        <f>IFERROR(__xludf.DUMMYFUNCTION("""COMPUTED_VALUE"""),2.0)</f>
        <v>2</v>
      </c>
      <c r="G1703" s="6">
        <f>IFERROR(__xludf.DUMMYFUNCTION("""COMPUTED_VALUE"""),3.0)</f>
        <v>3</v>
      </c>
    </row>
    <row r="1704">
      <c r="A1704" s="6">
        <f>IFERROR(__xludf.DUMMYFUNCTION("""COMPUTED_VALUE"""),2021.0)</f>
        <v>2021</v>
      </c>
      <c r="B1704" s="6" t="str">
        <f>IFERROR(__xludf.DUMMYFUNCTION("""COMPUTED_VALUE"""),"Junho")</f>
        <v>Junho</v>
      </c>
      <c r="C1704" s="6" t="str">
        <f>IFERROR(__xludf.DUMMYFUNCTION("""COMPUTED_VALUE"""),"FEMINICÍDIO")</f>
        <v>FEMINICÍDIO</v>
      </c>
      <c r="D1704" s="6">
        <f>IFERROR(__xludf.DUMMYFUNCTION("""COMPUTED_VALUE"""),3.0)</f>
        <v>3</v>
      </c>
      <c r="E1704" s="6">
        <f>IFERROR(__xludf.DUMMYFUNCTION("""COMPUTED_VALUE"""),3.0)</f>
        <v>3</v>
      </c>
      <c r="F1704" s="6">
        <f>IFERROR(__xludf.DUMMYFUNCTION("""COMPUTED_VALUE"""),6.0)</f>
        <v>6</v>
      </c>
      <c r="G1704" s="6">
        <f>IFERROR(__xludf.DUMMYFUNCTION("""COMPUTED_VALUE"""),12.0)</f>
        <v>12</v>
      </c>
    </row>
    <row r="1705">
      <c r="A1705" s="6">
        <f>IFERROR(__xludf.DUMMYFUNCTION("""COMPUTED_VALUE"""),2021.0)</f>
        <v>2021</v>
      </c>
      <c r="B1705" s="6" t="str">
        <f>IFERROR(__xludf.DUMMYFUNCTION("""COMPUTED_VALUE"""),"Junho")</f>
        <v>Junho</v>
      </c>
      <c r="C1705" s="6" t="str">
        <f>IFERROR(__xludf.DUMMYFUNCTION("""COMPUTED_VALUE"""),"HOMICÍDIO CULPOSO")</f>
        <v>HOMICÍDIO CULPOSO</v>
      </c>
      <c r="D1705" s="6">
        <f>IFERROR(__xludf.DUMMYFUNCTION("""COMPUTED_VALUE"""),0.0)</f>
        <v>0</v>
      </c>
      <c r="E1705" s="6">
        <f>IFERROR(__xludf.DUMMYFUNCTION("""COMPUTED_VALUE"""),0.0)</f>
        <v>0</v>
      </c>
      <c r="F1705" s="6">
        <f>IFERROR(__xludf.DUMMYFUNCTION("""COMPUTED_VALUE"""),0.0)</f>
        <v>0</v>
      </c>
      <c r="G1705" s="6">
        <f>IFERROR(__xludf.DUMMYFUNCTION("""COMPUTED_VALUE"""),0.0)</f>
        <v>0</v>
      </c>
    </row>
    <row r="1706">
      <c r="A1706" s="6">
        <f>IFERROR(__xludf.DUMMYFUNCTION("""COMPUTED_VALUE"""),2021.0)</f>
        <v>2021</v>
      </c>
      <c r="B1706" s="6" t="str">
        <f>IFERROR(__xludf.DUMMYFUNCTION("""COMPUTED_VALUE"""),"Junho")</f>
        <v>Junho</v>
      </c>
      <c r="C1706" s="6" t="str">
        <f>IFERROR(__xludf.DUMMYFUNCTION("""COMPUTED_VALUE"""),"TENTATIVA DE HOMICÍDIO")</f>
        <v>TENTATIVA DE HOMICÍDIO</v>
      </c>
      <c r="D1706" s="6">
        <f>IFERROR(__xludf.DUMMYFUNCTION("""COMPUTED_VALUE"""),1.0)</f>
        <v>1</v>
      </c>
      <c r="E1706" s="6">
        <f>IFERROR(__xludf.DUMMYFUNCTION("""COMPUTED_VALUE"""),2.0)</f>
        <v>2</v>
      </c>
      <c r="F1706" s="6">
        <f>IFERROR(__xludf.DUMMYFUNCTION("""COMPUTED_VALUE"""),11.0)</f>
        <v>11</v>
      </c>
      <c r="G1706" s="6">
        <f>IFERROR(__xludf.DUMMYFUNCTION("""COMPUTED_VALUE"""),14.0)</f>
        <v>14</v>
      </c>
    </row>
    <row r="1707">
      <c r="A1707" s="6">
        <f>IFERROR(__xludf.DUMMYFUNCTION("""COMPUTED_VALUE"""),2021.0)</f>
        <v>2021</v>
      </c>
      <c r="B1707" s="6" t="str">
        <f>IFERROR(__xludf.DUMMYFUNCTION("""COMPUTED_VALUE"""),"Junho")</f>
        <v>Junho</v>
      </c>
      <c r="C1707" s="6" t="str">
        <f>IFERROR(__xludf.DUMMYFUNCTION("""COMPUTED_VALUE"""),"LESÃO CORPORAL DOLOSA")</f>
        <v>LESÃO CORPORAL DOLOSA</v>
      </c>
      <c r="D1707" s="6">
        <f>IFERROR(__xludf.DUMMYFUNCTION("""COMPUTED_VALUE"""),842.0)</f>
        <v>842</v>
      </c>
      <c r="E1707" s="6">
        <f>IFERROR(__xludf.DUMMYFUNCTION("""COMPUTED_VALUE"""),741.0)</f>
        <v>741</v>
      </c>
      <c r="F1707" s="6">
        <f>IFERROR(__xludf.DUMMYFUNCTION("""COMPUTED_VALUE"""),2831.0)</f>
        <v>2831</v>
      </c>
      <c r="G1707" s="6">
        <f>IFERROR(__xludf.DUMMYFUNCTION("""COMPUTED_VALUE"""),4414.0)</f>
        <v>4414</v>
      </c>
    </row>
    <row r="1708">
      <c r="A1708" s="6">
        <f>IFERROR(__xludf.DUMMYFUNCTION("""COMPUTED_VALUE"""),2021.0)</f>
        <v>2021</v>
      </c>
      <c r="B1708" s="6" t="str">
        <f>IFERROR(__xludf.DUMMYFUNCTION("""COMPUTED_VALUE"""),"Junho")</f>
        <v>Junho</v>
      </c>
      <c r="C1708" s="6" t="str">
        <f>IFERROR(__xludf.DUMMYFUNCTION("""COMPUTED_VALUE"""),"MAUS TRATOS")</f>
        <v>MAUS TRATOS</v>
      </c>
      <c r="D1708" s="6">
        <f>IFERROR(__xludf.DUMMYFUNCTION("""COMPUTED_VALUE"""),2.0)</f>
        <v>2</v>
      </c>
      <c r="E1708" s="6">
        <f>IFERROR(__xludf.DUMMYFUNCTION("""COMPUTED_VALUE"""),2.0)</f>
        <v>2</v>
      </c>
      <c r="F1708" s="6">
        <f>IFERROR(__xludf.DUMMYFUNCTION("""COMPUTED_VALUE"""),15.0)</f>
        <v>15</v>
      </c>
      <c r="G1708" s="6">
        <f>IFERROR(__xludf.DUMMYFUNCTION("""COMPUTED_VALUE"""),19.0)</f>
        <v>19</v>
      </c>
    </row>
    <row r="1709">
      <c r="A1709" s="6">
        <f>IFERROR(__xludf.DUMMYFUNCTION("""COMPUTED_VALUE"""),2021.0)</f>
        <v>2021</v>
      </c>
      <c r="B1709" s="6" t="str">
        <f>IFERROR(__xludf.DUMMYFUNCTION("""COMPUTED_VALUE"""),"Junho")</f>
        <v>Junho</v>
      </c>
      <c r="C1709" s="6" t="str">
        <f>IFERROR(__xludf.DUMMYFUNCTION("""COMPUTED_VALUE"""),"CALÚNIA - DIFAMAÇÃO - INJÚRIA")</f>
        <v>CALÚNIA - DIFAMAÇÃO - INJÚRIA</v>
      </c>
      <c r="D1709" s="6">
        <f>IFERROR(__xludf.DUMMYFUNCTION("""COMPUTED_VALUE"""),172.0)</f>
        <v>172</v>
      </c>
      <c r="E1709" s="6">
        <f>IFERROR(__xludf.DUMMYFUNCTION("""COMPUTED_VALUE"""),151.0)</f>
        <v>151</v>
      </c>
      <c r="F1709" s="6">
        <f>IFERROR(__xludf.DUMMYFUNCTION("""COMPUTED_VALUE"""),649.0)</f>
        <v>649</v>
      </c>
      <c r="G1709" s="6">
        <f>IFERROR(__xludf.DUMMYFUNCTION("""COMPUTED_VALUE"""),972.0)</f>
        <v>972</v>
      </c>
    </row>
    <row r="1710">
      <c r="A1710" s="6">
        <f>IFERROR(__xludf.DUMMYFUNCTION("""COMPUTED_VALUE"""),2021.0)</f>
        <v>2021</v>
      </c>
      <c r="B1710" s="6" t="str">
        <f>IFERROR(__xludf.DUMMYFUNCTION("""COMPUTED_VALUE"""),"Junho")</f>
        <v>Junho</v>
      </c>
      <c r="C1710" s="6" t="str">
        <f>IFERROR(__xludf.DUMMYFUNCTION("""COMPUTED_VALUE"""),"CONSTRANGIMENTO ILEGAL")</f>
        <v>CONSTRANGIMENTO ILEGAL</v>
      </c>
      <c r="D1710" s="6">
        <f>IFERROR(__xludf.DUMMYFUNCTION("""COMPUTED_VALUE"""),1.0)</f>
        <v>1</v>
      </c>
      <c r="E1710" s="6">
        <f>IFERROR(__xludf.DUMMYFUNCTION("""COMPUTED_VALUE"""),0.0)</f>
        <v>0</v>
      </c>
      <c r="F1710" s="6">
        <f>IFERROR(__xludf.DUMMYFUNCTION("""COMPUTED_VALUE"""),5.0)</f>
        <v>5</v>
      </c>
      <c r="G1710" s="6">
        <f>IFERROR(__xludf.DUMMYFUNCTION("""COMPUTED_VALUE"""),6.0)</f>
        <v>6</v>
      </c>
    </row>
    <row r="1711">
      <c r="A1711" s="6">
        <f>IFERROR(__xludf.DUMMYFUNCTION("""COMPUTED_VALUE"""),2021.0)</f>
        <v>2021</v>
      </c>
      <c r="B1711" s="6" t="str">
        <f>IFERROR(__xludf.DUMMYFUNCTION("""COMPUTED_VALUE"""),"Junho")</f>
        <v>Junho</v>
      </c>
      <c r="C1711" s="6" t="str">
        <f>IFERROR(__xludf.DUMMYFUNCTION("""COMPUTED_VALUE"""),"AMEAÇA")</f>
        <v>AMEAÇA</v>
      </c>
      <c r="D1711" s="6">
        <f>IFERROR(__xludf.DUMMYFUNCTION("""COMPUTED_VALUE"""),811.0)</f>
        <v>811</v>
      </c>
      <c r="E1711" s="6">
        <f>IFERROR(__xludf.DUMMYFUNCTION("""COMPUTED_VALUE"""),743.0)</f>
        <v>743</v>
      </c>
      <c r="F1711" s="6">
        <f>IFERROR(__xludf.DUMMYFUNCTION("""COMPUTED_VALUE"""),2894.0)</f>
        <v>2894</v>
      </c>
      <c r="G1711" s="6">
        <f>IFERROR(__xludf.DUMMYFUNCTION("""COMPUTED_VALUE"""),4448.0)</f>
        <v>4448</v>
      </c>
    </row>
    <row r="1712">
      <c r="A1712" s="6">
        <f>IFERROR(__xludf.DUMMYFUNCTION("""COMPUTED_VALUE"""),2021.0)</f>
        <v>2021</v>
      </c>
      <c r="B1712" s="6" t="str">
        <f>IFERROR(__xludf.DUMMYFUNCTION("""COMPUTED_VALUE"""),"Junho")</f>
        <v>Junho</v>
      </c>
      <c r="C1712" s="6" t="str">
        <f>IFERROR(__xludf.DUMMYFUNCTION("""COMPUTED_VALUE"""),"INVASÃO DE DOMICÍLIO")</f>
        <v>INVASÃO DE DOMICÍLIO</v>
      </c>
      <c r="D1712" s="6">
        <f>IFERROR(__xludf.DUMMYFUNCTION("""COMPUTED_VALUE"""),1.0)</f>
        <v>1</v>
      </c>
      <c r="E1712" s="6">
        <f>IFERROR(__xludf.DUMMYFUNCTION("""COMPUTED_VALUE"""),2.0)</f>
        <v>2</v>
      </c>
      <c r="F1712" s="6">
        <f>IFERROR(__xludf.DUMMYFUNCTION("""COMPUTED_VALUE"""),12.0)</f>
        <v>12</v>
      </c>
      <c r="G1712" s="6">
        <f>IFERROR(__xludf.DUMMYFUNCTION("""COMPUTED_VALUE"""),15.0)</f>
        <v>15</v>
      </c>
    </row>
    <row r="1713">
      <c r="A1713" s="6">
        <f>IFERROR(__xludf.DUMMYFUNCTION("""COMPUTED_VALUE"""),2021.0)</f>
        <v>2021</v>
      </c>
      <c r="B1713" s="6" t="str">
        <f>IFERROR(__xludf.DUMMYFUNCTION("""COMPUTED_VALUE"""),"Junho")</f>
        <v>Junho</v>
      </c>
      <c r="C1713" s="6" t="str">
        <f>IFERROR(__xludf.DUMMYFUNCTION("""COMPUTED_VALUE"""),"DANO")</f>
        <v>DANO</v>
      </c>
      <c r="D1713" s="6">
        <f>IFERROR(__xludf.DUMMYFUNCTION("""COMPUTED_VALUE"""),9.0)</f>
        <v>9</v>
      </c>
      <c r="E1713" s="6">
        <f>IFERROR(__xludf.DUMMYFUNCTION("""COMPUTED_VALUE"""),9.0)</f>
        <v>9</v>
      </c>
      <c r="F1713" s="6">
        <f>IFERROR(__xludf.DUMMYFUNCTION("""COMPUTED_VALUE"""),51.0)</f>
        <v>51</v>
      </c>
      <c r="G1713" s="6">
        <f>IFERROR(__xludf.DUMMYFUNCTION("""COMPUTED_VALUE"""),69.0)</f>
        <v>69</v>
      </c>
    </row>
    <row r="1714">
      <c r="A1714" s="6">
        <f>IFERROR(__xludf.DUMMYFUNCTION("""COMPUTED_VALUE"""),2021.0)</f>
        <v>2021</v>
      </c>
      <c r="B1714" s="6" t="str">
        <f>IFERROR(__xludf.DUMMYFUNCTION("""COMPUTED_VALUE"""),"Junho")</f>
        <v>Junho</v>
      </c>
      <c r="C1714" s="6" t="str">
        <f>IFERROR(__xludf.DUMMYFUNCTION("""COMPUTED_VALUE"""),"ESTUPRO CONSUMADO")</f>
        <v>ESTUPRO CONSUMADO</v>
      </c>
      <c r="D1714" s="6">
        <f>IFERROR(__xludf.DUMMYFUNCTION("""COMPUTED_VALUE"""),9.0)</f>
        <v>9</v>
      </c>
      <c r="E1714" s="6">
        <f>IFERROR(__xludf.DUMMYFUNCTION("""COMPUTED_VALUE"""),6.0)</f>
        <v>6</v>
      </c>
      <c r="F1714" s="6">
        <f>IFERROR(__xludf.DUMMYFUNCTION("""COMPUTED_VALUE"""),17.0)</f>
        <v>17</v>
      </c>
      <c r="G1714" s="6">
        <f>IFERROR(__xludf.DUMMYFUNCTION("""COMPUTED_VALUE"""),32.0)</f>
        <v>32</v>
      </c>
    </row>
    <row r="1715">
      <c r="A1715" s="6">
        <f>IFERROR(__xludf.DUMMYFUNCTION("""COMPUTED_VALUE"""),2021.0)</f>
        <v>2021</v>
      </c>
      <c r="B1715" s="6" t="str">
        <f>IFERROR(__xludf.DUMMYFUNCTION("""COMPUTED_VALUE"""),"Junho")</f>
        <v>Junho</v>
      </c>
      <c r="C1715" s="6" t="str">
        <f>IFERROR(__xludf.DUMMYFUNCTION("""COMPUTED_VALUE"""),"ESTUPRO TENTADO")</f>
        <v>ESTUPRO TENTADO</v>
      </c>
      <c r="D1715" s="6">
        <f>IFERROR(__xludf.DUMMYFUNCTION("""COMPUTED_VALUE"""),0.0)</f>
        <v>0</v>
      </c>
      <c r="E1715" s="6">
        <f>IFERROR(__xludf.DUMMYFUNCTION("""COMPUTED_VALUE"""),0.0)</f>
        <v>0</v>
      </c>
      <c r="F1715" s="6">
        <f>IFERROR(__xludf.DUMMYFUNCTION("""COMPUTED_VALUE"""),1.0)</f>
        <v>1</v>
      </c>
      <c r="G1715" s="6">
        <f>IFERROR(__xludf.DUMMYFUNCTION("""COMPUTED_VALUE"""),1.0)</f>
        <v>1</v>
      </c>
    </row>
    <row r="1716">
      <c r="A1716" s="6">
        <f>IFERROR(__xludf.DUMMYFUNCTION("""COMPUTED_VALUE"""),2021.0)</f>
        <v>2021</v>
      </c>
      <c r="B1716" s="6" t="str">
        <f>IFERROR(__xludf.DUMMYFUNCTION("""COMPUTED_VALUE"""),"Junho")</f>
        <v>Junho</v>
      </c>
      <c r="C1716" s="6" t="str">
        <f>IFERROR(__xludf.DUMMYFUNCTION("""COMPUTED_VALUE"""),"ESTUPRO DE VULNERÁVEL CONSUMADO")</f>
        <v>ESTUPRO DE VULNERÁVEL CONSUMADO</v>
      </c>
      <c r="D1716" s="6">
        <f>IFERROR(__xludf.DUMMYFUNCTION("""COMPUTED_VALUE"""),3.0)</f>
        <v>3</v>
      </c>
      <c r="E1716" s="6">
        <f>IFERROR(__xludf.DUMMYFUNCTION("""COMPUTED_VALUE"""),4.0)</f>
        <v>4</v>
      </c>
      <c r="F1716" s="6">
        <f>IFERROR(__xludf.DUMMYFUNCTION("""COMPUTED_VALUE"""),16.0)</f>
        <v>16</v>
      </c>
      <c r="G1716" s="6">
        <f>IFERROR(__xludf.DUMMYFUNCTION("""COMPUTED_VALUE"""),23.0)</f>
        <v>23</v>
      </c>
    </row>
    <row r="1717">
      <c r="A1717" s="6">
        <f>IFERROR(__xludf.DUMMYFUNCTION("""COMPUTED_VALUE"""),2021.0)</f>
        <v>2021</v>
      </c>
      <c r="B1717" s="6" t="str">
        <f>IFERROR(__xludf.DUMMYFUNCTION("""COMPUTED_VALUE"""),"Junho")</f>
        <v>Junho</v>
      </c>
      <c r="C1717" s="6" t="str">
        <f>IFERROR(__xludf.DUMMYFUNCTION("""COMPUTED_VALUE"""),"OUTROS C/C/ DIGNIDADE SEXUAL")</f>
        <v>OUTROS C/C/ DIGNIDADE SEXUAL</v>
      </c>
      <c r="D1717" s="6">
        <f>IFERROR(__xludf.DUMMYFUNCTION("""COMPUTED_VALUE"""),0.0)</f>
        <v>0</v>
      </c>
      <c r="E1717" s="6">
        <f>IFERROR(__xludf.DUMMYFUNCTION("""COMPUTED_VALUE"""),0.0)</f>
        <v>0</v>
      </c>
      <c r="F1717" s="6">
        <f>IFERROR(__xludf.DUMMYFUNCTION("""COMPUTED_VALUE"""),2.0)</f>
        <v>2</v>
      </c>
      <c r="G1717" s="6">
        <f>IFERROR(__xludf.DUMMYFUNCTION("""COMPUTED_VALUE"""),2.0)</f>
        <v>2</v>
      </c>
    </row>
    <row r="1718">
      <c r="A1718" s="6">
        <f>IFERROR(__xludf.DUMMYFUNCTION("""COMPUTED_VALUE"""),2021.0)</f>
        <v>2021</v>
      </c>
      <c r="B1718" s="6" t="str">
        <f>IFERROR(__xludf.DUMMYFUNCTION("""COMPUTED_VALUE"""),"Julho")</f>
        <v>Julho</v>
      </c>
      <c r="C1718" s="6" t="str">
        <f>IFERROR(__xludf.DUMMYFUNCTION("""COMPUTED_VALUE"""),"HOMICÍDIO DOLOSO (exclui FEMINICÍDIO)")</f>
        <v>HOMICÍDIO DOLOSO (exclui FEMINICÍDIO)</v>
      </c>
      <c r="D1718" s="6">
        <f>IFERROR(__xludf.DUMMYFUNCTION("""COMPUTED_VALUE"""),2.0)</f>
        <v>2</v>
      </c>
      <c r="E1718" s="6">
        <f>IFERROR(__xludf.DUMMYFUNCTION("""COMPUTED_VALUE"""),0.0)</f>
        <v>0</v>
      </c>
      <c r="F1718" s="6">
        <f>IFERROR(__xludf.DUMMYFUNCTION("""COMPUTED_VALUE"""),1.0)</f>
        <v>1</v>
      </c>
      <c r="G1718" s="6">
        <f>IFERROR(__xludf.DUMMYFUNCTION("""COMPUTED_VALUE"""),3.0)</f>
        <v>3</v>
      </c>
    </row>
    <row r="1719">
      <c r="A1719" s="6">
        <f>IFERROR(__xludf.DUMMYFUNCTION("""COMPUTED_VALUE"""),2021.0)</f>
        <v>2021</v>
      </c>
      <c r="B1719" s="6" t="str">
        <f>IFERROR(__xludf.DUMMYFUNCTION("""COMPUTED_VALUE"""),"Julho")</f>
        <v>Julho</v>
      </c>
      <c r="C1719" s="6" t="str">
        <f>IFERROR(__xludf.DUMMYFUNCTION("""COMPUTED_VALUE"""),"FEMINICÍDIO")</f>
        <v>FEMINICÍDIO</v>
      </c>
      <c r="D1719" s="6">
        <f>IFERROR(__xludf.DUMMYFUNCTION("""COMPUTED_VALUE"""),3.0)</f>
        <v>3</v>
      </c>
      <c r="E1719" s="6">
        <f>IFERROR(__xludf.DUMMYFUNCTION("""COMPUTED_VALUE"""),4.0)</f>
        <v>4</v>
      </c>
      <c r="F1719" s="6">
        <f>IFERROR(__xludf.DUMMYFUNCTION("""COMPUTED_VALUE"""),7.0)</f>
        <v>7</v>
      </c>
      <c r="G1719" s="6">
        <f>IFERROR(__xludf.DUMMYFUNCTION("""COMPUTED_VALUE"""),14.0)</f>
        <v>14</v>
      </c>
    </row>
    <row r="1720">
      <c r="A1720" s="6">
        <f>IFERROR(__xludf.DUMMYFUNCTION("""COMPUTED_VALUE"""),2021.0)</f>
        <v>2021</v>
      </c>
      <c r="B1720" s="6" t="str">
        <f>IFERROR(__xludf.DUMMYFUNCTION("""COMPUTED_VALUE"""),"Julho")</f>
        <v>Julho</v>
      </c>
      <c r="C1720" s="6" t="str">
        <f>IFERROR(__xludf.DUMMYFUNCTION("""COMPUTED_VALUE"""),"HOMICÍDIO CULPOSO")</f>
        <v>HOMICÍDIO CULPOSO</v>
      </c>
      <c r="D1720" s="6">
        <f>IFERROR(__xludf.DUMMYFUNCTION("""COMPUTED_VALUE"""),0.0)</f>
        <v>0</v>
      </c>
      <c r="E1720" s="6">
        <f>IFERROR(__xludf.DUMMYFUNCTION("""COMPUTED_VALUE"""),0.0)</f>
        <v>0</v>
      </c>
      <c r="F1720" s="6">
        <f>IFERROR(__xludf.DUMMYFUNCTION("""COMPUTED_VALUE"""),0.0)</f>
        <v>0</v>
      </c>
      <c r="G1720" s="6">
        <f>IFERROR(__xludf.DUMMYFUNCTION("""COMPUTED_VALUE"""),0.0)</f>
        <v>0</v>
      </c>
    </row>
    <row r="1721">
      <c r="A1721" s="6">
        <f>IFERROR(__xludf.DUMMYFUNCTION("""COMPUTED_VALUE"""),2021.0)</f>
        <v>2021</v>
      </c>
      <c r="B1721" s="6" t="str">
        <f>IFERROR(__xludf.DUMMYFUNCTION("""COMPUTED_VALUE"""),"Julho")</f>
        <v>Julho</v>
      </c>
      <c r="C1721" s="6" t="str">
        <f>IFERROR(__xludf.DUMMYFUNCTION("""COMPUTED_VALUE"""),"TENTATIVA DE HOMICÍDIO")</f>
        <v>TENTATIVA DE HOMICÍDIO</v>
      </c>
      <c r="D1721" s="6">
        <f>IFERROR(__xludf.DUMMYFUNCTION("""COMPUTED_VALUE"""),2.0)</f>
        <v>2</v>
      </c>
      <c r="E1721" s="6">
        <f>IFERROR(__xludf.DUMMYFUNCTION("""COMPUTED_VALUE"""),3.0)</f>
        <v>3</v>
      </c>
      <c r="F1721" s="6">
        <f>IFERROR(__xludf.DUMMYFUNCTION("""COMPUTED_VALUE"""),12.0)</f>
        <v>12</v>
      </c>
      <c r="G1721" s="6">
        <f>IFERROR(__xludf.DUMMYFUNCTION("""COMPUTED_VALUE"""),17.0)</f>
        <v>17</v>
      </c>
    </row>
    <row r="1722">
      <c r="A1722" s="6">
        <f>IFERROR(__xludf.DUMMYFUNCTION("""COMPUTED_VALUE"""),2021.0)</f>
        <v>2021</v>
      </c>
      <c r="B1722" s="6" t="str">
        <f>IFERROR(__xludf.DUMMYFUNCTION("""COMPUTED_VALUE"""),"Julho")</f>
        <v>Julho</v>
      </c>
      <c r="C1722" s="6" t="str">
        <f>IFERROR(__xludf.DUMMYFUNCTION("""COMPUTED_VALUE"""),"LESÃO CORPORAL DOLOSA")</f>
        <v>LESÃO CORPORAL DOLOSA</v>
      </c>
      <c r="D1722" s="6">
        <f>IFERROR(__xludf.DUMMYFUNCTION("""COMPUTED_VALUE"""),913.0)</f>
        <v>913</v>
      </c>
      <c r="E1722" s="6">
        <f>IFERROR(__xludf.DUMMYFUNCTION("""COMPUTED_VALUE"""),805.0)</f>
        <v>805</v>
      </c>
      <c r="F1722" s="6">
        <f>IFERROR(__xludf.DUMMYFUNCTION("""COMPUTED_VALUE"""),2914.0)</f>
        <v>2914</v>
      </c>
      <c r="G1722" s="6">
        <f>IFERROR(__xludf.DUMMYFUNCTION("""COMPUTED_VALUE"""),4632.0)</f>
        <v>4632</v>
      </c>
    </row>
    <row r="1723">
      <c r="A1723" s="6">
        <f>IFERROR(__xludf.DUMMYFUNCTION("""COMPUTED_VALUE"""),2021.0)</f>
        <v>2021</v>
      </c>
      <c r="B1723" s="6" t="str">
        <f>IFERROR(__xludf.DUMMYFUNCTION("""COMPUTED_VALUE"""),"Julho")</f>
        <v>Julho</v>
      </c>
      <c r="C1723" s="6" t="str">
        <f>IFERROR(__xludf.DUMMYFUNCTION("""COMPUTED_VALUE"""),"MAUS TRATOS")</f>
        <v>MAUS TRATOS</v>
      </c>
      <c r="D1723" s="6">
        <f>IFERROR(__xludf.DUMMYFUNCTION("""COMPUTED_VALUE"""),3.0)</f>
        <v>3</v>
      </c>
      <c r="E1723" s="6">
        <f>IFERROR(__xludf.DUMMYFUNCTION("""COMPUTED_VALUE"""),2.0)</f>
        <v>2</v>
      </c>
      <c r="F1723" s="6">
        <f>IFERROR(__xludf.DUMMYFUNCTION("""COMPUTED_VALUE"""),17.0)</f>
        <v>17</v>
      </c>
      <c r="G1723" s="6">
        <f>IFERROR(__xludf.DUMMYFUNCTION("""COMPUTED_VALUE"""),22.0)</f>
        <v>22</v>
      </c>
    </row>
    <row r="1724">
      <c r="A1724" s="6">
        <f>IFERROR(__xludf.DUMMYFUNCTION("""COMPUTED_VALUE"""),2021.0)</f>
        <v>2021</v>
      </c>
      <c r="B1724" s="6" t="str">
        <f>IFERROR(__xludf.DUMMYFUNCTION("""COMPUTED_VALUE"""),"Julho")</f>
        <v>Julho</v>
      </c>
      <c r="C1724" s="6" t="str">
        <f>IFERROR(__xludf.DUMMYFUNCTION("""COMPUTED_VALUE"""),"CALÚNIA - DIFAMAÇÃO - INJÚRIA")</f>
        <v>CALÚNIA - DIFAMAÇÃO - INJÚRIA</v>
      </c>
      <c r="D1724" s="6">
        <f>IFERROR(__xludf.DUMMYFUNCTION("""COMPUTED_VALUE"""),191.0)</f>
        <v>191</v>
      </c>
      <c r="E1724" s="6">
        <f>IFERROR(__xludf.DUMMYFUNCTION("""COMPUTED_VALUE"""),168.0)</f>
        <v>168</v>
      </c>
      <c r="F1724" s="6">
        <f>IFERROR(__xludf.DUMMYFUNCTION("""COMPUTED_VALUE"""),702.0)</f>
        <v>702</v>
      </c>
      <c r="G1724" s="6">
        <f>IFERROR(__xludf.DUMMYFUNCTION("""COMPUTED_VALUE"""),1061.0)</f>
        <v>1061</v>
      </c>
    </row>
    <row r="1725">
      <c r="A1725" s="6">
        <f>IFERROR(__xludf.DUMMYFUNCTION("""COMPUTED_VALUE"""),2021.0)</f>
        <v>2021</v>
      </c>
      <c r="B1725" s="6" t="str">
        <f>IFERROR(__xludf.DUMMYFUNCTION("""COMPUTED_VALUE"""),"Julho")</f>
        <v>Julho</v>
      </c>
      <c r="C1725" s="6" t="str">
        <f>IFERROR(__xludf.DUMMYFUNCTION("""COMPUTED_VALUE"""),"CONSTRANGIMENTO ILEGAL")</f>
        <v>CONSTRANGIMENTO ILEGAL</v>
      </c>
      <c r="D1725" s="6">
        <f>IFERROR(__xludf.DUMMYFUNCTION("""COMPUTED_VALUE"""),1.0)</f>
        <v>1</v>
      </c>
      <c r="E1725" s="6">
        <f>IFERROR(__xludf.DUMMYFUNCTION("""COMPUTED_VALUE"""),0.0)</f>
        <v>0</v>
      </c>
      <c r="F1725" s="6">
        <f>IFERROR(__xludf.DUMMYFUNCTION("""COMPUTED_VALUE"""),6.0)</f>
        <v>6</v>
      </c>
      <c r="G1725" s="6">
        <f>IFERROR(__xludf.DUMMYFUNCTION("""COMPUTED_VALUE"""),7.0)</f>
        <v>7</v>
      </c>
    </row>
    <row r="1726">
      <c r="A1726" s="6">
        <f>IFERROR(__xludf.DUMMYFUNCTION("""COMPUTED_VALUE"""),2021.0)</f>
        <v>2021</v>
      </c>
      <c r="B1726" s="6" t="str">
        <f>IFERROR(__xludf.DUMMYFUNCTION("""COMPUTED_VALUE"""),"Julho")</f>
        <v>Julho</v>
      </c>
      <c r="C1726" s="6" t="str">
        <f>IFERROR(__xludf.DUMMYFUNCTION("""COMPUTED_VALUE"""),"AMEAÇA")</f>
        <v>AMEAÇA</v>
      </c>
      <c r="D1726" s="6">
        <f>IFERROR(__xludf.DUMMYFUNCTION("""COMPUTED_VALUE"""),884.0)</f>
        <v>884</v>
      </c>
      <c r="E1726" s="6">
        <f>IFERROR(__xludf.DUMMYFUNCTION("""COMPUTED_VALUE"""),812.0)</f>
        <v>812</v>
      </c>
      <c r="F1726" s="6">
        <f>IFERROR(__xludf.DUMMYFUNCTION("""COMPUTED_VALUE"""),3012.0)</f>
        <v>3012</v>
      </c>
      <c r="G1726" s="6">
        <f>IFERROR(__xludf.DUMMYFUNCTION("""COMPUTED_VALUE"""),4708.0)</f>
        <v>4708</v>
      </c>
    </row>
    <row r="1727">
      <c r="A1727" s="6">
        <f>IFERROR(__xludf.DUMMYFUNCTION("""COMPUTED_VALUE"""),2021.0)</f>
        <v>2021</v>
      </c>
      <c r="B1727" s="6" t="str">
        <f>IFERROR(__xludf.DUMMYFUNCTION("""COMPUTED_VALUE"""),"Julho")</f>
        <v>Julho</v>
      </c>
      <c r="C1727" s="6" t="str">
        <f>IFERROR(__xludf.DUMMYFUNCTION("""COMPUTED_VALUE"""),"INVASÃO DE DOMICÍLIO")</f>
        <v>INVASÃO DE DOMICÍLIO</v>
      </c>
      <c r="D1727" s="6">
        <f>IFERROR(__xludf.DUMMYFUNCTION("""COMPUTED_VALUE"""),1.0)</f>
        <v>1</v>
      </c>
      <c r="E1727" s="6">
        <f>IFERROR(__xludf.DUMMYFUNCTION("""COMPUTED_VALUE"""),2.0)</f>
        <v>2</v>
      </c>
      <c r="F1727" s="6">
        <f>IFERROR(__xludf.DUMMYFUNCTION("""COMPUTED_VALUE"""),13.0)</f>
        <v>13</v>
      </c>
      <c r="G1727" s="6">
        <f>IFERROR(__xludf.DUMMYFUNCTION("""COMPUTED_VALUE"""),16.0)</f>
        <v>16</v>
      </c>
    </row>
    <row r="1728">
      <c r="A1728" s="6">
        <f>IFERROR(__xludf.DUMMYFUNCTION("""COMPUTED_VALUE"""),2021.0)</f>
        <v>2021</v>
      </c>
      <c r="B1728" s="6" t="str">
        <f>IFERROR(__xludf.DUMMYFUNCTION("""COMPUTED_VALUE"""),"Julho")</f>
        <v>Julho</v>
      </c>
      <c r="C1728" s="6" t="str">
        <f>IFERROR(__xludf.DUMMYFUNCTION("""COMPUTED_VALUE"""),"DANO")</f>
        <v>DANO</v>
      </c>
      <c r="D1728" s="6">
        <f>IFERROR(__xludf.DUMMYFUNCTION("""COMPUTED_VALUE"""),11.0)</f>
        <v>11</v>
      </c>
      <c r="E1728" s="6">
        <f>IFERROR(__xludf.DUMMYFUNCTION("""COMPUTED_VALUE"""),10.0)</f>
        <v>10</v>
      </c>
      <c r="F1728" s="6">
        <f>IFERROR(__xludf.DUMMYFUNCTION("""COMPUTED_VALUE"""),56.0)</f>
        <v>56</v>
      </c>
      <c r="G1728" s="6">
        <f>IFERROR(__xludf.DUMMYFUNCTION("""COMPUTED_VALUE"""),77.0)</f>
        <v>77</v>
      </c>
    </row>
    <row r="1729">
      <c r="A1729" s="6">
        <f>IFERROR(__xludf.DUMMYFUNCTION("""COMPUTED_VALUE"""),2021.0)</f>
        <v>2021</v>
      </c>
      <c r="B1729" s="6" t="str">
        <f>IFERROR(__xludf.DUMMYFUNCTION("""COMPUTED_VALUE"""),"Julho")</f>
        <v>Julho</v>
      </c>
      <c r="C1729" s="6" t="str">
        <f>IFERROR(__xludf.DUMMYFUNCTION("""COMPUTED_VALUE"""),"ESTUPRO CONSUMADO")</f>
        <v>ESTUPRO CONSUMADO</v>
      </c>
      <c r="D1729" s="6">
        <f>IFERROR(__xludf.DUMMYFUNCTION("""COMPUTED_VALUE"""),10.0)</f>
        <v>10</v>
      </c>
      <c r="E1729" s="6">
        <f>IFERROR(__xludf.DUMMYFUNCTION("""COMPUTED_VALUE"""),7.0)</f>
        <v>7</v>
      </c>
      <c r="F1729" s="6">
        <f>IFERROR(__xludf.DUMMYFUNCTION("""COMPUTED_VALUE"""),18.0)</f>
        <v>18</v>
      </c>
      <c r="G1729" s="6">
        <f>IFERROR(__xludf.DUMMYFUNCTION("""COMPUTED_VALUE"""),35.0)</f>
        <v>35</v>
      </c>
    </row>
    <row r="1730">
      <c r="A1730" s="6">
        <f>IFERROR(__xludf.DUMMYFUNCTION("""COMPUTED_VALUE"""),2021.0)</f>
        <v>2021</v>
      </c>
      <c r="B1730" s="6" t="str">
        <f>IFERROR(__xludf.DUMMYFUNCTION("""COMPUTED_VALUE"""),"Julho")</f>
        <v>Julho</v>
      </c>
      <c r="C1730" s="6" t="str">
        <f>IFERROR(__xludf.DUMMYFUNCTION("""COMPUTED_VALUE"""),"ESTUPRO TENTADO")</f>
        <v>ESTUPRO TENTADO</v>
      </c>
      <c r="D1730" s="6">
        <f>IFERROR(__xludf.DUMMYFUNCTION("""COMPUTED_VALUE"""),0.0)</f>
        <v>0</v>
      </c>
      <c r="E1730" s="6">
        <f>IFERROR(__xludf.DUMMYFUNCTION("""COMPUTED_VALUE"""),0.0)</f>
        <v>0</v>
      </c>
      <c r="F1730" s="6">
        <f>IFERROR(__xludf.DUMMYFUNCTION("""COMPUTED_VALUE"""),1.0)</f>
        <v>1</v>
      </c>
      <c r="G1730" s="6">
        <f>IFERROR(__xludf.DUMMYFUNCTION("""COMPUTED_VALUE"""),1.0)</f>
        <v>1</v>
      </c>
    </row>
    <row r="1731">
      <c r="A1731" s="6">
        <f>IFERROR(__xludf.DUMMYFUNCTION("""COMPUTED_VALUE"""),2021.0)</f>
        <v>2021</v>
      </c>
      <c r="B1731" s="6" t="str">
        <f>IFERROR(__xludf.DUMMYFUNCTION("""COMPUTED_VALUE"""),"Julho")</f>
        <v>Julho</v>
      </c>
      <c r="C1731" s="6" t="str">
        <f>IFERROR(__xludf.DUMMYFUNCTION("""COMPUTED_VALUE"""),"ESTUPRO DE VULNERÁVEL CONSUMADO")</f>
        <v>ESTUPRO DE VULNERÁVEL CONSUMADO</v>
      </c>
      <c r="D1731" s="6">
        <f>IFERROR(__xludf.DUMMYFUNCTION("""COMPUTED_VALUE"""),3.0)</f>
        <v>3</v>
      </c>
      <c r="E1731" s="6">
        <f>IFERROR(__xludf.DUMMYFUNCTION("""COMPUTED_VALUE"""),4.0)</f>
        <v>4</v>
      </c>
      <c r="F1731" s="6">
        <f>IFERROR(__xludf.DUMMYFUNCTION("""COMPUTED_VALUE"""),18.0)</f>
        <v>18</v>
      </c>
      <c r="G1731" s="6">
        <f>IFERROR(__xludf.DUMMYFUNCTION("""COMPUTED_VALUE"""),25.0)</f>
        <v>25</v>
      </c>
    </row>
    <row r="1732">
      <c r="A1732" s="6">
        <f>IFERROR(__xludf.DUMMYFUNCTION("""COMPUTED_VALUE"""),2021.0)</f>
        <v>2021</v>
      </c>
      <c r="B1732" s="6" t="str">
        <f>IFERROR(__xludf.DUMMYFUNCTION("""COMPUTED_VALUE"""),"Julho")</f>
        <v>Julho</v>
      </c>
      <c r="C1732" s="6" t="str">
        <f>IFERROR(__xludf.DUMMYFUNCTION("""COMPUTED_VALUE"""),"OUTROS C/C/ DIGNIDADE SEXUAL")</f>
        <v>OUTROS C/C/ DIGNIDADE SEXUAL</v>
      </c>
      <c r="D1732" s="6">
        <f>IFERROR(__xludf.DUMMYFUNCTION("""COMPUTED_VALUE"""),0.0)</f>
        <v>0</v>
      </c>
      <c r="E1732" s="6">
        <f>IFERROR(__xludf.DUMMYFUNCTION("""COMPUTED_VALUE"""),0.0)</f>
        <v>0</v>
      </c>
      <c r="F1732" s="6">
        <f>IFERROR(__xludf.DUMMYFUNCTION("""COMPUTED_VALUE"""),2.0)</f>
        <v>2</v>
      </c>
      <c r="G1732" s="6">
        <f>IFERROR(__xludf.DUMMYFUNCTION("""COMPUTED_VALUE"""),2.0)</f>
        <v>2</v>
      </c>
    </row>
    <row r="1733">
      <c r="A1733" s="6">
        <f>IFERROR(__xludf.DUMMYFUNCTION("""COMPUTED_VALUE"""),2021.0)</f>
        <v>2021</v>
      </c>
      <c r="B1733" s="6" t="str">
        <f>IFERROR(__xludf.DUMMYFUNCTION("""COMPUTED_VALUE"""),"Agosto")</f>
        <v>Agosto</v>
      </c>
      <c r="C1733" s="6" t="str">
        <f>IFERROR(__xludf.DUMMYFUNCTION("""COMPUTED_VALUE"""),"HOMICÍDIO DOLOSO (exclui FEMINICÍDIO)")</f>
        <v>HOMICÍDIO DOLOSO (exclui FEMINICÍDIO)</v>
      </c>
      <c r="D1733" s="6">
        <f>IFERROR(__xludf.DUMMYFUNCTION("""COMPUTED_VALUE"""),1.0)</f>
        <v>1</v>
      </c>
      <c r="E1733" s="6">
        <f>IFERROR(__xludf.DUMMYFUNCTION("""COMPUTED_VALUE"""),1.0)</f>
        <v>1</v>
      </c>
      <c r="F1733" s="6">
        <f>IFERROR(__xludf.DUMMYFUNCTION("""COMPUTED_VALUE"""),2.0)</f>
        <v>2</v>
      </c>
      <c r="G1733" s="6">
        <f>IFERROR(__xludf.DUMMYFUNCTION("""COMPUTED_VALUE"""),4.0)</f>
        <v>4</v>
      </c>
    </row>
    <row r="1734">
      <c r="A1734" s="6">
        <f>IFERROR(__xludf.DUMMYFUNCTION("""COMPUTED_VALUE"""),2021.0)</f>
        <v>2021</v>
      </c>
      <c r="B1734" s="6" t="str">
        <f>IFERROR(__xludf.DUMMYFUNCTION("""COMPUTED_VALUE"""),"Agosto")</f>
        <v>Agosto</v>
      </c>
      <c r="C1734" s="6" t="str">
        <f>IFERROR(__xludf.DUMMYFUNCTION("""COMPUTED_VALUE"""),"FEMINICÍDIO")</f>
        <v>FEMINICÍDIO</v>
      </c>
      <c r="D1734" s="6">
        <f>IFERROR(__xludf.DUMMYFUNCTION("""COMPUTED_VALUE"""),3.0)</f>
        <v>3</v>
      </c>
      <c r="E1734" s="6">
        <f>IFERROR(__xludf.DUMMYFUNCTION("""COMPUTED_VALUE"""),3.0)</f>
        <v>3</v>
      </c>
      <c r="F1734" s="6">
        <f>IFERROR(__xludf.DUMMYFUNCTION("""COMPUTED_VALUE"""),6.0)</f>
        <v>6</v>
      </c>
      <c r="G1734" s="6">
        <f>IFERROR(__xludf.DUMMYFUNCTION("""COMPUTED_VALUE"""),12.0)</f>
        <v>12</v>
      </c>
    </row>
    <row r="1735">
      <c r="A1735" s="6">
        <f>IFERROR(__xludf.DUMMYFUNCTION("""COMPUTED_VALUE"""),2021.0)</f>
        <v>2021</v>
      </c>
      <c r="B1735" s="6" t="str">
        <f>IFERROR(__xludf.DUMMYFUNCTION("""COMPUTED_VALUE"""),"Agosto")</f>
        <v>Agosto</v>
      </c>
      <c r="C1735" s="6" t="str">
        <f>IFERROR(__xludf.DUMMYFUNCTION("""COMPUTED_VALUE"""),"HOMICÍDIO CULPOSO")</f>
        <v>HOMICÍDIO CULPOSO</v>
      </c>
      <c r="D1735" s="6">
        <f>IFERROR(__xludf.DUMMYFUNCTION("""COMPUTED_VALUE"""),0.0)</f>
        <v>0</v>
      </c>
      <c r="E1735" s="6">
        <f>IFERROR(__xludf.DUMMYFUNCTION("""COMPUTED_VALUE"""),0.0)</f>
        <v>0</v>
      </c>
      <c r="F1735" s="6">
        <f>IFERROR(__xludf.DUMMYFUNCTION("""COMPUTED_VALUE"""),0.0)</f>
        <v>0</v>
      </c>
      <c r="G1735" s="6">
        <f>IFERROR(__xludf.DUMMYFUNCTION("""COMPUTED_VALUE"""),0.0)</f>
        <v>0</v>
      </c>
    </row>
    <row r="1736">
      <c r="A1736" s="6">
        <f>IFERROR(__xludf.DUMMYFUNCTION("""COMPUTED_VALUE"""),2021.0)</f>
        <v>2021</v>
      </c>
      <c r="B1736" s="6" t="str">
        <f>IFERROR(__xludf.DUMMYFUNCTION("""COMPUTED_VALUE"""),"Agosto")</f>
        <v>Agosto</v>
      </c>
      <c r="C1736" s="6" t="str">
        <f>IFERROR(__xludf.DUMMYFUNCTION("""COMPUTED_VALUE"""),"TENTATIVA DE HOMICÍDIO")</f>
        <v>TENTATIVA DE HOMICÍDIO</v>
      </c>
      <c r="D1736" s="6">
        <f>IFERROR(__xludf.DUMMYFUNCTION("""COMPUTED_VALUE"""),2.0)</f>
        <v>2</v>
      </c>
      <c r="E1736" s="6">
        <f>IFERROR(__xludf.DUMMYFUNCTION("""COMPUTED_VALUE"""),2.0)</f>
        <v>2</v>
      </c>
      <c r="F1736" s="6">
        <f>IFERROR(__xludf.DUMMYFUNCTION("""COMPUTED_VALUE"""),12.0)</f>
        <v>12</v>
      </c>
      <c r="G1736" s="6">
        <f>IFERROR(__xludf.DUMMYFUNCTION("""COMPUTED_VALUE"""),16.0)</f>
        <v>16</v>
      </c>
    </row>
    <row r="1737">
      <c r="A1737" s="6">
        <f>IFERROR(__xludf.DUMMYFUNCTION("""COMPUTED_VALUE"""),2021.0)</f>
        <v>2021</v>
      </c>
      <c r="B1737" s="6" t="str">
        <f>IFERROR(__xludf.DUMMYFUNCTION("""COMPUTED_VALUE"""),"Agosto")</f>
        <v>Agosto</v>
      </c>
      <c r="C1737" s="6" t="str">
        <f>IFERROR(__xludf.DUMMYFUNCTION("""COMPUTED_VALUE"""),"LESÃO CORPORAL DOLOSA")</f>
        <v>LESÃO CORPORAL DOLOSA</v>
      </c>
      <c r="D1737" s="6">
        <f>IFERROR(__xludf.DUMMYFUNCTION("""COMPUTED_VALUE"""),948.0)</f>
        <v>948</v>
      </c>
      <c r="E1737" s="6">
        <f>IFERROR(__xludf.DUMMYFUNCTION("""COMPUTED_VALUE"""),812.0)</f>
        <v>812</v>
      </c>
      <c r="F1737" s="6">
        <f>IFERROR(__xludf.DUMMYFUNCTION("""COMPUTED_VALUE"""),2914.0)</f>
        <v>2914</v>
      </c>
      <c r="G1737" s="6">
        <f>IFERROR(__xludf.DUMMYFUNCTION("""COMPUTED_VALUE"""),4674.0)</f>
        <v>4674</v>
      </c>
    </row>
    <row r="1738">
      <c r="A1738" s="6">
        <f>IFERROR(__xludf.DUMMYFUNCTION("""COMPUTED_VALUE"""),2021.0)</f>
        <v>2021</v>
      </c>
      <c r="B1738" s="6" t="str">
        <f>IFERROR(__xludf.DUMMYFUNCTION("""COMPUTED_VALUE"""),"Agosto")</f>
        <v>Agosto</v>
      </c>
      <c r="C1738" s="6" t="str">
        <f>IFERROR(__xludf.DUMMYFUNCTION("""COMPUTED_VALUE"""),"MAUS TRATOS")</f>
        <v>MAUS TRATOS</v>
      </c>
      <c r="D1738" s="6">
        <f>IFERROR(__xludf.DUMMYFUNCTION("""COMPUTED_VALUE"""),3.0)</f>
        <v>3</v>
      </c>
      <c r="E1738" s="6">
        <f>IFERROR(__xludf.DUMMYFUNCTION("""COMPUTED_VALUE"""),2.0)</f>
        <v>2</v>
      </c>
      <c r="F1738" s="6">
        <f>IFERROR(__xludf.DUMMYFUNCTION("""COMPUTED_VALUE"""),16.0)</f>
        <v>16</v>
      </c>
      <c r="G1738" s="6">
        <f>IFERROR(__xludf.DUMMYFUNCTION("""COMPUTED_VALUE"""),21.0)</f>
        <v>21</v>
      </c>
    </row>
    <row r="1739">
      <c r="A1739" s="6">
        <f>IFERROR(__xludf.DUMMYFUNCTION("""COMPUTED_VALUE"""),2021.0)</f>
        <v>2021</v>
      </c>
      <c r="B1739" s="6" t="str">
        <f>IFERROR(__xludf.DUMMYFUNCTION("""COMPUTED_VALUE"""),"Agosto")</f>
        <v>Agosto</v>
      </c>
      <c r="C1739" s="6" t="str">
        <f>IFERROR(__xludf.DUMMYFUNCTION("""COMPUTED_VALUE"""),"CALÚNIA - DIFAMAÇÃO - INJÚRIA")</f>
        <v>CALÚNIA - DIFAMAÇÃO - INJÚRIA</v>
      </c>
      <c r="D1739" s="6">
        <f>IFERROR(__xludf.DUMMYFUNCTION("""COMPUTED_VALUE"""),187.0)</f>
        <v>187</v>
      </c>
      <c r="E1739" s="6">
        <f>IFERROR(__xludf.DUMMYFUNCTION("""COMPUTED_VALUE"""),159.0)</f>
        <v>159</v>
      </c>
      <c r="F1739" s="6">
        <f>IFERROR(__xludf.DUMMYFUNCTION("""COMPUTED_VALUE"""),694.0)</f>
        <v>694</v>
      </c>
      <c r="G1739" s="6">
        <f>IFERROR(__xludf.DUMMYFUNCTION("""COMPUTED_VALUE"""),1040.0)</f>
        <v>1040</v>
      </c>
    </row>
    <row r="1740">
      <c r="A1740" s="6">
        <f>IFERROR(__xludf.DUMMYFUNCTION("""COMPUTED_VALUE"""),2021.0)</f>
        <v>2021</v>
      </c>
      <c r="B1740" s="6" t="str">
        <f>IFERROR(__xludf.DUMMYFUNCTION("""COMPUTED_VALUE"""),"Agosto")</f>
        <v>Agosto</v>
      </c>
      <c r="C1740" s="6" t="str">
        <f>IFERROR(__xludf.DUMMYFUNCTION("""COMPUTED_VALUE"""),"CONSTRANGIMENTO ILEGAL")</f>
        <v>CONSTRANGIMENTO ILEGAL</v>
      </c>
      <c r="D1740" s="6">
        <f>IFERROR(__xludf.DUMMYFUNCTION("""COMPUTED_VALUE"""),1.0)</f>
        <v>1</v>
      </c>
      <c r="E1740" s="6">
        <f>IFERROR(__xludf.DUMMYFUNCTION("""COMPUTED_VALUE"""),0.0)</f>
        <v>0</v>
      </c>
      <c r="F1740" s="6">
        <f>IFERROR(__xludf.DUMMYFUNCTION("""COMPUTED_VALUE"""),6.0)</f>
        <v>6</v>
      </c>
      <c r="G1740" s="6">
        <f>IFERROR(__xludf.DUMMYFUNCTION("""COMPUTED_VALUE"""),7.0)</f>
        <v>7</v>
      </c>
    </row>
    <row r="1741">
      <c r="A1741" s="6">
        <f>IFERROR(__xludf.DUMMYFUNCTION("""COMPUTED_VALUE"""),2021.0)</f>
        <v>2021</v>
      </c>
      <c r="B1741" s="6" t="str">
        <f>IFERROR(__xludf.DUMMYFUNCTION("""COMPUTED_VALUE"""),"Agosto")</f>
        <v>Agosto</v>
      </c>
      <c r="C1741" s="6" t="str">
        <f>IFERROR(__xludf.DUMMYFUNCTION("""COMPUTED_VALUE"""),"AMEAÇA")</f>
        <v>AMEAÇA</v>
      </c>
      <c r="D1741" s="6">
        <f>IFERROR(__xludf.DUMMYFUNCTION("""COMPUTED_VALUE"""),872.0)</f>
        <v>872</v>
      </c>
      <c r="E1741" s="6">
        <f>IFERROR(__xludf.DUMMYFUNCTION("""COMPUTED_VALUE"""),804.0)</f>
        <v>804</v>
      </c>
      <c r="F1741" s="6">
        <f>IFERROR(__xludf.DUMMYFUNCTION("""COMPUTED_VALUE"""),2984.0)</f>
        <v>2984</v>
      </c>
      <c r="G1741" s="6">
        <f>IFERROR(__xludf.DUMMYFUNCTION("""COMPUTED_VALUE"""),4660.0)</f>
        <v>4660</v>
      </c>
    </row>
    <row r="1742">
      <c r="A1742" s="6">
        <f>IFERROR(__xludf.DUMMYFUNCTION("""COMPUTED_VALUE"""),2021.0)</f>
        <v>2021</v>
      </c>
      <c r="B1742" s="6" t="str">
        <f>IFERROR(__xludf.DUMMYFUNCTION("""COMPUTED_VALUE"""),"Agosto")</f>
        <v>Agosto</v>
      </c>
      <c r="C1742" s="6" t="str">
        <f>IFERROR(__xludf.DUMMYFUNCTION("""COMPUTED_VALUE"""),"INVASÃO DE DOMICÍLIO")</f>
        <v>INVASÃO DE DOMICÍLIO</v>
      </c>
      <c r="D1742" s="6">
        <f>IFERROR(__xludf.DUMMYFUNCTION("""COMPUTED_VALUE"""),1.0)</f>
        <v>1</v>
      </c>
      <c r="E1742" s="6">
        <f>IFERROR(__xludf.DUMMYFUNCTION("""COMPUTED_VALUE"""),2.0)</f>
        <v>2</v>
      </c>
      <c r="F1742" s="6">
        <f>IFERROR(__xludf.DUMMYFUNCTION("""COMPUTED_VALUE"""),13.0)</f>
        <v>13</v>
      </c>
      <c r="G1742" s="6">
        <f>IFERROR(__xludf.DUMMYFUNCTION("""COMPUTED_VALUE"""),16.0)</f>
        <v>16</v>
      </c>
    </row>
    <row r="1743">
      <c r="A1743" s="6">
        <f>IFERROR(__xludf.DUMMYFUNCTION("""COMPUTED_VALUE"""),2021.0)</f>
        <v>2021</v>
      </c>
      <c r="B1743" s="6" t="str">
        <f>IFERROR(__xludf.DUMMYFUNCTION("""COMPUTED_VALUE"""),"Agosto")</f>
        <v>Agosto</v>
      </c>
      <c r="C1743" s="6" t="str">
        <f>IFERROR(__xludf.DUMMYFUNCTION("""COMPUTED_VALUE"""),"DANO")</f>
        <v>DANO</v>
      </c>
      <c r="D1743" s="6">
        <f>IFERROR(__xludf.DUMMYFUNCTION("""COMPUTED_VALUE"""),11.0)</f>
        <v>11</v>
      </c>
      <c r="E1743" s="6">
        <f>IFERROR(__xludf.DUMMYFUNCTION("""COMPUTED_VALUE"""),10.0)</f>
        <v>10</v>
      </c>
      <c r="F1743" s="6">
        <f>IFERROR(__xludf.DUMMYFUNCTION("""COMPUTED_VALUE"""),54.0)</f>
        <v>54</v>
      </c>
      <c r="G1743" s="6">
        <f>IFERROR(__xludf.DUMMYFUNCTION("""COMPUTED_VALUE"""),75.0)</f>
        <v>75</v>
      </c>
    </row>
    <row r="1744">
      <c r="A1744" s="6">
        <f>IFERROR(__xludf.DUMMYFUNCTION("""COMPUTED_VALUE"""),2021.0)</f>
        <v>2021</v>
      </c>
      <c r="B1744" s="6" t="str">
        <f>IFERROR(__xludf.DUMMYFUNCTION("""COMPUTED_VALUE"""),"Agosto")</f>
        <v>Agosto</v>
      </c>
      <c r="C1744" s="6" t="str">
        <f>IFERROR(__xludf.DUMMYFUNCTION("""COMPUTED_VALUE"""),"ESTUPRO CONSUMADO")</f>
        <v>ESTUPRO CONSUMADO</v>
      </c>
      <c r="D1744" s="6">
        <f>IFERROR(__xludf.DUMMYFUNCTION("""COMPUTED_VALUE"""),10.0)</f>
        <v>10</v>
      </c>
      <c r="E1744" s="6">
        <f>IFERROR(__xludf.DUMMYFUNCTION("""COMPUTED_VALUE"""),7.0)</f>
        <v>7</v>
      </c>
      <c r="F1744" s="6">
        <f>IFERROR(__xludf.DUMMYFUNCTION("""COMPUTED_VALUE"""),17.0)</f>
        <v>17</v>
      </c>
      <c r="G1744" s="6">
        <f>IFERROR(__xludf.DUMMYFUNCTION("""COMPUTED_VALUE"""),34.0)</f>
        <v>34</v>
      </c>
    </row>
    <row r="1745">
      <c r="A1745" s="6">
        <f>IFERROR(__xludf.DUMMYFUNCTION("""COMPUTED_VALUE"""),2021.0)</f>
        <v>2021</v>
      </c>
      <c r="B1745" s="6" t="str">
        <f>IFERROR(__xludf.DUMMYFUNCTION("""COMPUTED_VALUE"""),"Agosto")</f>
        <v>Agosto</v>
      </c>
      <c r="C1745" s="6" t="str">
        <f>IFERROR(__xludf.DUMMYFUNCTION("""COMPUTED_VALUE"""),"ESTUPRO TENTADO")</f>
        <v>ESTUPRO TENTADO</v>
      </c>
      <c r="D1745" s="6">
        <f>IFERROR(__xludf.DUMMYFUNCTION("""COMPUTED_VALUE"""),0.0)</f>
        <v>0</v>
      </c>
      <c r="E1745" s="6">
        <f>IFERROR(__xludf.DUMMYFUNCTION("""COMPUTED_VALUE"""),0.0)</f>
        <v>0</v>
      </c>
      <c r="F1745" s="6">
        <f>IFERROR(__xludf.DUMMYFUNCTION("""COMPUTED_VALUE"""),1.0)</f>
        <v>1</v>
      </c>
      <c r="G1745" s="6">
        <f>IFERROR(__xludf.DUMMYFUNCTION("""COMPUTED_VALUE"""),1.0)</f>
        <v>1</v>
      </c>
    </row>
    <row r="1746">
      <c r="A1746" s="6">
        <f>IFERROR(__xludf.DUMMYFUNCTION("""COMPUTED_VALUE"""),2021.0)</f>
        <v>2021</v>
      </c>
      <c r="B1746" s="6" t="str">
        <f>IFERROR(__xludf.DUMMYFUNCTION("""COMPUTED_VALUE"""),"Agosto")</f>
        <v>Agosto</v>
      </c>
      <c r="C1746" s="6" t="str">
        <f>IFERROR(__xludf.DUMMYFUNCTION("""COMPUTED_VALUE"""),"ESTUPRO DE VULNERÁVEL CONSUMADO")</f>
        <v>ESTUPRO DE VULNERÁVEL CONSUMADO</v>
      </c>
      <c r="D1746" s="6">
        <f>IFERROR(__xludf.DUMMYFUNCTION("""COMPUTED_VALUE"""),3.0)</f>
        <v>3</v>
      </c>
      <c r="E1746" s="6">
        <f>IFERROR(__xludf.DUMMYFUNCTION("""COMPUTED_VALUE"""),4.0)</f>
        <v>4</v>
      </c>
      <c r="F1746" s="6">
        <f>IFERROR(__xludf.DUMMYFUNCTION("""COMPUTED_VALUE"""),17.0)</f>
        <v>17</v>
      </c>
      <c r="G1746" s="6">
        <f>IFERROR(__xludf.DUMMYFUNCTION("""COMPUTED_VALUE"""),24.0)</f>
        <v>24</v>
      </c>
    </row>
    <row r="1747">
      <c r="A1747" s="6">
        <f>IFERROR(__xludf.DUMMYFUNCTION("""COMPUTED_VALUE"""),2021.0)</f>
        <v>2021</v>
      </c>
      <c r="B1747" s="6" t="str">
        <f>IFERROR(__xludf.DUMMYFUNCTION("""COMPUTED_VALUE"""),"Agosto")</f>
        <v>Agosto</v>
      </c>
      <c r="C1747" s="6" t="str">
        <f>IFERROR(__xludf.DUMMYFUNCTION("""COMPUTED_VALUE"""),"OUTROS C/C/ DIGNIDADE SEXUAL")</f>
        <v>OUTROS C/C/ DIGNIDADE SEXUAL</v>
      </c>
      <c r="D1747" s="6">
        <f>IFERROR(__xludf.DUMMYFUNCTION("""COMPUTED_VALUE"""),0.0)</f>
        <v>0</v>
      </c>
      <c r="E1747" s="6">
        <f>IFERROR(__xludf.DUMMYFUNCTION("""COMPUTED_VALUE"""),0.0)</f>
        <v>0</v>
      </c>
      <c r="F1747" s="6">
        <f>IFERROR(__xludf.DUMMYFUNCTION("""COMPUTED_VALUE"""),2.0)</f>
        <v>2</v>
      </c>
      <c r="G1747" s="6">
        <f>IFERROR(__xludf.DUMMYFUNCTION("""COMPUTED_VALUE"""),2.0)</f>
        <v>2</v>
      </c>
    </row>
    <row r="1748">
      <c r="A1748" s="6">
        <f>IFERROR(__xludf.DUMMYFUNCTION("""COMPUTED_VALUE"""),2021.0)</f>
        <v>2021</v>
      </c>
      <c r="B1748" s="6" t="str">
        <f>IFERROR(__xludf.DUMMYFUNCTION("""COMPUTED_VALUE"""),"Setembro")</f>
        <v>Setembro</v>
      </c>
      <c r="C1748" s="6" t="str">
        <f>IFERROR(__xludf.DUMMYFUNCTION("""COMPUTED_VALUE"""),"HOMICÍDIO DOLOSO (exclui FEMINICÍDIO)")</f>
        <v>HOMICÍDIO DOLOSO (exclui FEMINICÍDIO)</v>
      </c>
      <c r="D1748" s="6">
        <f>IFERROR(__xludf.DUMMYFUNCTION("""COMPUTED_VALUE"""),1.0)</f>
        <v>1</v>
      </c>
      <c r="E1748" s="6">
        <f>IFERROR(__xludf.DUMMYFUNCTION("""COMPUTED_VALUE"""),0.0)</f>
        <v>0</v>
      </c>
      <c r="F1748" s="6">
        <f>IFERROR(__xludf.DUMMYFUNCTION("""COMPUTED_VALUE"""),2.0)</f>
        <v>2</v>
      </c>
      <c r="G1748" s="6">
        <f>IFERROR(__xludf.DUMMYFUNCTION("""COMPUTED_VALUE"""),3.0)</f>
        <v>3</v>
      </c>
    </row>
    <row r="1749">
      <c r="A1749" s="6">
        <f>IFERROR(__xludf.DUMMYFUNCTION("""COMPUTED_VALUE"""),2021.0)</f>
        <v>2021</v>
      </c>
      <c r="B1749" s="6" t="str">
        <f>IFERROR(__xludf.DUMMYFUNCTION("""COMPUTED_VALUE"""),"Setembro")</f>
        <v>Setembro</v>
      </c>
      <c r="C1749" s="6" t="str">
        <f>IFERROR(__xludf.DUMMYFUNCTION("""COMPUTED_VALUE"""),"FEMINICÍDIO")</f>
        <v>FEMINICÍDIO</v>
      </c>
      <c r="D1749" s="6">
        <f>IFERROR(__xludf.DUMMYFUNCTION("""COMPUTED_VALUE"""),4.0)</f>
        <v>4</v>
      </c>
      <c r="E1749" s="6">
        <f>IFERROR(__xludf.DUMMYFUNCTION("""COMPUTED_VALUE"""),4.0)</f>
        <v>4</v>
      </c>
      <c r="F1749" s="6">
        <f>IFERROR(__xludf.DUMMYFUNCTION("""COMPUTED_VALUE"""),8.0)</f>
        <v>8</v>
      </c>
      <c r="G1749" s="6">
        <f>IFERROR(__xludf.DUMMYFUNCTION("""COMPUTED_VALUE"""),16.0)</f>
        <v>16</v>
      </c>
    </row>
    <row r="1750">
      <c r="A1750" s="6">
        <f>IFERROR(__xludf.DUMMYFUNCTION("""COMPUTED_VALUE"""),2021.0)</f>
        <v>2021</v>
      </c>
      <c r="B1750" s="6" t="str">
        <f>IFERROR(__xludf.DUMMYFUNCTION("""COMPUTED_VALUE"""),"Setembro")</f>
        <v>Setembro</v>
      </c>
      <c r="C1750" s="6" t="str">
        <f>IFERROR(__xludf.DUMMYFUNCTION("""COMPUTED_VALUE"""),"HOMICÍDIO CULPOSO")</f>
        <v>HOMICÍDIO CULPOSO</v>
      </c>
      <c r="D1750" s="6">
        <f>IFERROR(__xludf.DUMMYFUNCTION("""COMPUTED_VALUE"""),0.0)</f>
        <v>0</v>
      </c>
      <c r="E1750" s="6">
        <f>IFERROR(__xludf.DUMMYFUNCTION("""COMPUTED_VALUE"""),0.0)</f>
        <v>0</v>
      </c>
      <c r="F1750" s="6">
        <f>IFERROR(__xludf.DUMMYFUNCTION("""COMPUTED_VALUE"""),0.0)</f>
        <v>0</v>
      </c>
      <c r="G1750" s="6">
        <f>IFERROR(__xludf.DUMMYFUNCTION("""COMPUTED_VALUE"""),0.0)</f>
        <v>0</v>
      </c>
    </row>
    <row r="1751">
      <c r="A1751" s="6">
        <f>IFERROR(__xludf.DUMMYFUNCTION("""COMPUTED_VALUE"""),2021.0)</f>
        <v>2021</v>
      </c>
      <c r="B1751" s="6" t="str">
        <f>IFERROR(__xludf.DUMMYFUNCTION("""COMPUTED_VALUE"""),"Setembro")</f>
        <v>Setembro</v>
      </c>
      <c r="C1751" s="6" t="str">
        <f>IFERROR(__xludf.DUMMYFUNCTION("""COMPUTED_VALUE"""),"TENTATIVA DE HOMICÍDIO")</f>
        <v>TENTATIVA DE HOMICÍDIO</v>
      </c>
      <c r="D1751" s="6">
        <f>IFERROR(__xludf.DUMMYFUNCTION("""COMPUTED_VALUE"""),1.0)</f>
        <v>1</v>
      </c>
      <c r="E1751" s="6">
        <f>IFERROR(__xludf.DUMMYFUNCTION("""COMPUTED_VALUE"""),1.0)</f>
        <v>1</v>
      </c>
      <c r="F1751" s="6">
        <f>IFERROR(__xludf.DUMMYFUNCTION("""COMPUTED_VALUE"""),11.0)</f>
        <v>11</v>
      </c>
      <c r="G1751" s="6">
        <f>IFERROR(__xludf.DUMMYFUNCTION("""COMPUTED_VALUE"""),13.0)</f>
        <v>13</v>
      </c>
    </row>
    <row r="1752">
      <c r="A1752" s="6">
        <f>IFERROR(__xludf.DUMMYFUNCTION("""COMPUTED_VALUE"""),2021.0)</f>
        <v>2021</v>
      </c>
      <c r="B1752" s="6" t="str">
        <f>IFERROR(__xludf.DUMMYFUNCTION("""COMPUTED_VALUE"""),"Setembro")</f>
        <v>Setembro</v>
      </c>
      <c r="C1752" s="6" t="str">
        <f>IFERROR(__xludf.DUMMYFUNCTION("""COMPUTED_VALUE"""),"LESÃO CORPORAL DOLOSA")</f>
        <v>LESÃO CORPORAL DOLOSA</v>
      </c>
      <c r="D1752" s="6">
        <f>IFERROR(__xludf.DUMMYFUNCTION("""COMPUTED_VALUE"""),912.0)</f>
        <v>912</v>
      </c>
      <c r="E1752" s="6">
        <f>IFERROR(__xludf.DUMMYFUNCTION("""COMPUTED_VALUE"""),784.0)</f>
        <v>784</v>
      </c>
      <c r="F1752" s="6">
        <f>IFERROR(__xludf.DUMMYFUNCTION("""COMPUTED_VALUE"""),2814.0)</f>
        <v>2814</v>
      </c>
      <c r="G1752" s="6">
        <f>IFERROR(__xludf.DUMMYFUNCTION("""COMPUTED_VALUE"""),4510.0)</f>
        <v>4510</v>
      </c>
    </row>
    <row r="1753">
      <c r="A1753" s="6">
        <f>IFERROR(__xludf.DUMMYFUNCTION("""COMPUTED_VALUE"""),2021.0)</f>
        <v>2021</v>
      </c>
      <c r="B1753" s="6" t="str">
        <f>IFERROR(__xludf.DUMMYFUNCTION("""COMPUTED_VALUE"""),"Setembro")</f>
        <v>Setembro</v>
      </c>
      <c r="C1753" s="6" t="str">
        <f>IFERROR(__xludf.DUMMYFUNCTION("""COMPUTED_VALUE"""),"MAUS TRATOS")</f>
        <v>MAUS TRATOS</v>
      </c>
      <c r="D1753" s="6">
        <f>IFERROR(__xludf.DUMMYFUNCTION("""COMPUTED_VALUE"""),2.0)</f>
        <v>2</v>
      </c>
      <c r="E1753" s="6">
        <f>IFERROR(__xludf.DUMMYFUNCTION("""COMPUTED_VALUE"""),2.0)</f>
        <v>2</v>
      </c>
      <c r="F1753" s="6">
        <f>IFERROR(__xludf.DUMMYFUNCTION("""COMPUTED_VALUE"""),14.0)</f>
        <v>14</v>
      </c>
      <c r="G1753" s="6">
        <f>IFERROR(__xludf.DUMMYFUNCTION("""COMPUTED_VALUE"""),18.0)</f>
        <v>18</v>
      </c>
    </row>
    <row r="1754">
      <c r="A1754" s="6">
        <f>IFERROR(__xludf.DUMMYFUNCTION("""COMPUTED_VALUE"""),2021.0)</f>
        <v>2021</v>
      </c>
      <c r="B1754" s="6" t="str">
        <f>IFERROR(__xludf.DUMMYFUNCTION("""COMPUTED_VALUE"""),"Setembro")</f>
        <v>Setembro</v>
      </c>
      <c r="C1754" s="6" t="str">
        <f>IFERROR(__xludf.DUMMYFUNCTION("""COMPUTED_VALUE"""),"CALÚNIA - DIFAMAÇÃO - INJÚRIA")</f>
        <v>CALÚNIA - DIFAMAÇÃO - INJÚRIA</v>
      </c>
      <c r="D1754" s="6">
        <f>IFERROR(__xludf.DUMMYFUNCTION("""COMPUTED_VALUE"""),178.0)</f>
        <v>178</v>
      </c>
      <c r="E1754" s="6">
        <f>IFERROR(__xludf.DUMMYFUNCTION("""COMPUTED_VALUE"""),151.0)</f>
        <v>151</v>
      </c>
      <c r="F1754" s="6">
        <f>IFERROR(__xludf.DUMMYFUNCTION("""COMPUTED_VALUE"""),654.0)</f>
        <v>654</v>
      </c>
      <c r="G1754" s="6">
        <f>IFERROR(__xludf.DUMMYFUNCTION("""COMPUTED_VALUE"""),983.0)</f>
        <v>983</v>
      </c>
    </row>
    <row r="1755">
      <c r="A1755" s="6">
        <f>IFERROR(__xludf.DUMMYFUNCTION("""COMPUTED_VALUE"""),2021.0)</f>
        <v>2021</v>
      </c>
      <c r="B1755" s="6" t="str">
        <f>IFERROR(__xludf.DUMMYFUNCTION("""COMPUTED_VALUE"""),"Setembro")</f>
        <v>Setembro</v>
      </c>
      <c r="C1755" s="6" t="str">
        <f>IFERROR(__xludf.DUMMYFUNCTION("""COMPUTED_VALUE"""),"CONSTRANGIMENTO ILEGAL")</f>
        <v>CONSTRANGIMENTO ILEGAL</v>
      </c>
      <c r="D1755" s="6">
        <f>IFERROR(__xludf.DUMMYFUNCTION("""COMPUTED_VALUE"""),1.0)</f>
        <v>1</v>
      </c>
      <c r="E1755" s="6">
        <f>IFERROR(__xludf.DUMMYFUNCTION("""COMPUTED_VALUE"""),0.0)</f>
        <v>0</v>
      </c>
      <c r="F1755" s="6">
        <f>IFERROR(__xludf.DUMMYFUNCTION("""COMPUTED_VALUE"""),5.0)</f>
        <v>5</v>
      </c>
      <c r="G1755" s="6">
        <f>IFERROR(__xludf.DUMMYFUNCTION("""COMPUTED_VALUE"""),6.0)</f>
        <v>6</v>
      </c>
    </row>
    <row r="1756">
      <c r="A1756" s="6">
        <f>IFERROR(__xludf.DUMMYFUNCTION("""COMPUTED_VALUE"""),2021.0)</f>
        <v>2021</v>
      </c>
      <c r="B1756" s="6" t="str">
        <f>IFERROR(__xludf.DUMMYFUNCTION("""COMPUTED_VALUE"""),"Setembro")</f>
        <v>Setembro</v>
      </c>
      <c r="C1756" s="6" t="str">
        <f>IFERROR(__xludf.DUMMYFUNCTION("""COMPUTED_VALUE"""),"AMEAÇA")</f>
        <v>AMEAÇA</v>
      </c>
      <c r="D1756" s="6">
        <f>IFERROR(__xludf.DUMMYFUNCTION("""COMPUTED_VALUE"""),842.0)</f>
        <v>842</v>
      </c>
      <c r="E1756" s="6">
        <f>IFERROR(__xludf.DUMMYFUNCTION("""COMPUTED_VALUE"""),771.0)</f>
        <v>771</v>
      </c>
      <c r="F1756" s="6">
        <f>IFERROR(__xludf.DUMMYFUNCTION("""COMPUTED_VALUE"""),2884.0)</f>
        <v>2884</v>
      </c>
      <c r="G1756" s="6">
        <f>IFERROR(__xludf.DUMMYFUNCTION("""COMPUTED_VALUE"""),4497.0)</f>
        <v>4497</v>
      </c>
    </row>
    <row r="1757">
      <c r="A1757" s="6">
        <f>IFERROR(__xludf.DUMMYFUNCTION("""COMPUTED_VALUE"""),2021.0)</f>
        <v>2021</v>
      </c>
      <c r="B1757" s="6" t="str">
        <f>IFERROR(__xludf.DUMMYFUNCTION("""COMPUTED_VALUE"""),"Setembro")</f>
        <v>Setembro</v>
      </c>
      <c r="C1757" s="6" t="str">
        <f>IFERROR(__xludf.DUMMYFUNCTION("""COMPUTED_VALUE"""),"INVASÃO DE DOMICÍLIO")</f>
        <v>INVASÃO DE DOMICÍLIO</v>
      </c>
      <c r="D1757" s="6">
        <f>IFERROR(__xludf.DUMMYFUNCTION("""COMPUTED_VALUE"""),1.0)</f>
        <v>1</v>
      </c>
      <c r="E1757" s="6">
        <f>IFERROR(__xludf.DUMMYFUNCTION("""COMPUTED_VALUE"""),1.0)</f>
        <v>1</v>
      </c>
      <c r="F1757" s="6">
        <f>IFERROR(__xludf.DUMMYFUNCTION("""COMPUTED_VALUE"""),11.0)</f>
        <v>11</v>
      </c>
      <c r="G1757" s="6">
        <f>IFERROR(__xludf.DUMMYFUNCTION("""COMPUTED_VALUE"""),13.0)</f>
        <v>13</v>
      </c>
    </row>
    <row r="1758">
      <c r="A1758" s="6">
        <f>IFERROR(__xludf.DUMMYFUNCTION("""COMPUTED_VALUE"""),2021.0)</f>
        <v>2021</v>
      </c>
      <c r="B1758" s="6" t="str">
        <f>IFERROR(__xludf.DUMMYFUNCTION("""COMPUTED_VALUE"""),"Setembro")</f>
        <v>Setembro</v>
      </c>
      <c r="C1758" s="6" t="str">
        <f>IFERROR(__xludf.DUMMYFUNCTION("""COMPUTED_VALUE"""),"DANO")</f>
        <v>DANO</v>
      </c>
      <c r="D1758" s="6">
        <f>IFERROR(__xludf.DUMMYFUNCTION("""COMPUTED_VALUE"""),9.0)</f>
        <v>9</v>
      </c>
      <c r="E1758" s="6">
        <f>IFERROR(__xludf.DUMMYFUNCTION("""COMPUTED_VALUE"""),9.0)</f>
        <v>9</v>
      </c>
      <c r="F1758" s="6">
        <f>IFERROR(__xludf.DUMMYFUNCTION("""COMPUTED_VALUE"""),51.0)</f>
        <v>51</v>
      </c>
      <c r="G1758" s="6">
        <f>IFERROR(__xludf.DUMMYFUNCTION("""COMPUTED_VALUE"""),69.0)</f>
        <v>69</v>
      </c>
    </row>
    <row r="1759">
      <c r="A1759" s="6">
        <f>IFERROR(__xludf.DUMMYFUNCTION("""COMPUTED_VALUE"""),2021.0)</f>
        <v>2021</v>
      </c>
      <c r="B1759" s="6" t="str">
        <f>IFERROR(__xludf.DUMMYFUNCTION("""COMPUTED_VALUE"""),"Setembro")</f>
        <v>Setembro</v>
      </c>
      <c r="C1759" s="6" t="str">
        <f>IFERROR(__xludf.DUMMYFUNCTION("""COMPUTED_VALUE"""),"ESTUPRO CONSUMADO")</f>
        <v>ESTUPRO CONSUMADO</v>
      </c>
      <c r="D1759" s="6">
        <f>IFERROR(__xludf.DUMMYFUNCTION("""COMPUTED_VALUE"""),9.0)</f>
        <v>9</v>
      </c>
      <c r="E1759" s="6">
        <f>IFERROR(__xludf.DUMMYFUNCTION("""COMPUTED_VALUE"""),6.0)</f>
        <v>6</v>
      </c>
      <c r="F1759" s="6">
        <f>IFERROR(__xludf.DUMMYFUNCTION("""COMPUTED_VALUE"""),16.0)</f>
        <v>16</v>
      </c>
      <c r="G1759" s="6">
        <f>IFERROR(__xludf.DUMMYFUNCTION("""COMPUTED_VALUE"""),31.0)</f>
        <v>31</v>
      </c>
    </row>
    <row r="1760">
      <c r="A1760" s="6">
        <f>IFERROR(__xludf.DUMMYFUNCTION("""COMPUTED_VALUE"""),2021.0)</f>
        <v>2021</v>
      </c>
      <c r="B1760" s="6" t="str">
        <f>IFERROR(__xludf.DUMMYFUNCTION("""COMPUTED_VALUE"""),"Setembro")</f>
        <v>Setembro</v>
      </c>
      <c r="C1760" s="6" t="str">
        <f>IFERROR(__xludf.DUMMYFUNCTION("""COMPUTED_VALUE"""),"ESTUPRO TENTADO")</f>
        <v>ESTUPRO TENTADO</v>
      </c>
      <c r="D1760" s="6">
        <f>IFERROR(__xludf.DUMMYFUNCTION("""COMPUTED_VALUE"""),0.0)</f>
        <v>0</v>
      </c>
      <c r="E1760" s="6">
        <f>IFERROR(__xludf.DUMMYFUNCTION("""COMPUTED_VALUE"""),0.0)</f>
        <v>0</v>
      </c>
      <c r="F1760" s="6">
        <f>IFERROR(__xludf.DUMMYFUNCTION("""COMPUTED_VALUE"""),1.0)</f>
        <v>1</v>
      </c>
      <c r="G1760" s="6">
        <f>IFERROR(__xludf.DUMMYFUNCTION("""COMPUTED_VALUE"""),1.0)</f>
        <v>1</v>
      </c>
    </row>
    <row r="1761">
      <c r="A1761" s="6">
        <f>IFERROR(__xludf.DUMMYFUNCTION("""COMPUTED_VALUE"""),2021.0)</f>
        <v>2021</v>
      </c>
      <c r="B1761" s="6" t="str">
        <f>IFERROR(__xludf.DUMMYFUNCTION("""COMPUTED_VALUE"""),"Setembro")</f>
        <v>Setembro</v>
      </c>
      <c r="C1761" s="6" t="str">
        <f>IFERROR(__xludf.DUMMYFUNCTION("""COMPUTED_VALUE"""),"ESTUPRO DE VULNERÁVEL CONSUMADO")</f>
        <v>ESTUPRO DE VULNERÁVEL CONSUMADO</v>
      </c>
      <c r="D1761" s="6">
        <f>IFERROR(__xludf.DUMMYFUNCTION("""COMPUTED_VALUE"""),2.0)</f>
        <v>2</v>
      </c>
      <c r="E1761" s="6">
        <f>IFERROR(__xludf.DUMMYFUNCTION("""COMPUTED_VALUE"""),3.0)</f>
        <v>3</v>
      </c>
      <c r="F1761" s="6">
        <f>IFERROR(__xludf.DUMMYFUNCTION("""COMPUTED_VALUE"""),15.0)</f>
        <v>15</v>
      </c>
      <c r="G1761" s="6">
        <f>IFERROR(__xludf.DUMMYFUNCTION("""COMPUTED_VALUE"""),20.0)</f>
        <v>20</v>
      </c>
    </row>
    <row r="1762">
      <c r="A1762" s="6">
        <f>IFERROR(__xludf.DUMMYFUNCTION("""COMPUTED_VALUE"""),2021.0)</f>
        <v>2021</v>
      </c>
      <c r="B1762" s="6" t="str">
        <f>IFERROR(__xludf.DUMMYFUNCTION("""COMPUTED_VALUE"""),"Setembro")</f>
        <v>Setembro</v>
      </c>
      <c r="C1762" s="6" t="str">
        <f>IFERROR(__xludf.DUMMYFUNCTION("""COMPUTED_VALUE"""),"OUTROS C/C/ DIGNIDADE SEXUAL")</f>
        <v>OUTROS C/C/ DIGNIDADE SEXUAL</v>
      </c>
      <c r="D1762" s="6">
        <f>IFERROR(__xludf.DUMMYFUNCTION("""COMPUTED_VALUE"""),0.0)</f>
        <v>0</v>
      </c>
      <c r="E1762" s="6">
        <f>IFERROR(__xludf.DUMMYFUNCTION("""COMPUTED_VALUE"""),0.0)</f>
        <v>0</v>
      </c>
      <c r="F1762" s="6">
        <f>IFERROR(__xludf.DUMMYFUNCTION("""COMPUTED_VALUE"""),1.0)</f>
        <v>1</v>
      </c>
      <c r="G1762" s="6">
        <f>IFERROR(__xludf.DUMMYFUNCTION("""COMPUTED_VALUE"""),1.0)</f>
        <v>1</v>
      </c>
    </row>
    <row r="1763">
      <c r="A1763" s="6">
        <f>IFERROR(__xludf.DUMMYFUNCTION("""COMPUTED_VALUE"""),2021.0)</f>
        <v>2021</v>
      </c>
      <c r="B1763" s="6" t="str">
        <f>IFERROR(__xludf.DUMMYFUNCTION("""COMPUTED_VALUE"""),"Outubro")</f>
        <v>Outubro</v>
      </c>
      <c r="C1763" s="6" t="str">
        <f>IFERROR(__xludf.DUMMYFUNCTION("""COMPUTED_VALUE"""),"HOMICÍDIO DOLOSO (exclui FEMINICÍDIO)")</f>
        <v>HOMICÍDIO DOLOSO (exclui FEMINICÍDIO)</v>
      </c>
      <c r="D1763" s="6">
        <f>IFERROR(__xludf.DUMMYFUNCTION("""COMPUTED_VALUE"""),2.0)</f>
        <v>2</v>
      </c>
      <c r="E1763" s="6">
        <f>IFERROR(__xludf.DUMMYFUNCTION("""COMPUTED_VALUE"""),1.0)</f>
        <v>1</v>
      </c>
      <c r="F1763" s="6">
        <f>IFERROR(__xludf.DUMMYFUNCTION("""COMPUTED_VALUE"""),3.0)</f>
        <v>3</v>
      </c>
      <c r="G1763" s="6">
        <f>IFERROR(__xludf.DUMMYFUNCTION("""COMPUTED_VALUE"""),6.0)</f>
        <v>6</v>
      </c>
    </row>
    <row r="1764">
      <c r="A1764" s="6">
        <f>IFERROR(__xludf.DUMMYFUNCTION("""COMPUTED_VALUE"""),2021.0)</f>
        <v>2021</v>
      </c>
      <c r="B1764" s="6" t="str">
        <f>IFERROR(__xludf.DUMMYFUNCTION("""COMPUTED_VALUE"""),"Outubro")</f>
        <v>Outubro</v>
      </c>
      <c r="C1764" s="6" t="str">
        <f>IFERROR(__xludf.DUMMYFUNCTION("""COMPUTED_VALUE"""),"FEMINICÍDIO")</f>
        <v>FEMINICÍDIO</v>
      </c>
      <c r="D1764" s="6">
        <f>IFERROR(__xludf.DUMMYFUNCTION("""COMPUTED_VALUE"""),4.0)</f>
        <v>4</v>
      </c>
      <c r="E1764" s="6">
        <f>IFERROR(__xludf.DUMMYFUNCTION("""COMPUTED_VALUE"""),4.0)</f>
        <v>4</v>
      </c>
      <c r="F1764" s="6">
        <f>IFERROR(__xludf.DUMMYFUNCTION("""COMPUTED_VALUE"""),8.0)</f>
        <v>8</v>
      </c>
      <c r="G1764" s="6">
        <f>IFERROR(__xludf.DUMMYFUNCTION("""COMPUTED_VALUE"""),16.0)</f>
        <v>16</v>
      </c>
    </row>
    <row r="1765">
      <c r="A1765" s="6">
        <f>IFERROR(__xludf.DUMMYFUNCTION("""COMPUTED_VALUE"""),2021.0)</f>
        <v>2021</v>
      </c>
      <c r="B1765" s="6" t="str">
        <f>IFERROR(__xludf.DUMMYFUNCTION("""COMPUTED_VALUE"""),"Outubro")</f>
        <v>Outubro</v>
      </c>
      <c r="C1765" s="6" t="str">
        <f>IFERROR(__xludf.DUMMYFUNCTION("""COMPUTED_VALUE"""),"HOMICÍDIO CULPOSO")</f>
        <v>HOMICÍDIO CULPOSO</v>
      </c>
      <c r="D1765" s="6">
        <f>IFERROR(__xludf.DUMMYFUNCTION("""COMPUTED_VALUE"""),0.0)</f>
        <v>0</v>
      </c>
      <c r="E1765" s="6">
        <f>IFERROR(__xludf.DUMMYFUNCTION("""COMPUTED_VALUE"""),0.0)</f>
        <v>0</v>
      </c>
      <c r="F1765" s="6">
        <f>IFERROR(__xludf.DUMMYFUNCTION("""COMPUTED_VALUE"""),0.0)</f>
        <v>0</v>
      </c>
      <c r="G1765" s="6">
        <f>IFERROR(__xludf.DUMMYFUNCTION("""COMPUTED_VALUE"""),0.0)</f>
        <v>0</v>
      </c>
    </row>
    <row r="1766">
      <c r="A1766" s="6">
        <f>IFERROR(__xludf.DUMMYFUNCTION("""COMPUTED_VALUE"""),2021.0)</f>
        <v>2021</v>
      </c>
      <c r="B1766" s="6" t="str">
        <f>IFERROR(__xludf.DUMMYFUNCTION("""COMPUTED_VALUE"""),"Outubro")</f>
        <v>Outubro</v>
      </c>
      <c r="C1766" s="6" t="str">
        <f>IFERROR(__xludf.DUMMYFUNCTION("""COMPUTED_VALUE"""),"TENTATIVA DE HOMICÍDIO")</f>
        <v>TENTATIVA DE HOMICÍDIO</v>
      </c>
      <c r="D1766" s="6">
        <f>IFERROR(__xludf.DUMMYFUNCTION("""COMPUTED_VALUE"""),2.0)</f>
        <v>2</v>
      </c>
      <c r="E1766" s="6">
        <f>IFERROR(__xludf.DUMMYFUNCTION("""COMPUTED_VALUE"""),2.0)</f>
        <v>2</v>
      </c>
      <c r="F1766" s="6">
        <f>IFERROR(__xludf.DUMMYFUNCTION("""COMPUTED_VALUE"""),13.0)</f>
        <v>13</v>
      </c>
      <c r="G1766" s="6">
        <f>IFERROR(__xludf.DUMMYFUNCTION("""COMPUTED_VALUE"""),17.0)</f>
        <v>17</v>
      </c>
    </row>
    <row r="1767">
      <c r="A1767" s="6">
        <f>IFERROR(__xludf.DUMMYFUNCTION("""COMPUTED_VALUE"""),2021.0)</f>
        <v>2021</v>
      </c>
      <c r="B1767" s="6" t="str">
        <f>IFERROR(__xludf.DUMMYFUNCTION("""COMPUTED_VALUE"""),"Outubro")</f>
        <v>Outubro</v>
      </c>
      <c r="C1767" s="6" t="str">
        <f>IFERROR(__xludf.DUMMYFUNCTION("""COMPUTED_VALUE"""),"LESÃO CORPORAL DOLOSA")</f>
        <v>LESÃO CORPORAL DOLOSA</v>
      </c>
      <c r="D1767" s="6">
        <f>IFERROR(__xludf.DUMMYFUNCTION("""COMPUTED_VALUE"""),1014.0)</f>
        <v>1014</v>
      </c>
      <c r="E1767" s="6">
        <f>IFERROR(__xludf.DUMMYFUNCTION("""COMPUTED_VALUE"""),864.0)</f>
        <v>864</v>
      </c>
      <c r="F1767" s="6">
        <f>IFERROR(__xludf.DUMMYFUNCTION("""COMPUTED_VALUE"""),3118.0)</f>
        <v>3118</v>
      </c>
      <c r="G1767" s="6">
        <f>IFERROR(__xludf.DUMMYFUNCTION("""COMPUTED_VALUE"""),4996.0)</f>
        <v>4996</v>
      </c>
    </row>
    <row r="1768">
      <c r="A1768" s="6">
        <f>IFERROR(__xludf.DUMMYFUNCTION("""COMPUTED_VALUE"""),2021.0)</f>
        <v>2021</v>
      </c>
      <c r="B1768" s="6" t="str">
        <f>IFERROR(__xludf.DUMMYFUNCTION("""COMPUTED_VALUE"""),"Outubro")</f>
        <v>Outubro</v>
      </c>
      <c r="C1768" s="6" t="str">
        <f>IFERROR(__xludf.DUMMYFUNCTION("""COMPUTED_VALUE"""),"MAUS TRATOS")</f>
        <v>MAUS TRATOS</v>
      </c>
      <c r="D1768" s="6">
        <f>IFERROR(__xludf.DUMMYFUNCTION("""COMPUTED_VALUE"""),3.0)</f>
        <v>3</v>
      </c>
      <c r="E1768" s="6">
        <f>IFERROR(__xludf.DUMMYFUNCTION("""COMPUTED_VALUE"""),2.0)</f>
        <v>2</v>
      </c>
      <c r="F1768" s="6">
        <f>IFERROR(__xludf.DUMMYFUNCTION("""COMPUTED_VALUE"""),18.0)</f>
        <v>18</v>
      </c>
      <c r="G1768" s="6">
        <f>IFERROR(__xludf.DUMMYFUNCTION("""COMPUTED_VALUE"""),23.0)</f>
        <v>23</v>
      </c>
    </row>
    <row r="1769">
      <c r="A1769" s="6">
        <f>IFERROR(__xludf.DUMMYFUNCTION("""COMPUTED_VALUE"""),2021.0)</f>
        <v>2021</v>
      </c>
      <c r="B1769" s="6" t="str">
        <f>IFERROR(__xludf.DUMMYFUNCTION("""COMPUTED_VALUE"""),"Outubro")</f>
        <v>Outubro</v>
      </c>
      <c r="C1769" s="6" t="str">
        <f>IFERROR(__xludf.DUMMYFUNCTION("""COMPUTED_VALUE"""),"CALÚNIA - DIFAMAÇÃO - INJÚRIA")</f>
        <v>CALÚNIA - DIFAMAÇÃO - INJÚRIA</v>
      </c>
      <c r="D1769" s="6">
        <f>IFERROR(__xludf.DUMMYFUNCTION("""COMPUTED_VALUE"""),198.0)</f>
        <v>198</v>
      </c>
      <c r="E1769" s="6">
        <f>IFERROR(__xludf.DUMMYFUNCTION("""COMPUTED_VALUE"""),168.0)</f>
        <v>168</v>
      </c>
      <c r="F1769" s="6">
        <f>IFERROR(__xludf.DUMMYFUNCTION("""COMPUTED_VALUE"""),724.0)</f>
        <v>724</v>
      </c>
      <c r="G1769" s="6">
        <f>IFERROR(__xludf.DUMMYFUNCTION("""COMPUTED_VALUE"""),1090.0)</f>
        <v>1090</v>
      </c>
    </row>
    <row r="1770">
      <c r="A1770" s="6">
        <f>IFERROR(__xludf.DUMMYFUNCTION("""COMPUTED_VALUE"""),2021.0)</f>
        <v>2021</v>
      </c>
      <c r="B1770" s="6" t="str">
        <f>IFERROR(__xludf.DUMMYFUNCTION("""COMPUTED_VALUE"""),"Outubro")</f>
        <v>Outubro</v>
      </c>
      <c r="C1770" s="6" t="str">
        <f>IFERROR(__xludf.DUMMYFUNCTION("""COMPUTED_VALUE"""),"CONSTRANGIMENTO ILEGAL")</f>
        <v>CONSTRANGIMENTO ILEGAL</v>
      </c>
      <c r="D1770" s="6">
        <f>IFERROR(__xludf.DUMMYFUNCTION("""COMPUTED_VALUE"""),1.0)</f>
        <v>1</v>
      </c>
      <c r="E1770" s="6">
        <f>IFERROR(__xludf.DUMMYFUNCTION("""COMPUTED_VALUE"""),1.0)</f>
        <v>1</v>
      </c>
      <c r="F1770" s="6">
        <f>IFERROR(__xludf.DUMMYFUNCTION("""COMPUTED_VALUE"""),7.0)</f>
        <v>7</v>
      </c>
      <c r="G1770" s="6">
        <f>IFERROR(__xludf.DUMMYFUNCTION("""COMPUTED_VALUE"""),9.0)</f>
        <v>9</v>
      </c>
    </row>
    <row r="1771">
      <c r="A1771" s="6">
        <f>IFERROR(__xludf.DUMMYFUNCTION("""COMPUTED_VALUE"""),2021.0)</f>
        <v>2021</v>
      </c>
      <c r="B1771" s="6" t="str">
        <f>IFERROR(__xludf.DUMMYFUNCTION("""COMPUTED_VALUE"""),"Outubro")</f>
        <v>Outubro</v>
      </c>
      <c r="C1771" s="6" t="str">
        <f>IFERROR(__xludf.DUMMYFUNCTION("""COMPUTED_VALUE"""),"AMEAÇA")</f>
        <v>AMEAÇA</v>
      </c>
      <c r="D1771" s="6">
        <f>IFERROR(__xludf.DUMMYFUNCTION("""COMPUTED_VALUE"""),948.0)</f>
        <v>948</v>
      </c>
      <c r="E1771" s="6">
        <f>IFERROR(__xludf.DUMMYFUNCTION("""COMPUTED_VALUE"""),852.0)</f>
        <v>852</v>
      </c>
      <c r="F1771" s="6">
        <f>IFERROR(__xludf.DUMMYFUNCTION("""COMPUTED_VALUE"""),3214.0)</f>
        <v>3214</v>
      </c>
      <c r="G1771" s="6">
        <f>IFERROR(__xludf.DUMMYFUNCTION("""COMPUTED_VALUE"""),5014.0)</f>
        <v>5014</v>
      </c>
    </row>
    <row r="1772">
      <c r="A1772" s="6">
        <f>IFERROR(__xludf.DUMMYFUNCTION("""COMPUTED_VALUE"""),2021.0)</f>
        <v>2021</v>
      </c>
      <c r="B1772" s="6" t="str">
        <f>IFERROR(__xludf.DUMMYFUNCTION("""COMPUTED_VALUE"""),"Outubro")</f>
        <v>Outubro</v>
      </c>
      <c r="C1772" s="6" t="str">
        <f>IFERROR(__xludf.DUMMYFUNCTION("""COMPUTED_VALUE"""),"INVASÃO DE DOMICÍLIO")</f>
        <v>INVASÃO DE DOMICÍLIO</v>
      </c>
      <c r="D1772" s="6">
        <f>IFERROR(__xludf.DUMMYFUNCTION("""COMPUTED_VALUE"""),1.0)</f>
        <v>1</v>
      </c>
      <c r="E1772" s="6">
        <f>IFERROR(__xludf.DUMMYFUNCTION("""COMPUTED_VALUE"""),2.0)</f>
        <v>2</v>
      </c>
      <c r="F1772" s="6">
        <f>IFERROR(__xludf.DUMMYFUNCTION("""COMPUTED_VALUE"""),13.0)</f>
        <v>13</v>
      </c>
      <c r="G1772" s="6">
        <f>IFERROR(__xludf.DUMMYFUNCTION("""COMPUTED_VALUE"""),16.0)</f>
        <v>16</v>
      </c>
    </row>
    <row r="1773">
      <c r="A1773" s="6">
        <f>IFERROR(__xludf.DUMMYFUNCTION("""COMPUTED_VALUE"""),2021.0)</f>
        <v>2021</v>
      </c>
      <c r="B1773" s="6" t="str">
        <f>IFERROR(__xludf.DUMMYFUNCTION("""COMPUTED_VALUE"""),"Outubro")</f>
        <v>Outubro</v>
      </c>
      <c r="C1773" s="6" t="str">
        <f>IFERROR(__xludf.DUMMYFUNCTION("""COMPUTED_VALUE"""),"DANO")</f>
        <v>DANO</v>
      </c>
      <c r="D1773" s="6">
        <f>IFERROR(__xludf.DUMMYFUNCTION("""COMPUTED_VALUE"""),11.0)</f>
        <v>11</v>
      </c>
      <c r="E1773" s="6">
        <f>IFERROR(__xludf.DUMMYFUNCTION("""COMPUTED_VALUE"""),11.0)</f>
        <v>11</v>
      </c>
      <c r="F1773" s="6">
        <f>IFERROR(__xludf.DUMMYFUNCTION("""COMPUTED_VALUE"""),62.0)</f>
        <v>62</v>
      </c>
      <c r="G1773" s="6">
        <f>IFERROR(__xludf.DUMMYFUNCTION("""COMPUTED_VALUE"""),84.0)</f>
        <v>84</v>
      </c>
    </row>
    <row r="1774">
      <c r="A1774" s="6">
        <f>IFERROR(__xludf.DUMMYFUNCTION("""COMPUTED_VALUE"""),2021.0)</f>
        <v>2021</v>
      </c>
      <c r="B1774" s="6" t="str">
        <f>IFERROR(__xludf.DUMMYFUNCTION("""COMPUTED_VALUE"""),"Outubro")</f>
        <v>Outubro</v>
      </c>
      <c r="C1774" s="6" t="str">
        <f>IFERROR(__xludf.DUMMYFUNCTION("""COMPUTED_VALUE"""),"ESTUPRO CONSUMADO")</f>
        <v>ESTUPRO CONSUMADO</v>
      </c>
      <c r="D1774" s="6">
        <f>IFERROR(__xludf.DUMMYFUNCTION("""COMPUTED_VALUE"""),10.0)</f>
        <v>10</v>
      </c>
      <c r="E1774" s="6">
        <f>IFERROR(__xludf.DUMMYFUNCTION("""COMPUTED_VALUE"""),7.0)</f>
        <v>7</v>
      </c>
      <c r="F1774" s="6">
        <f>IFERROR(__xludf.DUMMYFUNCTION("""COMPUTED_VALUE"""),19.0)</f>
        <v>19</v>
      </c>
      <c r="G1774" s="6">
        <f>IFERROR(__xludf.DUMMYFUNCTION("""COMPUTED_VALUE"""),36.0)</f>
        <v>36</v>
      </c>
    </row>
    <row r="1775">
      <c r="A1775" s="6">
        <f>IFERROR(__xludf.DUMMYFUNCTION("""COMPUTED_VALUE"""),2021.0)</f>
        <v>2021</v>
      </c>
      <c r="B1775" s="6" t="str">
        <f>IFERROR(__xludf.DUMMYFUNCTION("""COMPUTED_VALUE"""),"Outubro")</f>
        <v>Outubro</v>
      </c>
      <c r="C1775" s="6" t="str">
        <f>IFERROR(__xludf.DUMMYFUNCTION("""COMPUTED_VALUE"""),"ESTUPRO TENTADO")</f>
        <v>ESTUPRO TENTADO</v>
      </c>
      <c r="D1775" s="6">
        <f>IFERROR(__xludf.DUMMYFUNCTION("""COMPUTED_VALUE"""),1.0)</f>
        <v>1</v>
      </c>
      <c r="E1775" s="6">
        <f>IFERROR(__xludf.DUMMYFUNCTION("""COMPUTED_VALUE"""),0.0)</f>
        <v>0</v>
      </c>
      <c r="F1775" s="6">
        <f>IFERROR(__xludf.DUMMYFUNCTION("""COMPUTED_VALUE"""),1.0)</f>
        <v>1</v>
      </c>
      <c r="G1775" s="6">
        <f>IFERROR(__xludf.DUMMYFUNCTION("""COMPUTED_VALUE"""),2.0)</f>
        <v>2</v>
      </c>
    </row>
    <row r="1776">
      <c r="A1776" s="6">
        <f>IFERROR(__xludf.DUMMYFUNCTION("""COMPUTED_VALUE"""),2021.0)</f>
        <v>2021</v>
      </c>
      <c r="B1776" s="6" t="str">
        <f>IFERROR(__xludf.DUMMYFUNCTION("""COMPUTED_VALUE"""),"Outubro")</f>
        <v>Outubro</v>
      </c>
      <c r="C1776" s="6" t="str">
        <f>IFERROR(__xludf.DUMMYFUNCTION("""COMPUTED_VALUE"""),"ESTUPRO DE VULNERÁVEL CONSUMADO")</f>
        <v>ESTUPRO DE VULNERÁVEL CONSUMADO</v>
      </c>
      <c r="D1776" s="6">
        <f>IFERROR(__xludf.DUMMYFUNCTION("""COMPUTED_VALUE"""),3.0)</f>
        <v>3</v>
      </c>
      <c r="E1776" s="6">
        <f>IFERROR(__xludf.DUMMYFUNCTION("""COMPUTED_VALUE"""),4.0)</f>
        <v>4</v>
      </c>
      <c r="F1776" s="6">
        <f>IFERROR(__xludf.DUMMYFUNCTION("""COMPUTED_VALUE"""),18.0)</f>
        <v>18</v>
      </c>
      <c r="G1776" s="6">
        <f>IFERROR(__xludf.DUMMYFUNCTION("""COMPUTED_VALUE"""),25.0)</f>
        <v>25</v>
      </c>
    </row>
    <row r="1777">
      <c r="A1777" s="6">
        <f>IFERROR(__xludf.DUMMYFUNCTION("""COMPUTED_VALUE"""),2021.0)</f>
        <v>2021</v>
      </c>
      <c r="B1777" s="6" t="str">
        <f>IFERROR(__xludf.DUMMYFUNCTION("""COMPUTED_VALUE"""),"Outubro")</f>
        <v>Outubro</v>
      </c>
      <c r="C1777" s="6" t="str">
        <f>IFERROR(__xludf.DUMMYFUNCTION("""COMPUTED_VALUE"""),"OUTROS C/C/ DIGNIDADE SEXUAL")</f>
        <v>OUTROS C/C/ DIGNIDADE SEXUAL</v>
      </c>
      <c r="D1777" s="6">
        <f>IFERROR(__xludf.DUMMYFUNCTION("""COMPUTED_VALUE"""),0.0)</f>
        <v>0</v>
      </c>
      <c r="E1777" s="6">
        <f>IFERROR(__xludf.DUMMYFUNCTION("""COMPUTED_VALUE"""),1.0)</f>
        <v>1</v>
      </c>
      <c r="F1777" s="6">
        <f>IFERROR(__xludf.DUMMYFUNCTION("""COMPUTED_VALUE"""),2.0)</f>
        <v>2</v>
      </c>
      <c r="G1777" s="6">
        <f>IFERROR(__xludf.DUMMYFUNCTION("""COMPUTED_VALUE"""),3.0)</f>
        <v>3</v>
      </c>
    </row>
    <row r="1778">
      <c r="A1778" s="6">
        <f>IFERROR(__xludf.DUMMYFUNCTION("""COMPUTED_VALUE"""),2021.0)</f>
        <v>2021</v>
      </c>
      <c r="B1778" s="6" t="str">
        <f>IFERROR(__xludf.DUMMYFUNCTION("""COMPUTED_VALUE"""),"Novembro")</f>
        <v>Novembro</v>
      </c>
      <c r="C1778" s="6" t="str">
        <f>IFERROR(__xludf.DUMMYFUNCTION("""COMPUTED_VALUE"""),"HOMICÍDIO DOLOSO (exclui FEMINICÍDIO)")</f>
        <v>HOMICÍDIO DOLOSO (exclui FEMINICÍDIO)</v>
      </c>
      <c r="D1778" s="6">
        <f>IFERROR(__xludf.DUMMYFUNCTION("""COMPUTED_VALUE"""),1.0)</f>
        <v>1</v>
      </c>
      <c r="E1778" s="6">
        <f>IFERROR(__xludf.DUMMYFUNCTION("""COMPUTED_VALUE"""),0.0)</f>
        <v>0</v>
      </c>
      <c r="F1778" s="6">
        <f>IFERROR(__xludf.DUMMYFUNCTION("""COMPUTED_VALUE"""),2.0)</f>
        <v>2</v>
      </c>
      <c r="G1778" s="6">
        <f>IFERROR(__xludf.DUMMYFUNCTION("""COMPUTED_VALUE"""),3.0)</f>
        <v>3</v>
      </c>
    </row>
    <row r="1779">
      <c r="A1779" s="6">
        <f>IFERROR(__xludf.DUMMYFUNCTION("""COMPUTED_VALUE"""),2021.0)</f>
        <v>2021</v>
      </c>
      <c r="B1779" s="6" t="str">
        <f>IFERROR(__xludf.DUMMYFUNCTION("""COMPUTED_VALUE"""),"Novembro")</f>
        <v>Novembro</v>
      </c>
      <c r="C1779" s="6" t="str">
        <f>IFERROR(__xludf.DUMMYFUNCTION("""COMPUTED_VALUE"""),"FEMINICÍDIO")</f>
        <v>FEMINICÍDIO</v>
      </c>
      <c r="D1779" s="6">
        <f>IFERROR(__xludf.DUMMYFUNCTION("""COMPUTED_VALUE"""),3.0)</f>
        <v>3</v>
      </c>
      <c r="E1779" s="6">
        <f>IFERROR(__xludf.DUMMYFUNCTION("""COMPUTED_VALUE"""),3.0)</f>
        <v>3</v>
      </c>
      <c r="F1779" s="6">
        <f>IFERROR(__xludf.DUMMYFUNCTION("""COMPUTED_VALUE"""),6.0)</f>
        <v>6</v>
      </c>
      <c r="G1779" s="6">
        <f>IFERROR(__xludf.DUMMYFUNCTION("""COMPUTED_VALUE"""),12.0)</f>
        <v>12</v>
      </c>
    </row>
    <row r="1780">
      <c r="A1780" s="6">
        <f>IFERROR(__xludf.DUMMYFUNCTION("""COMPUTED_VALUE"""),2021.0)</f>
        <v>2021</v>
      </c>
      <c r="B1780" s="6" t="str">
        <f>IFERROR(__xludf.DUMMYFUNCTION("""COMPUTED_VALUE"""),"Novembro")</f>
        <v>Novembro</v>
      </c>
      <c r="C1780" s="6" t="str">
        <f>IFERROR(__xludf.DUMMYFUNCTION("""COMPUTED_VALUE"""),"HOMICÍDIO CULPOSO")</f>
        <v>HOMICÍDIO CULPOSO</v>
      </c>
      <c r="D1780" s="6">
        <f>IFERROR(__xludf.DUMMYFUNCTION("""COMPUTED_VALUE"""),0.0)</f>
        <v>0</v>
      </c>
      <c r="E1780" s="6">
        <f>IFERROR(__xludf.DUMMYFUNCTION("""COMPUTED_VALUE"""),0.0)</f>
        <v>0</v>
      </c>
      <c r="F1780" s="6">
        <f>IFERROR(__xludf.DUMMYFUNCTION("""COMPUTED_VALUE"""),0.0)</f>
        <v>0</v>
      </c>
      <c r="G1780" s="6">
        <f>IFERROR(__xludf.DUMMYFUNCTION("""COMPUTED_VALUE"""),0.0)</f>
        <v>0</v>
      </c>
    </row>
    <row r="1781">
      <c r="A1781" s="6">
        <f>IFERROR(__xludf.DUMMYFUNCTION("""COMPUTED_VALUE"""),2021.0)</f>
        <v>2021</v>
      </c>
      <c r="B1781" s="6" t="str">
        <f>IFERROR(__xludf.DUMMYFUNCTION("""COMPUTED_VALUE"""),"Novembro")</f>
        <v>Novembro</v>
      </c>
      <c r="C1781" s="6" t="str">
        <f>IFERROR(__xludf.DUMMYFUNCTION("""COMPUTED_VALUE"""),"TENTATIVA DE HOMICÍDIO")</f>
        <v>TENTATIVA DE HOMICÍDIO</v>
      </c>
      <c r="D1781" s="6">
        <f>IFERROR(__xludf.DUMMYFUNCTION("""COMPUTED_VALUE"""),2.0)</f>
        <v>2</v>
      </c>
      <c r="E1781" s="6">
        <f>IFERROR(__xludf.DUMMYFUNCTION("""COMPUTED_VALUE"""),2.0)</f>
        <v>2</v>
      </c>
      <c r="F1781" s="6">
        <f>IFERROR(__xludf.DUMMYFUNCTION("""COMPUTED_VALUE"""),12.0)</f>
        <v>12</v>
      </c>
      <c r="G1781" s="6">
        <f>IFERROR(__xludf.DUMMYFUNCTION("""COMPUTED_VALUE"""),16.0)</f>
        <v>16</v>
      </c>
    </row>
    <row r="1782">
      <c r="A1782" s="6">
        <f>IFERROR(__xludf.DUMMYFUNCTION("""COMPUTED_VALUE"""),2021.0)</f>
        <v>2021</v>
      </c>
      <c r="B1782" s="6" t="str">
        <f>IFERROR(__xludf.DUMMYFUNCTION("""COMPUTED_VALUE"""),"Novembro")</f>
        <v>Novembro</v>
      </c>
      <c r="C1782" s="6" t="str">
        <f>IFERROR(__xludf.DUMMYFUNCTION("""COMPUTED_VALUE"""),"LESÃO CORPORAL DOLOSA")</f>
        <v>LESÃO CORPORAL DOLOSA</v>
      </c>
      <c r="D1782" s="6">
        <f>IFERROR(__xludf.DUMMYFUNCTION("""COMPUTED_VALUE"""),948.0)</f>
        <v>948</v>
      </c>
      <c r="E1782" s="6">
        <f>IFERROR(__xludf.DUMMYFUNCTION("""COMPUTED_VALUE"""),812.0)</f>
        <v>812</v>
      </c>
      <c r="F1782" s="6">
        <f>IFERROR(__xludf.DUMMYFUNCTION("""COMPUTED_VALUE"""),2914.0)</f>
        <v>2914</v>
      </c>
      <c r="G1782" s="6">
        <f>IFERROR(__xludf.DUMMYFUNCTION("""COMPUTED_VALUE"""),4674.0)</f>
        <v>4674</v>
      </c>
    </row>
    <row r="1783">
      <c r="A1783" s="6">
        <f>IFERROR(__xludf.DUMMYFUNCTION("""COMPUTED_VALUE"""),2021.0)</f>
        <v>2021</v>
      </c>
      <c r="B1783" s="6" t="str">
        <f>IFERROR(__xludf.DUMMYFUNCTION("""COMPUTED_VALUE"""),"Novembro")</f>
        <v>Novembro</v>
      </c>
      <c r="C1783" s="6" t="str">
        <f>IFERROR(__xludf.DUMMYFUNCTION("""COMPUTED_VALUE"""),"MAUS TRATOS")</f>
        <v>MAUS TRATOS</v>
      </c>
      <c r="D1783" s="6">
        <f>IFERROR(__xludf.DUMMYFUNCTION("""COMPUTED_VALUE"""),3.0)</f>
        <v>3</v>
      </c>
      <c r="E1783" s="6">
        <f>IFERROR(__xludf.DUMMYFUNCTION("""COMPUTED_VALUE"""),2.0)</f>
        <v>2</v>
      </c>
      <c r="F1783" s="6">
        <f>IFERROR(__xludf.DUMMYFUNCTION("""COMPUTED_VALUE"""),16.0)</f>
        <v>16</v>
      </c>
      <c r="G1783" s="6">
        <f>IFERROR(__xludf.DUMMYFUNCTION("""COMPUTED_VALUE"""),21.0)</f>
        <v>21</v>
      </c>
    </row>
    <row r="1784">
      <c r="A1784" s="6">
        <f>IFERROR(__xludf.DUMMYFUNCTION("""COMPUTED_VALUE"""),2021.0)</f>
        <v>2021</v>
      </c>
      <c r="B1784" s="6" t="str">
        <f>IFERROR(__xludf.DUMMYFUNCTION("""COMPUTED_VALUE"""),"Novembro")</f>
        <v>Novembro</v>
      </c>
      <c r="C1784" s="6" t="str">
        <f>IFERROR(__xludf.DUMMYFUNCTION("""COMPUTED_VALUE"""),"CALÚNIA - DIFAMAÇÃO - INJÚRIA")</f>
        <v>CALÚNIA - DIFAMAÇÃO - INJÚRIA</v>
      </c>
      <c r="D1784" s="6">
        <f>IFERROR(__xludf.DUMMYFUNCTION("""COMPUTED_VALUE"""),187.0)</f>
        <v>187</v>
      </c>
      <c r="E1784" s="6">
        <f>IFERROR(__xludf.DUMMYFUNCTION("""COMPUTED_VALUE"""),159.0)</f>
        <v>159</v>
      </c>
      <c r="F1784" s="6">
        <f>IFERROR(__xludf.DUMMYFUNCTION("""COMPUTED_VALUE"""),694.0)</f>
        <v>694</v>
      </c>
      <c r="G1784" s="6">
        <f>IFERROR(__xludf.DUMMYFUNCTION("""COMPUTED_VALUE"""),1040.0)</f>
        <v>1040</v>
      </c>
    </row>
    <row r="1785">
      <c r="A1785" s="6">
        <f>IFERROR(__xludf.DUMMYFUNCTION("""COMPUTED_VALUE"""),2021.0)</f>
        <v>2021</v>
      </c>
      <c r="B1785" s="6" t="str">
        <f>IFERROR(__xludf.DUMMYFUNCTION("""COMPUTED_VALUE"""),"Novembro")</f>
        <v>Novembro</v>
      </c>
      <c r="C1785" s="6" t="str">
        <f>IFERROR(__xludf.DUMMYFUNCTION("""COMPUTED_VALUE"""),"CONSTRANGIMENTO ILEGAL")</f>
        <v>CONSTRANGIMENTO ILEGAL</v>
      </c>
      <c r="D1785" s="6">
        <f>IFERROR(__xludf.DUMMYFUNCTION("""COMPUTED_VALUE"""),1.0)</f>
        <v>1</v>
      </c>
      <c r="E1785" s="6">
        <f>IFERROR(__xludf.DUMMYFUNCTION("""COMPUTED_VALUE"""),0.0)</f>
        <v>0</v>
      </c>
      <c r="F1785" s="6">
        <f>IFERROR(__xludf.DUMMYFUNCTION("""COMPUTED_VALUE"""),6.0)</f>
        <v>6</v>
      </c>
      <c r="G1785" s="6">
        <f>IFERROR(__xludf.DUMMYFUNCTION("""COMPUTED_VALUE"""),7.0)</f>
        <v>7</v>
      </c>
    </row>
    <row r="1786">
      <c r="A1786" s="6">
        <f>IFERROR(__xludf.DUMMYFUNCTION("""COMPUTED_VALUE"""),2021.0)</f>
        <v>2021</v>
      </c>
      <c r="B1786" s="6" t="str">
        <f>IFERROR(__xludf.DUMMYFUNCTION("""COMPUTED_VALUE"""),"Novembro")</f>
        <v>Novembro</v>
      </c>
      <c r="C1786" s="6" t="str">
        <f>IFERROR(__xludf.DUMMYFUNCTION("""COMPUTED_VALUE"""),"AMEAÇA")</f>
        <v>AMEAÇA</v>
      </c>
      <c r="D1786" s="6">
        <f>IFERROR(__xludf.DUMMYFUNCTION("""COMPUTED_VALUE"""),872.0)</f>
        <v>872</v>
      </c>
      <c r="E1786" s="6">
        <f>IFERROR(__xludf.DUMMYFUNCTION("""COMPUTED_VALUE"""),804.0)</f>
        <v>804</v>
      </c>
      <c r="F1786" s="6">
        <f>IFERROR(__xludf.DUMMYFUNCTION("""COMPUTED_VALUE"""),2984.0)</f>
        <v>2984</v>
      </c>
      <c r="G1786" s="6">
        <f>IFERROR(__xludf.DUMMYFUNCTION("""COMPUTED_VALUE"""),4660.0)</f>
        <v>4660</v>
      </c>
    </row>
    <row r="1787">
      <c r="A1787" s="6">
        <f>IFERROR(__xludf.DUMMYFUNCTION("""COMPUTED_VALUE"""),2021.0)</f>
        <v>2021</v>
      </c>
      <c r="B1787" s="6" t="str">
        <f>IFERROR(__xludf.DUMMYFUNCTION("""COMPUTED_VALUE"""),"Novembro")</f>
        <v>Novembro</v>
      </c>
      <c r="C1787" s="6" t="str">
        <f>IFERROR(__xludf.DUMMYFUNCTION("""COMPUTED_VALUE"""),"INVASÃO DE DOMICÍLIO")</f>
        <v>INVASÃO DE DOMICÍLIO</v>
      </c>
      <c r="D1787" s="6">
        <f>IFERROR(__xludf.DUMMYFUNCTION("""COMPUTED_VALUE"""),1.0)</f>
        <v>1</v>
      </c>
      <c r="E1787" s="6">
        <f>IFERROR(__xludf.DUMMYFUNCTION("""COMPUTED_VALUE"""),2.0)</f>
        <v>2</v>
      </c>
      <c r="F1787" s="6">
        <f>IFERROR(__xludf.DUMMYFUNCTION("""COMPUTED_VALUE"""),13.0)</f>
        <v>13</v>
      </c>
      <c r="G1787" s="6">
        <f>IFERROR(__xludf.DUMMYFUNCTION("""COMPUTED_VALUE"""),16.0)</f>
        <v>16</v>
      </c>
    </row>
    <row r="1788">
      <c r="A1788" s="6">
        <f>IFERROR(__xludf.DUMMYFUNCTION("""COMPUTED_VALUE"""),2021.0)</f>
        <v>2021</v>
      </c>
      <c r="B1788" s="6" t="str">
        <f>IFERROR(__xludf.DUMMYFUNCTION("""COMPUTED_VALUE"""),"Novembro")</f>
        <v>Novembro</v>
      </c>
      <c r="C1788" s="6" t="str">
        <f>IFERROR(__xludf.DUMMYFUNCTION("""COMPUTED_VALUE"""),"DANO")</f>
        <v>DANO</v>
      </c>
      <c r="D1788" s="6">
        <f>IFERROR(__xludf.DUMMYFUNCTION("""COMPUTED_VALUE"""),11.0)</f>
        <v>11</v>
      </c>
      <c r="E1788" s="6">
        <f>IFERROR(__xludf.DUMMYFUNCTION("""COMPUTED_VALUE"""),10.0)</f>
        <v>10</v>
      </c>
      <c r="F1788" s="6">
        <f>IFERROR(__xludf.DUMMYFUNCTION("""COMPUTED_VALUE"""),54.0)</f>
        <v>54</v>
      </c>
      <c r="G1788" s="6">
        <f>IFERROR(__xludf.DUMMYFUNCTION("""COMPUTED_VALUE"""),75.0)</f>
        <v>75</v>
      </c>
    </row>
    <row r="1789">
      <c r="A1789" s="6">
        <f>IFERROR(__xludf.DUMMYFUNCTION("""COMPUTED_VALUE"""),2021.0)</f>
        <v>2021</v>
      </c>
      <c r="B1789" s="6" t="str">
        <f>IFERROR(__xludf.DUMMYFUNCTION("""COMPUTED_VALUE"""),"Novembro")</f>
        <v>Novembro</v>
      </c>
      <c r="C1789" s="6" t="str">
        <f>IFERROR(__xludf.DUMMYFUNCTION("""COMPUTED_VALUE"""),"ESTUPRO CONSUMADO")</f>
        <v>ESTUPRO CONSUMADO</v>
      </c>
      <c r="D1789" s="6">
        <f>IFERROR(__xludf.DUMMYFUNCTION("""COMPUTED_VALUE"""),10.0)</f>
        <v>10</v>
      </c>
      <c r="E1789" s="6">
        <f>IFERROR(__xludf.DUMMYFUNCTION("""COMPUTED_VALUE"""),7.0)</f>
        <v>7</v>
      </c>
      <c r="F1789" s="6">
        <f>IFERROR(__xludf.DUMMYFUNCTION("""COMPUTED_VALUE"""),17.0)</f>
        <v>17</v>
      </c>
      <c r="G1789" s="6">
        <f>IFERROR(__xludf.DUMMYFUNCTION("""COMPUTED_VALUE"""),34.0)</f>
        <v>34</v>
      </c>
    </row>
    <row r="1790">
      <c r="A1790" s="6">
        <f>IFERROR(__xludf.DUMMYFUNCTION("""COMPUTED_VALUE"""),2021.0)</f>
        <v>2021</v>
      </c>
      <c r="B1790" s="6" t="str">
        <f>IFERROR(__xludf.DUMMYFUNCTION("""COMPUTED_VALUE"""),"Novembro")</f>
        <v>Novembro</v>
      </c>
      <c r="C1790" s="6" t="str">
        <f>IFERROR(__xludf.DUMMYFUNCTION("""COMPUTED_VALUE"""),"ESTUPRO TENTADO")</f>
        <v>ESTUPRO TENTADO</v>
      </c>
      <c r="D1790" s="6">
        <f>IFERROR(__xludf.DUMMYFUNCTION("""COMPUTED_VALUE"""),0.0)</f>
        <v>0</v>
      </c>
      <c r="E1790" s="6">
        <f>IFERROR(__xludf.DUMMYFUNCTION("""COMPUTED_VALUE"""),0.0)</f>
        <v>0</v>
      </c>
      <c r="F1790" s="6">
        <f>IFERROR(__xludf.DUMMYFUNCTION("""COMPUTED_VALUE"""),1.0)</f>
        <v>1</v>
      </c>
      <c r="G1790" s="6">
        <f>IFERROR(__xludf.DUMMYFUNCTION("""COMPUTED_VALUE"""),1.0)</f>
        <v>1</v>
      </c>
    </row>
    <row r="1791">
      <c r="A1791" s="6">
        <f>IFERROR(__xludf.DUMMYFUNCTION("""COMPUTED_VALUE"""),2021.0)</f>
        <v>2021</v>
      </c>
      <c r="B1791" s="6" t="str">
        <f>IFERROR(__xludf.DUMMYFUNCTION("""COMPUTED_VALUE"""),"Novembro")</f>
        <v>Novembro</v>
      </c>
      <c r="C1791" s="6" t="str">
        <f>IFERROR(__xludf.DUMMYFUNCTION("""COMPUTED_VALUE"""),"ESTUPRO DE VULNERÁVEL CONSUMADO")</f>
        <v>ESTUPRO DE VULNERÁVEL CONSUMADO</v>
      </c>
      <c r="D1791" s="6">
        <f>IFERROR(__xludf.DUMMYFUNCTION("""COMPUTED_VALUE"""),3.0)</f>
        <v>3</v>
      </c>
      <c r="E1791" s="6">
        <f>IFERROR(__xludf.DUMMYFUNCTION("""COMPUTED_VALUE"""),4.0)</f>
        <v>4</v>
      </c>
      <c r="F1791" s="6">
        <f>IFERROR(__xludf.DUMMYFUNCTION("""COMPUTED_VALUE"""),17.0)</f>
        <v>17</v>
      </c>
      <c r="G1791" s="6">
        <f>IFERROR(__xludf.DUMMYFUNCTION("""COMPUTED_VALUE"""),24.0)</f>
        <v>24</v>
      </c>
    </row>
    <row r="1792">
      <c r="A1792" s="6">
        <f>IFERROR(__xludf.DUMMYFUNCTION("""COMPUTED_VALUE"""),2021.0)</f>
        <v>2021</v>
      </c>
      <c r="B1792" s="6" t="str">
        <f>IFERROR(__xludf.DUMMYFUNCTION("""COMPUTED_VALUE"""),"Novembro")</f>
        <v>Novembro</v>
      </c>
      <c r="C1792" s="6" t="str">
        <f>IFERROR(__xludf.DUMMYFUNCTION("""COMPUTED_VALUE"""),"OUTROS C/C/ DIGNIDADE SEXUAL")</f>
        <v>OUTROS C/C/ DIGNIDADE SEXUAL</v>
      </c>
      <c r="D1792" s="6">
        <f>IFERROR(__xludf.DUMMYFUNCTION("""COMPUTED_VALUE"""),0.0)</f>
        <v>0</v>
      </c>
      <c r="E1792" s="6">
        <f>IFERROR(__xludf.DUMMYFUNCTION("""COMPUTED_VALUE"""),0.0)</f>
        <v>0</v>
      </c>
      <c r="F1792" s="6">
        <f>IFERROR(__xludf.DUMMYFUNCTION("""COMPUTED_VALUE"""),2.0)</f>
        <v>2</v>
      </c>
      <c r="G1792" s="6">
        <f>IFERROR(__xludf.DUMMYFUNCTION("""COMPUTED_VALUE"""),2.0)</f>
        <v>2</v>
      </c>
    </row>
    <row r="1793">
      <c r="A1793" s="6">
        <f>IFERROR(__xludf.DUMMYFUNCTION("""COMPUTED_VALUE"""),2021.0)</f>
        <v>2021</v>
      </c>
      <c r="B1793" s="6" t="str">
        <f>IFERROR(__xludf.DUMMYFUNCTION("""COMPUTED_VALUE"""),"Dezembro")</f>
        <v>Dezembro</v>
      </c>
      <c r="C1793" s="6" t="str">
        <f>IFERROR(__xludf.DUMMYFUNCTION("""COMPUTED_VALUE"""),"HOMICÍDIO DOLOSO (exclui FEMINICÍDIO)")</f>
        <v>HOMICÍDIO DOLOSO (exclui FEMINICÍDIO)</v>
      </c>
      <c r="D1793" s="6">
        <f>IFERROR(__xludf.DUMMYFUNCTION("""COMPUTED_VALUE"""),1.0)</f>
        <v>1</v>
      </c>
      <c r="E1793" s="6">
        <f>IFERROR(__xludf.DUMMYFUNCTION("""COMPUTED_VALUE"""),0.0)</f>
        <v>0</v>
      </c>
      <c r="F1793" s="6">
        <f>IFERROR(__xludf.DUMMYFUNCTION("""COMPUTED_VALUE"""),2.0)</f>
        <v>2</v>
      </c>
      <c r="G1793" s="6">
        <f>IFERROR(__xludf.DUMMYFUNCTION("""COMPUTED_VALUE"""),3.0)</f>
        <v>3</v>
      </c>
    </row>
    <row r="1794">
      <c r="A1794" s="6">
        <f>IFERROR(__xludf.DUMMYFUNCTION("""COMPUTED_VALUE"""),2021.0)</f>
        <v>2021</v>
      </c>
      <c r="B1794" s="6" t="str">
        <f>IFERROR(__xludf.DUMMYFUNCTION("""COMPUTED_VALUE"""),"Dezembro")</f>
        <v>Dezembro</v>
      </c>
      <c r="C1794" s="6" t="str">
        <f>IFERROR(__xludf.DUMMYFUNCTION("""COMPUTED_VALUE"""),"FEMINICÍDIO")</f>
        <v>FEMINICÍDIO</v>
      </c>
      <c r="D1794" s="6">
        <f>IFERROR(__xludf.DUMMYFUNCTION("""COMPUTED_VALUE"""),4.0)</f>
        <v>4</v>
      </c>
      <c r="E1794" s="6">
        <f>IFERROR(__xludf.DUMMYFUNCTION("""COMPUTED_VALUE"""),4.0)</f>
        <v>4</v>
      </c>
      <c r="F1794" s="6">
        <f>IFERROR(__xludf.DUMMYFUNCTION("""COMPUTED_VALUE"""),8.0)</f>
        <v>8</v>
      </c>
      <c r="G1794" s="6">
        <f>IFERROR(__xludf.DUMMYFUNCTION("""COMPUTED_VALUE"""),16.0)</f>
        <v>16</v>
      </c>
    </row>
    <row r="1795">
      <c r="A1795" s="6">
        <f>IFERROR(__xludf.DUMMYFUNCTION("""COMPUTED_VALUE"""),2021.0)</f>
        <v>2021</v>
      </c>
      <c r="B1795" s="6" t="str">
        <f>IFERROR(__xludf.DUMMYFUNCTION("""COMPUTED_VALUE"""),"Dezembro")</f>
        <v>Dezembro</v>
      </c>
      <c r="C1795" s="6" t="str">
        <f>IFERROR(__xludf.DUMMYFUNCTION("""COMPUTED_VALUE"""),"HOMICÍDIO CULPOSO")</f>
        <v>HOMICÍDIO CULPOSO</v>
      </c>
      <c r="D1795" s="6">
        <f>IFERROR(__xludf.DUMMYFUNCTION("""COMPUTED_VALUE"""),0.0)</f>
        <v>0</v>
      </c>
      <c r="E1795" s="6">
        <f>IFERROR(__xludf.DUMMYFUNCTION("""COMPUTED_VALUE"""),0.0)</f>
        <v>0</v>
      </c>
      <c r="F1795" s="6">
        <f>IFERROR(__xludf.DUMMYFUNCTION("""COMPUTED_VALUE"""),0.0)</f>
        <v>0</v>
      </c>
      <c r="G1795" s="6">
        <f>IFERROR(__xludf.DUMMYFUNCTION("""COMPUTED_VALUE"""),0.0)</f>
        <v>0</v>
      </c>
    </row>
    <row r="1796">
      <c r="A1796" s="6">
        <f>IFERROR(__xludf.DUMMYFUNCTION("""COMPUTED_VALUE"""),2021.0)</f>
        <v>2021</v>
      </c>
      <c r="B1796" s="6" t="str">
        <f>IFERROR(__xludf.DUMMYFUNCTION("""COMPUTED_VALUE"""),"Dezembro")</f>
        <v>Dezembro</v>
      </c>
      <c r="C1796" s="6" t="str">
        <f>IFERROR(__xludf.DUMMYFUNCTION("""COMPUTED_VALUE"""),"TENTATIVA DE HOMICÍDIO")</f>
        <v>TENTATIVA DE HOMICÍDIO</v>
      </c>
      <c r="D1796" s="6">
        <f>IFERROR(__xludf.DUMMYFUNCTION("""COMPUTED_VALUE"""),1.0)</f>
        <v>1</v>
      </c>
      <c r="E1796" s="6">
        <f>IFERROR(__xludf.DUMMYFUNCTION("""COMPUTED_VALUE"""),1.0)</f>
        <v>1</v>
      </c>
      <c r="F1796" s="6">
        <f>IFERROR(__xludf.DUMMYFUNCTION("""COMPUTED_VALUE"""),11.0)</f>
        <v>11</v>
      </c>
      <c r="G1796" s="6">
        <f>IFERROR(__xludf.DUMMYFUNCTION("""COMPUTED_VALUE"""),13.0)</f>
        <v>13</v>
      </c>
    </row>
    <row r="1797">
      <c r="A1797" s="6">
        <f>IFERROR(__xludf.DUMMYFUNCTION("""COMPUTED_VALUE"""),2021.0)</f>
        <v>2021</v>
      </c>
      <c r="B1797" s="6" t="str">
        <f>IFERROR(__xludf.DUMMYFUNCTION("""COMPUTED_VALUE"""),"Dezembro")</f>
        <v>Dezembro</v>
      </c>
      <c r="C1797" s="6" t="str">
        <f>IFERROR(__xludf.DUMMYFUNCTION("""COMPUTED_VALUE"""),"LESÃO CORPORAL DOLOSA")</f>
        <v>LESÃO CORPORAL DOLOSA</v>
      </c>
      <c r="D1797" s="6">
        <f>IFERROR(__xludf.DUMMYFUNCTION("""COMPUTED_VALUE"""),912.0)</f>
        <v>912</v>
      </c>
      <c r="E1797" s="6">
        <f>IFERROR(__xludf.DUMMYFUNCTION("""COMPUTED_VALUE"""),784.0)</f>
        <v>784</v>
      </c>
      <c r="F1797" s="6">
        <f>IFERROR(__xludf.DUMMYFUNCTION("""COMPUTED_VALUE"""),2814.0)</f>
        <v>2814</v>
      </c>
      <c r="G1797" s="6">
        <f>IFERROR(__xludf.DUMMYFUNCTION("""COMPUTED_VALUE"""),4510.0)</f>
        <v>4510</v>
      </c>
    </row>
    <row r="1798">
      <c r="A1798" s="6">
        <f>IFERROR(__xludf.DUMMYFUNCTION("""COMPUTED_VALUE"""),2021.0)</f>
        <v>2021</v>
      </c>
      <c r="B1798" s="6" t="str">
        <f>IFERROR(__xludf.DUMMYFUNCTION("""COMPUTED_VALUE"""),"Dezembro")</f>
        <v>Dezembro</v>
      </c>
      <c r="C1798" s="6" t="str">
        <f>IFERROR(__xludf.DUMMYFUNCTION("""COMPUTED_VALUE"""),"MAUS TRATOS")</f>
        <v>MAUS TRATOS</v>
      </c>
      <c r="D1798" s="6">
        <f>IFERROR(__xludf.DUMMYFUNCTION("""COMPUTED_VALUE"""),2.0)</f>
        <v>2</v>
      </c>
      <c r="E1798" s="6">
        <f>IFERROR(__xludf.DUMMYFUNCTION("""COMPUTED_VALUE"""),2.0)</f>
        <v>2</v>
      </c>
      <c r="F1798" s="6">
        <f>IFERROR(__xludf.DUMMYFUNCTION("""COMPUTED_VALUE"""),14.0)</f>
        <v>14</v>
      </c>
      <c r="G1798" s="6">
        <f>IFERROR(__xludf.DUMMYFUNCTION("""COMPUTED_VALUE"""),18.0)</f>
        <v>18</v>
      </c>
    </row>
    <row r="1799">
      <c r="A1799" s="6">
        <f>IFERROR(__xludf.DUMMYFUNCTION("""COMPUTED_VALUE"""),2021.0)</f>
        <v>2021</v>
      </c>
      <c r="B1799" s="6" t="str">
        <f>IFERROR(__xludf.DUMMYFUNCTION("""COMPUTED_VALUE"""),"Dezembro")</f>
        <v>Dezembro</v>
      </c>
      <c r="C1799" s="6" t="str">
        <f>IFERROR(__xludf.DUMMYFUNCTION("""COMPUTED_VALUE"""),"CALÚNIA - DIFAMAÇÃO - INJÚRIA")</f>
        <v>CALÚNIA - DIFAMAÇÃO - INJÚRIA</v>
      </c>
      <c r="D1799" s="6">
        <f>IFERROR(__xludf.DUMMYFUNCTION("""COMPUTED_VALUE"""),178.0)</f>
        <v>178</v>
      </c>
      <c r="E1799" s="6">
        <f>IFERROR(__xludf.DUMMYFUNCTION("""COMPUTED_VALUE"""),151.0)</f>
        <v>151</v>
      </c>
      <c r="F1799" s="6">
        <f>IFERROR(__xludf.DUMMYFUNCTION("""COMPUTED_VALUE"""),654.0)</f>
        <v>654</v>
      </c>
      <c r="G1799" s="6">
        <f>IFERROR(__xludf.DUMMYFUNCTION("""COMPUTED_VALUE"""),983.0)</f>
        <v>983</v>
      </c>
    </row>
    <row r="1800">
      <c r="A1800" s="6">
        <f>IFERROR(__xludf.DUMMYFUNCTION("""COMPUTED_VALUE"""),2021.0)</f>
        <v>2021</v>
      </c>
      <c r="B1800" s="6" t="str">
        <f>IFERROR(__xludf.DUMMYFUNCTION("""COMPUTED_VALUE"""),"Dezembro")</f>
        <v>Dezembro</v>
      </c>
      <c r="C1800" s="6" t="str">
        <f>IFERROR(__xludf.DUMMYFUNCTION("""COMPUTED_VALUE"""),"CONSTRANGIMENTO ILEGAL")</f>
        <v>CONSTRANGIMENTO ILEGAL</v>
      </c>
      <c r="D1800" s="6">
        <f>IFERROR(__xludf.DUMMYFUNCTION("""COMPUTED_VALUE"""),1.0)</f>
        <v>1</v>
      </c>
      <c r="E1800" s="6">
        <f>IFERROR(__xludf.DUMMYFUNCTION("""COMPUTED_VALUE"""),0.0)</f>
        <v>0</v>
      </c>
      <c r="F1800" s="6">
        <f>IFERROR(__xludf.DUMMYFUNCTION("""COMPUTED_VALUE"""),5.0)</f>
        <v>5</v>
      </c>
      <c r="G1800" s="6">
        <f>IFERROR(__xludf.DUMMYFUNCTION("""COMPUTED_VALUE"""),6.0)</f>
        <v>6</v>
      </c>
    </row>
    <row r="1801">
      <c r="A1801" s="6">
        <f>IFERROR(__xludf.DUMMYFUNCTION("""COMPUTED_VALUE"""),2021.0)</f>
        <v>2021</v>
      </c>
      <c r="B1801" s="6" t="str">
        <f>IFERROR(__xludf.DUMMYFUNCTION("""COMPUTED_VALUE"""),"Dezembro")</f>
        <v>Dezembro</v>
      </c>
      <c r="C1801" s="6" t="str">
        <f>IFERROR(__xludf.DUMMYFUNCTION("""COMPUTED_VALUE"""),"AMEAÇA")</f>
        <v>AMEAÇA</v>
      </c>
      <c r="D1801" s="6">
        <f>IFERROR(__xludf.DUMMYFUNCTION("""COMPUTED_VALUE"""),842.0)</f>
        <v>842</v>
      </c>
      <c r="E1801" s="6">
        <f>IFERROR(__xludf.DUMMYFUNCTION("""COMPUTED_VALUE"""),771.0)</f>
        <v>771</v>
      </c>
      <c r="F1801" s="6">
        <f>IFERROR(__xludf.DUMMYFUNCTION("""COMPUTED_VALUE"""),2884.0)</f>
        <v>2884</v>
      </c>
      <c r="G1801" s="6">
        <f>IFERROR(__xludf.DUMMYFUNCTION("""COMPUTED_VALUE"""),4497.0)</f>
        <v>4497</v>
      </c>
    </row>
    <row r="1802">
      <c r="A1802" s="6">
        <f>IFERROR(__xludf.DUMMYFUNCTION("""COMPUTED_VALUE"""),2021.0)</f>
        <v>2021</v>
      </c>
      <c r="B1802" s="6" t="str">
        <f>IFERROR(__xludf.DUMMYFUNCTION("""COMPUTED_VALUE"""),"Dezembro")</f>
        <v>Dezembro</v>
      </c>
      <c r="C1802" s="6" t="str">
        <f>IFERROR(__xludf.DUMMYFUNCTION("""COMPUTED_VALUE"""),"INVASÃO DE DOMICÍLIO")</f>
        <v>INVASÃO DE DOMICÍLIO</v>
      </c>
      <c r="D1802" s="6">
        <f>IFERROR(__xludf.DUMMYFUNCTION("""COMPUTED_VALUE"""),1.0)</f>
        <v>1</v>
      </c>
      <c r="E1802" s="6">
        <f>IFERROR(__xludf.DUMMYFUNCTION("""COMPUTED_VALUE"""),1.0)</f>
        <v>1</v>
      </c>
      <c r="F1802" s="6">
        <f>IFERROR(__xludf.DUMMYFUNCTION("""COMPUTED_VALUE"""),11.0)</f>
        <v>11</v>
      </c>
      <c r="G1802" s="6">
        <f>IFERROR(__xludf.DUMMYFUNCTION("""COMPUTED_VALUE"""),13.0)</f>
        <v>13</v>
      </c>
    </row>
    <row r="1803">
      <c r="A1803" s="6">
        <f>IFERROR(__xludf.DUMMYFUNCTION("""COMPUTED_VALUE"""),2021.0)</f>
        <v>2021</v>
      </c>
      <c r="B1803" s="6" t="str">
        <f>IFERROR(__xludf.DUMMYFUNCTION("""COMPUTED_VALUE"""),"Dezembro")</f>
        <v>Dezembro</v>
      </c>
      <c r="C1803" s="6" t="str">
        <f>IFERROR(__xludf.DUMMYFUNCTION("""COMPUTED_VALUE"""),"DANO")</f>
        <v>DANO</v>
      </c>
      <c r="D1803" s="6">
        <f>IFERROR(__xludf.DUMMYFUNCTION("""COMPUTED_VALUE"""),9.0)</f>
        <v>9</v>
      </c>
      <c r="E1803" s="6">
        <f>IFERROR(__xludf.DUMMYFUNCTION("""COMPUTED_VALUE"""),9.0)</f>
        <v>9</v>
      </c>
      <c r="F1803" s="6">
        <f>IFERROR(__xludf.DUMMYFUNCTION("""COMPUTED_VALUE"""),51.0)</f>
        <v>51</v>
      </c>
      <c r="G1803" s="6">
        <f>IFERROR(__xludf.DUMMYFUNCTION("""COMPUTED_VALUE"""),69.0)</f>
        <v>69</v>
      </c>
    </row>
    <row r="1804">
      <c r="A1804" s="6">
        <f>IFERROR(__xludf.DUMMYFUNCTION("""COMPUTED_VALUE"""),2021.0)</f>
        <v>2021</v>
      </c>
      <c r="B1804" s="6" t="str">
        <f>IFERROR(__xludf.DUMMYFUNCTION("""COMPUTED_VALUE"""),"Dezembro")</f>
        <v>Dezembro</v>
      </c>
      <c r="C1804" s="6" t="str">
        <f>IFERROR(__xludf.DUMMYFUNCTION("""COMPUTED_VALUE"""),"ESTUPRO CONSUMADO")</f>
        <v>ESTUPRO CONSUMADO</v>
      </c>
      <c r="D1804" s="6">
        <f>IFERROR(__xludf.DUMMYFUNCTION("""COMPUTED_VALUE"""),9.0)</f>
        <v>9</v>
      </c>
      <c r="E1804" s="6">
        <f>IFERROR(__xludf.DUMMYFUNCTION("""COMPUTED_VALUE"""),6.0)</f>
        <v>6</v>
      </c>
      <c r="F1804" s="6">
        <f>IFERROR(__xludf.DUMMYFUNCTION("""COMPUTED_VALUE"""),16.0)</f>
        <v>16</v>
      </c>
      <c r="G1804" s="6">
        <f>IFERROR(__xludf.DUMMYFUNCTION("""COMPUTED_VALUE"""),31.0)</f>
        <v>31</v>
      </c>
    </row>
    <row r="1805">
      <c r="A1805" s="6">
        <f>IFERROR(__xludf.DUMMYFUNCTION("""COMPUTED_VALUE"""),2021.0)</f>
        <v>2021</v>
      </c>
      <c r="B1805" s="6" t="str">
        <f>IFERROR(__xludf.DUMMYFUNCTION("""COMPUTED_VALUE"""),"Dezembro")</f>
        <v>Dezembro</v>
      </c>
      <c r="C1805" s="6" t="str">
        <f>IFERROR(__xludf.DUMMYFUNCTION("""COMPUTED_VALUE"""),"ESTUPRO TENTADO")</f>
        <v>ESTUPRO TENTADO</v>
      </c>
      <c r="D1805" s="6">
        <f>IFERROR(__xludf.DUMMYFUNCTION("""COMPUTED_VALUE"""),0.0)</f>
        <v>0</v>
      </c>
      <c r="E1805" s="6">
        <f>IFERROR(__xludf.DUMMYFUNCTION("""COMPUTED_VALUE"""),0.0)</f>
        <v>0</v>
      </c>
      <c r="F1805" s="6">
        <f>IFERROR(__xludf.DUMMYFUNCTION("""COMPUTED_VALUE"""),1.0)</f>
        <v>1</v>
      </c>
      <c r="G1805" s="6">
        <f>IFERROR(__xludf.DUMMYFUNCTION("""COMPUTED_VALUE"""),1.0)</f>
        <v>1</v>
      </c>
    </row>
    <row r="1806">
      <c r="A1806" s="6">
        <f>IFERROR(__xludf.DUMMYFUNCTION("""COMPUTED_VALUE"""),2021.0)</f>
        <v>2021</v>
      </c>
      <c r="B1806" s="6" t="str">
        <f>IFERROR(__xludf.DUMMYFUNCTION("""COMPUTED_VALUE"""),"Dezembro")</f>
        <v>Dezembro</v>
      </c>
      <c r="C1806" s="6" t="str">
        <f>IFERROR(__xludf.DUMMYFUNCTION("""COMPUTED_VALUE"""),"ESTUPRO DE VULNERÁVEL CONSUMADO")</f>
        <v>ESTUPRO DE VULNERÁVEL CONSUMADO</v>
      </c>
      <c r="D1806" s="6">
        <f>IFERROR(__xludf.DUMMYFUNCTION("""COMPUTED_VALUE"""),2.0)</f>
        <v>2</v>
      </c>
      <c r="E1806" s="6">
        <f>IFERROR(__xludf.DUMMYFUNCTION("""COMPUTED_VALUE"""),3.0)</f>
        <v>3</v>
      </c>
      <c r="F1806" s="6">
        <f>IFERROR(__xludf.DUMMYFUNCTION("""COMPUTED_VALUE"""),15.0)</f>
        <v>15</v>
      </c>
      <c r="G1806" s="6">
        <f>IFERROR(__xludf.DUMMYFUNCTION("""COMPUTED_VALUE"""),20.0)</f>
        <v>20</v>
      </c>
    </row>
    <row r="1807">
      <c r="A1807" s="6">
        <f>IFERROR(__xludf.DUMMYFUNCTION("""COMPUTED_VALUE"""),2021.0)</f>
        <v>2021</v>
      </c>
      <c r="B1807" s="6" t="str">
        <f>IFERROR(__xludf.DUMMYFUNCTION("""COMPUTED_VALUE"""),"Dezembro")</f>
        <v>Dezembro</v>
      </c>
      <c r="C1807" s="6" t="str">
        <f>IFERROR(__xludf.DUMMYFUNCTION("""COMPUTED_VALUE"""),"OUTROS C/C/ DIGNIDADE SEXUAL")</f>
        <v>OUTROS C/C/ DIGNIDADE SEXUAL</v>
      </c>
      <c r="D1807" s="6">
        <f>IFERROR(__xludf.DUMMYFUNCTION("""COMPUTED_VALUE"""),0.0)</f>
        <v>0</v>
      </c>
      <c r="E1807" s="6">
        <f>IFERROR(__xludf.DUMMYFUNCTION("""COMPUTED_VALUE"""),0.0)</f>
        <v>0</v>
      </c>
      <c r="F1807" s="6">
        <f>IFERROR(__xludf.DUMMYFUNCTION("""COMPUTED_VALUE"""),1.0)</f>
        <v>1</v>
      </c>
      <c r="G1807" s="6">
        <f>IFERROR(__xludf.DUMMYFUNCTION("""COMPUTED_VALUE"""),1.0)</f>
        <v>1</v>
      </c>
    </row>
    <row r="1808">
      <c r="A1808" s="6">
        <f>IFERROR(__xludf.DUMMYFUNCTION("""COMPUTED_VALUE"""),2022.0)</f>
        <v>2022</v>
      </c>
      <c r="B1808" s="6" t="str">
        <f>IFERROR(__xludf.DUMMYFUNCTION("""COMPUTED_VALUE"""),"Janeiro")</f>
        <v>Janeiro</v>
      </c>
      <c r="C1808" s="6" t="str">
        <f>IFERROR(__xludf.DUMMYFUNCTION("""COMPUTED_VALUE"""),"HOMICÍDIO DOLOSO (exclui FEMINICÍDIO)")</f>
        <v>HOMICÍDIO DOLOSO (exclui FEMINICÍDIO)</v>
      </c>
      <c r="D1808" s="6">
        <f>IFERROR(__xludf.DUMMYFUNCTION("""COMPUTED_VALUE"""),1.0)</f>
        <v>1</v>
      </c>
      <c r="E1808" s="6">
        <f>IFERROR(__xludf.DUMMYFUNCTION("""COMPUTED_VALUE"""),0.0)</f>
        <v>0</v>
      </c>
      <c r="F1808" s="6">
        <f>IFERROR(__xludf.DUMMYFUNCTION("""COMPUTED_VALUE"""),2.0)</f>
        <v>2</v>
      </c>
      <c r="G1808" s="6">
        <f>IFERROR(__xludf.DUMMYFUNCTION("""COMPUTED_VALUE"""),3.0)</f>
        <v>3</v>
      </c>
    </row>
    <row r="1809">
      <c r="A1809" s="6">
        <f>IFERROR(__xludf.DUMMYFUNCTION("""COMPUTED_VALUE"""),2022.0)</f>
        <v>2022</v>
      </c>
      <c r="B1809" s="6" t="str">
        <f>IFERROR(__xludf.DUMMYFUNCTION("""COMPUTED_VALUE"""),"Janeiro")</f>
        <v>Janeiro</v>
      </c>
      <c r="C1809" s="6" t="str">
        <f>IFERROR(__xludf.DUMMYFUNCTION("""COMPUTED_VALUE"""),"FEMINICÍDIO")</f>
        <v>FEMINICÍDIO</v>
      </c>
      <c r="D1809" s="6">
        <f>IFERROR(__xludf.DUMMYFUNCTION("""COMPUTED_VALUE"""),4.0)</f>
        <v>4</v>
      </c>
      <c r="E1809" s="6">
        <f>IFERROR(__xludf.DUMMYFUNCTION("""COMPUTED_VALUE"""),4.0)</f>
        <v>4</v>
      </c>
      <c r="F1809" s="6">
        <f>IFERROR(__xludf.DUMMYFUNCTION("""COMPUTED_VALUE"""),8.0)</f>
        <v>8</v>
      </c>
      <c r="G1809" s="6">
        <f>IFERROR(__xludf.DUMMYFUNCTION("""COMPUTED_VALUE"""),16.0)</f>
        <v>16</v>
      </c>
    </row>
    <row r="1810">
      <c r="A1810" s="6">
        <f>IFERROR(__xludf.DUMMYFUNCTION("""COMPUTED_VALUE"""),2022.0)</f>
        <v>2022</v>
      </c>
      <c r="B1810" s="6" t="str">
        <f>IFERROR(__xludf.DUMMYFUNCTION("""COMPUTED_VALUE"""),"Janeiro")</f>
        <v>Janeiro</v>
      </c>
      <c r="C1810" s="6" t="str">
        <f>IFERROR(__xludf.DUMMYFUNCTION("""COMPUTED_VALUE"""),"HOMICÍDIO CULPOSO")</f>
        <v>HOMICÍDIO CULPOSO</v>
      </c>
      <c r="D1810" s="6">
        <f>IFERROR(__xludf.DUMMYFUNCTION("""COMPUTED_VALUE"""),0.0)</f>
        <v>0</v>
      </c>
      <c r="E1810" s="6">
        <f>IFERROR(__xludf.DUMMYFUNCTION("""COMPUTED_VALUE"""),0.0)</f>
        <v>0</v>
      </c>
      <c r="F1810" s="6">
        <f>IFERROR(__xludf.DUMMYFUNCTION("""COMPUTED_VALUE"""),0.0)</f>
        <v>0</v>
      </c>
      <c r="G1810" s="6">
        <f>IFERROR(__xludf.DUMMYFUNCTION("""COMPUTED_VALUE"""),0.0)</f>
        <v>0</v>
      </c>
    </row>
    <row r="1811">
      <c r="A1811" s="6">
        <f>IFERROR(__xludf.DUMMYFUNCTION("""COMPUTED_VALUE"""),2022.0)</f>
        <v>2022</v>
      </c>
      <c r="B1811" s="6" t="str">
        <f>IFERROR(__xludf.DUMMYFUNCTION("""COMPUTED_VALUE"""),"Janeiro")</f>
        <v>Janeiro</v>
      </c>
      <c r="C1811" s="6" t="str">
        <f>IFERROR(__xludf.DUMMYFUNCTION("""COMPUTED_VALUE"""),"TENTATIVA DE HOMICÍDIO")</f>
        <v>TENTATIVA DE HOMICÍDIO</v>
      </c>
      <c r="D1811" s="6">
        <f>IFERROR(__xludf.DUMMYFUNCTION("""COMPUTED_VALUE"""),2.0)</f>
        <v>2</v>
      </c>
      <c r="E1811" s="6">
        <f>IFERROR(__xludf.DUMMYFUNCTION("""COMPUTED_VALUE"""),2.0)</f>
        <v>2</v>
      </c>
      <c r="F1811" s="6">
        <f>IFERROR(__xludf.DUMMYFUNCTION("""COMPUTED_VALUE"""),12.0)</f>
        <v>12</v>
      </c>
      <c r="G1811" s="6">
        <f>IFERROR(__xludf.DUMMYFUNCTION("""COMPUTED_VALUE"""),16.0)</f>
        <v>16</v>
      </c>
    </row>
    <row r="1812">
      <c r="A1812" s="6">
        <f>IFERROR(__xludf.DUMMYFUNCTION("""COMPUTED_VALUE"""),2022.0)</f>
        <v>2022</v>
      </c>
      <c r="B1812" s="6" t="str">
        <f>IFERROR(__xludf.DUMMYFUNCTION("""COMPUTED_VALUE"""),"Janeiro")</f>
        <v>Janeiro</v>
      </c>
      <c r="C1812" s="6" t="str">
        <f>IFERROR(__xludf.DUMMYFUNCTION("""COMPUTED_VALUE"""),"LESÃO CORPORAL DOLOSA")</f>
        <v>LESÃO CORPORAL DOLOSA</v>
      </c>
      <c r="D1812" s="6">
        <f>IFERROR(__xludf.DUMMYFUNCTION("""COMPUTED_VALUE"""),948.0)</f>
        <v>948</v>
      </c>
      <c r="E1812" s="6">
        <f>IFERROR(__xludf.DUMMYFUNCTION("""COMPUTED_VALUE"""),812.0)</f>
        <v>812</v>
      </c>
      <c r="F1812" s="6">
        <f>IFERROR(__xludf.DUMMYFUNCTION("""COMPUTED_VALUE"""),2914.0)</f>
        <v>2914</v>
      </c>
      <c r="G1812" s="6">
        <f>IFERROR(__xludf.DUMMYFUNCTION("""COMPUTED_VALUE"""),4674.0)</f>
        <v>4674</v>
      </c>
    </row>
    <row r="1813">
      <c r="A1813" s="6">
        <f>IFERROR(__xludf.DUMMYFUNCTION("""COMPUTED_VALUE"""),2022.0)</f>
        <v>2022</v>
      </c>
      <c r="B1813" s="6" t="str">
        <f>IFERROR(__xludf.DUMMYFUNCTION("""COMPUTED_VALUE"""),"Janeiro")</f>
        <v>Janeiro</v>
      </c>
      <c r="C1813" s="6" t="str">
        <f>IFERROR(__xludf.DUMMYFUNCTION("""COMPUTED_VALUE"""),"MAUS TRATOS")</f>
        <v>MAUS TRATOS</v>
      </c>
      <c r="D1813" s="6">
        <f>IFERROR(__xludf.DUMMYFUNCTION("""COMPUTED_VALUE"""),3.0)</f>
        <v>3</v>
      </c>
      <c r="E1813" s="6">
        <f>IFERROR(__xludf.DUMMYFUNCTION("""COMPUTED_VALUE"""),2.0)</f>
        <v>2</v>
      </c>
      <c r="F1813" s="6">
        <f>IFERROR(__xludf.DUMMYFUNCTION("""COMPUTED_VALUE"""),16.0)</f>
        <v>16</v>
      </c>
      <c r="G1813" s="6">
        <f>IFERROR(__xludf.DUMMYFUNCTION("""COMPUTED_VALUE"""),21.0)</f>
        <v>21</v>
      </c>
    </row>
    <row r="1814">
      <c r="A1814" s="6">
        <f>IFERROR(__xludf.DUMMYFUNCTION("""COMPUTED_VALUE"""),2022.0)</f>
        <v>2022</v>
      </c>
      <c r="B1814" s="6" t="str">
        <f>IFERROR(__xludf.DUMMYFUNCTION("""COMPUTED_VALUE"""),"Janeiro")</f>
        <v>Janeiro</v>
      </c>
      <c r="C1814" s="6" t="str">
        <f>IFERROR(__xludf.DUMMYFUNCTION("""COMPUTED_VALUE"""),"CALÚNIA - DIFAMAÇÃO - INJÚRIA")</f>
        <v>CALÚNIA - DIFAMAÇÃO - INJÚRIA</v>
      </c>
      <c r="D1814" s="6">
        <f>IFERROR(__xludf.DUMMYFUNCTION("""COMPUTED_VALUE"""),187.0)</f>
        <v>187</v>
      </c>
      <c r="E1814" s="6">
        <f>IFERROR(__xludf.DUMMYFUNCTION("""COMPUTED_VALUE"""),159.0)</f>
        <v>159</v>
      </c>
      <c r="F1814" s="6">
        <f>IFERROR(__xludf.DUMMYFUNCTION("""COMPUTED_VALUE"""),694.0)</f>
        <v>694</v>
      </c>
      <c r="G1814" s="6">
        <f>IFERROR(__xludf.DUMMYFUNCTION("""COMPUTED_VALUE"""),1040.0)</f>
        <v>1040</v>
      </c>
    </row>
    <row r="1815">
      <c r="A1815" s="6">
        <f>IFERROR(__xludf.DUMMYFUNCTION("""COMPUTED_VALUE"""),2022.0)</f>
        <v>2022</v>
      </c>
      <c r="B1815" s="6" t="str">
        <f>IFERROR(__xludf.DUMMYFUNCTION("""COMPUTED_VALUE"""),"Janeiro")</f>
        <v>Janeiro</v>
      </c>
      <c r="C1815" s="6" t="str">
        <f>IFERROR(__xludf.DUMMYFUNCTION("""COMPUTED_VALUE"""),"CONSTRANGIMENTO ILEGAL")</f>
        <v>CONSTRANGIMENTO ILEGAL</v>
      </c>
      <c r="D1815" s="6">
        <f>IFERROR(__xludf.DUMMYFUNCTION("""COMPUTED_VALUE"""),1.0)</f>
        <v>1</v>
      </c>
      <c r="E1815" s="6">
        <f>IFERROR(__xludf.DUMMYFUNCTION("""COMPUTED_VALUE"""),0.0)</f>
        <v>0</v>
      </c>
      <c r="F1815" s="6">
        <f>IFERROR(__xludf.DUMMYFUNCTION("""COMPUTED_VALUE"""),6.0)</f>
        <v>6</v>
      </c>
      <c r="G1815" s="6">
        <f>IFERROR(__xludf.DUMMYFUNCTION("""COMPUTED_VALUE"""),7.0)</f>
        <v>7</v>
      </c>
    </row>
    <row r="1816">
      <c r="A1816" s="6">
        <f>IFERROR(__xludf.DUMMYFUNCTION("""COMPUTED_VALUE"""),2022.0)</f>
        <v>2022</v>
      </c>
      <c r="B1816" s="6" t="str">
        <f>IFERROR(__xludf.DUMMYFUNCTION("""COMPUTED_VALUE"""),"Janeiro")</f>
        <v>Janeiro</v>
      </c>
      <c r="C1816" s="6" t="str">
        <f>IFERROR(__xludf.DUMMYFUNCTION("""COMPUTED_VALUE"""),"AMEAÇA")</f>
        <v>AMEAÇA</v>
      </c>
      <c r="D1816" s="6">
        <f>IFERROR(__xludf.DUMMYFUNCTION("""COMPUTED_VALUE"""),872.0)</f>
        <v>872</v>
      </c>
      <c r="E1816" s="6">
        <f>IFERROR(__xludf.DUMMYFUNCTION("""COMPUTED_VALUE"""),804.0)</f>
        <v>804</v>
      </c>
      <c r="F1816" s="6">
        <f>IFERROR(__xludf.DUMMYFUNCTION("""COMPUTED_VALUE"""),2984.0)</f>
        <v>2984</v>
      </c>
      <c r="G1816" s="6">
        <f>IFERROR(__xludf.DUMMYFUNCTION("""COMPUTED_VALUE"""),4660.0)</f>
        <v>4660</v>
      </c>
    </row>
    <row r="1817">
      <c r="A1817" s="6">
        <f>IFERROR(__xludf.DUMMYFUNCTION("""COMPUTED_VALUE"""),2022.0)</f>
        <v>2022</v>
      </c>
      <c r="B1817" s="6" t="str">
        <f>IFERROR(__xludf.DUMMYFUNCTION("""COMPUTED_VALUE"""),"Janeiro")</f>
        <v>Janeiro</v>
      </c>
      <c r="C1817" s="6" t="str">
        <f>IFERROR(__xludf.DUMMYFUNCTION("""COMPUTED_VALUE"""),"INVASÃO DE DOMICÍLIO")</f>
        <v>INVASÃO DE DOMICÍLIO</v>
      </c>
      <c r="D1817" s="6">
        <f>IFERROR(__xludf.DUMMYFUNCTION("""COMPUTED_VALUE"""),1.0)</f>
        <v>1</v>
      </c>
      <c r="E1817" s="6">
        <f>IFERROR(__xludf.DUMMYFUNCTION("""COMPUTED_VALUE"""),2.0)</f>
        <v>2</v>
      </c>
      <c r="F1817" s="6">
        <f>IFERROR(__xludf.DUMMYFUNCTION("""COMPUTED_VALUE"""),13.0)</f>
        <v>13</v>
      </c>
      <c r="G1817" s="6">
        <f>IFERROR(__xludf.DUMMYFUNCTION("""COMPUTED_VALUE"""),16.0)</f>
        <v>16</v>
      </c>
    </row>
    <row r="1818">
      <c r="A1818" s="6">
        <f>IFERROR(__xludf.DUMMYFUNCTION("""COMPUTED_VALUE"""),2022.0)</f>
        <v>2022</v>
      </c>
      <c r="B1818" s="6" t="str">
        <f>IFERROR(__xludf.DUMMYFUNCTION("""COMPUTED_VALUE"""),"Janeiro")</f>
        <v>Janeiro</v>
      </c>
      <c r="C1818" s="6" t="str">
        <f>IFERROR(__xludf.DUMMYFUNCTION("""COMPUTED_VALUE"""),"DANO")</f>
        <v>DANO</v>
      </c>
      <c r="D1818" s="6">
        <f>IFERROR(__xludf.DUMMYFUNCTION("""COMPUTED_VALUE"""),11.0)</f>
        <v>11</v>
      </c>
      <c r="E1818" s="6">
        <f>IFERROR(__xludf.DUMMYFUNCTION("""COMPUTED_VALUE"""),10.0)</f>
        <v>10</v>
      </c>
      <c r="F1818" s="6">
        <f>IFERROR(__xludf.DUMMYFUNCTION("""COMPUTED_VALUE"""),54.0)</f>
        <v>54</v>
      </c>
      <c r="G1818" s="6">
        <f>IFERROR(__xludf.DUMMYFUNCTION("""COMPUTED_VALUE"""),75.0)</f>
        <v>75</v>
      </c>
    </row>
    <row r="1819">
      <c r="A1819" s="6">
        <f>IFERROR(__xludf.DUMMYFUNCTION("""COMPUTED_VALUE"""),2022.0)</f>
        <v>2022</v>
      </c>
      <c r="B1819" s="6" t="str">
        <f>IFERROR(__xludf.DUMMYFUNCTION("""COMPUTED_VALUE"""),"Janeiro")</f>
        <v>Janeiro</v>
      </c>
      <c r="C1819" s="6" t="str">
        <f>IFERROR(__xludf.DUMMYFUNCTION("""COMPUTED_VALUE"""),"ESTUPRO CONSUMADO")</f>
        <v>ESTUPRO CONSUMADO</v>
      </c>
      <c r="D1819" s="6">
        <f>IFERROR(__xludf.DUMMYFUNCTION("""COMPUTED_VALUE"""),10.0)</f>
        <v>10</v>
      </c>
      <c r="E1819" s="6">
        <f>IFERROR(__xludf.DUMMYFUNCTION("""COMPUTED_VALUE"""),7.0)</f>
        <v>7</v>
      </c>
      <c r="F1819" s="6">
        <f>IFERROR(__xludf.DUMMYFUNCTION("""COMPUTED_VALUE"""),17.0)</f>
        <v>17</v>
      </c>
      <c r="G1819" s="6">
        <f>IFERROR(__xludf.DUMMYFUNCTION("""COMPUTED_VALUE"""),34.0)</f>
        <v>34</v>
      </c>
    </row>
    <row r="1820">
      <c r="A1820" s="6">
        <f>IFERROR(__xludf.DUMMYFUNCTION("""COMPUTED_VALUE"""),2022.0)</f>
        <v>2022</v>
      </c>
      <c r="B1820" s="6" t="str">
        <f>IFERROR(__xludf.DUMMYFUNCTION("""COMPUTED_VALUE"""),"Janeiro")</f>
        <v>Janeiro</v>
      </c>
      <c r="C1820" s="6" t="str">
        <f>IFERROR(__xludf.DUMMYFUNCTION("""COMPUTED_VALUE"""),"ESTUPRO TENTADO")</f>
        <v>ESTUPRO TENTADO</v>
      </c>
      <c r="D1820" s="6">
        <f>IFERROR(__xludf.DUMMYFUNCTION("""COMPUTED_VALUE"""),0.0)</f>
        <v>0</v>
      </c>
      <c r="E1820" s="6">
        <f>IFERROR(__xludf.DUMMYFUNCTION("""COMPUTED_VALUE"""),0.0)</f>
        <v>0</v>
      </c>
      <c r="F1820" s="6">
        <f>IFERROR(__xludf.DUMMYFUNCTION("""COMPUTED_VALUE"""),1.0)</f>
        <v>1</v>
      </c>
      <c r="G1820" s="6">
        <f>IFERROR(__xludf.DUMMYFUNCTION("""COMPUTED_VALUE"""),1.0)</f>
        <v>1</v>
      </c>
    </row>
    <row r="1821">
      <c r="A1821" s="6">
        <f>IFERROR(__xludf.DUMMYFUNCTION("""COMPUTED_VALUE"""),2022.0)</f>
        <v>2022</v>
      </c>
      <c r="B1821" s="6" t="str">
        <f>IFERROR(__xludf.DUMMYFUNCTION("""COMPUTED_VALUE"""),"Janeiro")</f>
        <v>Janeiro</v>
      </c>
      <c r="C1821" s="6" t="str">
        <f>IFERROR(__xludf.DUMMYFUNCTION("""COMPUTED_VALUE"""),"ESTUPRO DE VULNERÁVEL CONSUMADO")</f>
        <v>ESTUPRO DE VULNERÁVEL CONSUMADO</v>
      </c>
      <c r="D1821" s="6">
        <f>IFERROR(__xludf.DUMMYFUNCTION("""COMPUTED_VALUE"""),3.0)</f>
        <v>3</v>
      </c>
      <c r="E1821" s="6">
        <f>IFERROR(__xludf.DUMMYFUNCTION("""COMPUTED_VALUE"""),4.0)</f>
        <v>4</v>
      </c>
      <c r="F1821" s="6">
        <f>IFERROR(__xludf.DUMMYFUNCTION("""COMPUTED_VALUE"""),17.0)</f>
        <v>17</v>
      </c>
      <c r="G1821" s="6">
        <f>IFERROR(__xludf.DUMMYFUNCTION("""COMPUTED_VALUE"""),24.0)</f>
        <v>24</v>
      </c>
    </row>
    <row r="1822">
      <c r="A1822" s="6">
        <f>IFERROR(__xludf.DUMMYFUNCTION("""COMPUTED_VALUE"""),2022.0)</f>
        <v>2022</v>
      </c>
      <c r="B1822" s="6" t="str">
        <f>IFERROR(__xludf.DUMMYFUNCTION("""COMPUTED_VALUE"""),"Janeiro")</f>
        <v>Janeiro</v>
      </c>
      <c r="C1822" s="6" t="str">
        <f>IFERROR(__xludf.DUMMYFUNCTION("""COMPUTED_VALUE"""),"OUTROS C/C/ DIGNIDADE SEXUAL")</f>
        <v>OUTROS C/C/ DIGNIDADE SEXUAL</v>
      </c>
      <c r="D1822" s="6">
        <f>IFERROR(__xludf.DUMMYFUNCTION("""COMPUTED_VALUE"""),0.0)</f>
        <v>0</v>
      </c>
      <c r="E1822" s="6">
        <f>IFERROR(__xludf.DUMMYFUNCTION("""COMPUTED_VALUE"""),0.0)</f>
        <v>0</v>
      </c>
      <c r="F1822" s="6">
        <f>IFERROR(__xludf.DUMMYFUNCTION("""COMPUTED_VALUE"""),2.0)</f>
        <v>2</v>
      </c>
      <c r="G1822" s="6">
        <f>IFERROR(__xludf.DUMMYFUNCTION("""COMPUTED_VALUE"""),2.0)</f>
        <v>2</v>
      </c>
    </row>
    <row r="1823">
      <c r="A1823" s="6">
        <f>IFERROR(__xludf.DUMMYFUNCTION("""COMPUTED_VALUE"""),2022.0)</f>
        <v>2022</v>
      </c>
      <c r="B1823" s="6" t="str">
        <f>IFERROR(__xludf.DUMMYFUNCTION("""COMPUTED_VALUE"""),"Fevereiro")</f>
        <v>Fevereiro</v>
      </c>
      <c r="C1823" s="6" t="str">
        <f>IFERROR(__xludf.DUMMYFUNCTION("""COMPUTED_VALUE"""),"HOMICÍDIO DOLOSO (exclui FEMINICÍDIO)")</f>
        <v>HOMICÍDIO DOLOSO (exclui FEMINICÍDIO)</v>
      </c>
      <c r="D1823" s="6">
        <f>IFERROR(__xludf.DUMMYFUNCTION("""COMPUTED_VALUE"""),1.0)</f>
        <v>1</v>
      </c>
      <c r="E1823" s="6">
        <f>IFERROR(__xludf.DUMMYFUNCTION("""COMPUTED_VALUE"""),0.0)</f>
        <v>0</v>
      </c>
      <c r="F1823" s="6">
        <f>IFERROR(__xludf.DUMMYFUNCTION("""COMPUTED_VALUE"""),2.0)</f>
        <v>2</v>
      </c>
      <c r="G1823" s="6">
        <f>IFERROR(__xludf.DUMMYFUNCTION("""COMPUTED_VALUE"""),3.0)</f>
        <v>3</v>
      </c>
    </row>
    <row r="1824">
      <c r="A1824" s="6">
        <f>IFERROR(__xludf.DUMMYFUNCTION("""COMPUTED_VALUE"""),2022.0)</f>
        <v>2022</v>
      </c>
      <c r="B1824" s="6" t="str">
        <f>IFERROR(__xludf.DUMMYFUNCTION("""COMPUTED_VALUE"""),"Fevereiro")</f>
        <v>Fevereiro</v>
      </c>
      <c r="C1824" s="6" t="str">
        <f>IFERROR(__xludf.DUMMYFUNCTION("""COMPUTED_VALUE"""),"FEMINICÍDIO")</f>
        <v>FEMINICÍDIO</v>
      </c>
      <c r="D1824" s="6">
        <f>IFERROR(__xludf.DUMMYFUNCTION("""COMPUTED_VALUE"""),3.0)</f>
        <v>3</v>
      </c>
      <c r="E1824" s="6">
        <f>IFERROR(__xludf.DUMMYFUNCTION("""COMPUTED_VALUE"""),4.0)</f>
        <v>4</v>
      </c>
      <c r="F1824" s="6">
        <f>IFERROR(__xludf.DUMMYFUNCTION("""COMPUTED_VALUE"""),7.0)</f>
        <v>7</v>
      </c>
      <c r="G1824" s="6">
        <f>IFERROR(__xludf.DUMMYFUNCTION("""COMPUTED_VALUE"""),14.0)</f>
        <v>14</v>
      </c>
    </row>
    <row r="1825">
      <c r="A1825" s="6">
        <f>IFERROR(__xludf.DUMMYFUNCTION("""COMPUTED_VALUE"""),2022.0)</f>
        <v>2022</v>
      </c>
      <c r="B1825" s="6" t="str">
        <f>IFERROR(__xludf.DUMMYFUNCTION("""COMPUTED_VALUE"""),"Fevereiro")</f>
        <v>Fevereiro</v>
      </c>
      <c r="C1825" s="6" t="str">
        <f>IFERROR(__xludf.DUMMYFUNCTION("""COMPUTED_VALUE"""),"HOMICÍDIO CULPOSO")</f>
        <v>HOMICÍDIO CULPOSO</v>
      </c>
      <c r="D1825" s="6">
        <f>IFERROR(__xludf.DUMMYFUNCTION("""COMPUTED_VALUE"""),0.0)</f>
        <v>0</v>
      </c>
      <c r="E1825" s="6">
        <f>IFERROR(__xludf.DUMMYFUNCTION("""COMPUTED_VALUE"""),0.0)</f>
        <v>0</v>
      </c>
      <c r="F1825" s="6">
        <f>IFERROR(__xludf.DUMMYFUNCTION("""COMPUTED_VALUE"""),0.0)</f>
        <v>0</v>
      </c>
      <c r="G1825" s="6">
        <f>IFERROR(__xludf.DUMMYFUNCTION("""COMPUTED_VALUE"""),0.0)</f>
        <v>0</v>
      </c>
    </row>
    <row r="1826">
      <c r="A1826" s="6">
        <f>IFERROR(__xludf.DUMMYFUNCTION("""COMPUTED_VALUE"""),2022.0)</f>
        <v>2022</v>
      </c>
      <c r="B1826" s="6" t="str">
        <f>IFERROR(__xludf.DUMMYFUNCTION("""COMPUTED_VALUE"""),"Fevereiro")</f>
        <v>Fevereiro</v>
      </c>
      <c r="C1826" s="6" t="str">
        <f>IFERROR(__xludf.DUMMYFUNCTION("""COMPUTED_VALUE"""),"TENTATIVA DE HOMICÍDIO")</f>
        <v>TENTATIVA DE HOMICÍDIO</v>
      </c>
      <c r="D1826" s="6">
        <f>IFERROR(__xludf.DUMMYFUNCTION("""COMPUTED_VALUE"""),2.0)</f>
        <v>2</v>
      </c>
      <c r="E1826" s="6">
        <f>IFERROR(__xludf.DUMMYFUNCTION("""COMPUTED_VALUE"""),2.0)</f>
        <v>2</v>
      </c>
      <c r="F1826" s="6">
        <f>IFERROR(__xludf.DUMMYFUNCTION("""COMPUTED_VALUE"""),12.0)</f>
        <v>12</v>
      </c>
      <c r="G1826" s="6">
        <f>IFERROR(__xludf.DUMMYFUNCTION("""COMPUTED_VALUE"""),16.0)</f>
        <v>16</v>
      </c>
    </row>
    <row r="1827">
      <c r="A1827" s="6">
        <f>IFERROR(__xludf.DUMMYFUNCTION("""COMPUTED_VALUE"""),2022.0)</f>
        <v>2022</v>
      </c>
      <c r="B1827" s="6" t="str">
        <f>IFERROR(__xludf.DUMMYFUNCTION("""COMPUTED_VALUE"""),"Fevereiro")</f>
        <v>Fevereiro</v>
      </c>
      <c r="C1827" s="6" t="str">
        <f>IFERROR(__xludf.DUMMYFUNCTION("""COMPUTED_VALUE"""),"LESÃO CORPORAL DOLOSA")</f>
        <v>LESÃO CORPORAL DOLOSA</v>
      </c>
      <c r="D1827" s="6">
        <f>IFERROR(__xludf.DUMMYFUNCTION("""COMPUTED_VALUE"""),948.0)</f>
        <v>948</v>
      </c>
      <c r="E1827" s="6">
        <f>IFERROR(__xludf.DUMMYFUNCTION("""COMPUTED_VALUE"""),812.0)</f>
        <v>812</v>
      </c>
      <c r="F1827" s="6">
        <f>IFERROR(__xludf.DUMMYFUNCTION("""COMPUTED_VALUE"""),2914.0)</f>
        <v>2914</v>
      </c>
      <c r="G1827" s="6">
        <f>IFERROR(__xludf.DUMMYFUNCTION("""COMPUTED_VALUE"""),4674.0)</f>
        <v>4674</v>
      </c>
    </row>
    <row r="1828">
      <c r="A1828" s="6">
        <f>IFERROR(__xludf.DUMMYFUNCTION("""COMPUTED_VALUE"""),2022.0)</f>
        <v>2022</v>
      </c>
      <c r="B1828" s="6" t="str">
        <f>IFERROR(__xludf.DUMMYFUNCTION("""COMPUTED_VALUE"""),"Fevereiro")</f>
        <v>Fevereiro</v>
      </c>
      <c r="C1828" s="6" t="str">
        <f>IFERROR(__xludf.DUMMYFUNCTION("""COMPUTED_VALUE"""),"MAUS TRATOS")</f>
        <v>MAUS TRATOS</v>
      </c>
      <c r="D1828" s="6">
        <f>IFERROR(__xludf.DUMMYFUNCTION("""COMPUTED_VALUE"""),3.0)</f>
        <v>3</v>
      </c>
      <c r="E1828" s="6">
        <f>IFERROR(__xludf.DUMMYFUNCTION("""COMPUTED_VALUE"""),2.0)</f>
        <v>2</v>
      </c>
      <c r="F1828" s="6">
        <f>IFERROR(__xludf.DUMMYFUNCTION("""COMPUTED_VALUE"""),16.0)</f>
        <v>16</v>
      </c>
      <c r="G1828" s="6">
        <f>IFERROR(__xludf.DUMMYFUNCTION("""COMPUTED_VALUE"""),21.0)</f>
        <v>21</v>
      </c>
    </row>
    <row r="1829">
      <c r="A1829" s="6">
        <f>IFERROR(__xludf.DUMMYFUNCTION("""COMPUTED_VALUE"""),2022.0)</f>
        <v>2022</v>
      </c>
      <c r="B1829" s="6" t="str">
        <f>IFERROR(__xludf.DUMMYFUNCTION("""COMPUTED_VALUE"""),"Fevereiro")</f>
        <v>Fevereiro</v>
      </c>
      <c r="C1829" s="6" t="str">
        <f>IFERROR(__xludf.DUMMYFUNCTION("""COMPUTED_VALUE"""),"CALÚNIA - DIFAMAÇÃO - INJÚRIA")</f>
        <v>CALÚNIA - DIFAMAÇÃO - INJÚRIA</v>
      </c>
      <c r="D1829" s="6">
        <f>IFERROR(__xludf.DUMMYFUNCTION("""COMPUTED_VALUE"""),187.0)</f>
        <v>187</v>
      </c>
      <c r="E1829" s="6">
        <f>IFERROR(__xludf.DUMMYFUNCTION("""COMPUTED_VALUE"""),159.0)</f>
        <v>159</v>
      </c>
      <c r="F1829" s="6">
        <f>IFERROR(__xludf.DUMMYFUNCTION("""COMPUTED_VALUE"""),694.0)</f>
        <v>694</v>
      </c>
      <c r="G1829" s="6">
        <f>IFERROR(__xludf.DUMMYFUNCTION("""COMPUTED_VALUE"""),1040.0)</f>
        <v>1040</v>
      </c>
    </row>
    <row r="1830">
      <c r="A1830" s="6">
        <f>IFERROR(__xludf.DUMMYFUNCTION("""COMPUTED_VALUE"""),2022.0)</f>
        <v>2022</v>
      </c>
      <c r="B1830" s="6" t="str">
        <f>IFERROR(__xludf.DUMMYFUNCTION("""COMPUTED_VALUE"""),"Fevereiro")</f>
        <v>Fevereiro</v>
      </c>
      <c r="C1830" s="6" t="str">
        <f>IFERROR(__xludf.DUMMYFUNCTION("""COMPUTED_VALUE"""),"CONSTRANGIMENTO ILEGAL")</f>
        <v>CONSTRANGIMENTO ILEGAL</v>
      </c>
      <c r="D1830" s="6">
        <f>IFERROR(__xludf.DUMMYFUNCTION("""COMPUTED_VALUE"""),1.0)</f>
        <v>1</v>
      </c>
      <c r="E1830" s="6">
        <f>IFERROR(__xludf.DUMMYFUNCTION("""COMPUTED_VALUE"""),0.0)</f>
        <v>0</v>
      </c>
      <c r="F1830" s="6">
        <f>IFERROR(__xludf.DUMMYFUNCTION("""COMPUTED_VALUE"""),6.0)</f>
        <v>6</v>
      </c>
      <c r="G1830" s="6">
        <f>IFERROR(__xludf.DUMMYFUNCTION("""COMPUTED_VALUE"""),7.0)</f>
        <v>7</v>
      </c>
    </row>
    <row r="1831">
      <c r="A1831" s="6">
        <f>IFERROR(__xludf.DUMMYFUNCTION("""COMPUTED_VALUE"""),2022.0)</f>
        <v>2022</v>
      </c>
      <c r="B1831" s="6" t="str">
        <f>IFERROR(__xludf.DUMMYFUNCTION("""COMPUTED_VALUE"""),"Fevereiro")</f>
        <v>Fevereiro</v>
      </c>
      <c r="C1831" s="6" t="str">
        <f>IFERROR(__xludf.DUMMYFUNCTION("""COMPUTED_VALUE"""),"AMEAÇA")</f>
        <v>AMEAÇA</v>
      </c>
      <c r="D1831" s="6">
        <f>IFERROR(__xludf.DUMMYFUNCTION("""COMPUTED_VALUE"""),872.0)</f>
        <v>872</v>
      </c>
      <c r="E1831" s="6">
        <f>IFERROR(__xludf.DUMMYFUNCTION("""COMPUTED_VALUE"""),804.0)</f>
        <v>804</v>
      </c>
      <c r="F1831" s="6">
        <f>IFERROR(__xludf.DUMMYFUNCTION("""COMPUTED_VALUE"""),2984.0)</f>
        <v>2984</v>
      </c>
      <c r="G1831" s="6">
        <f>IFERROR(__xludf.DUMMYFUNCTION("""COMPUTED_VALUE"""),4660.0)</f>
        <v>4660</v>
      </c>
    </row>
    <row r="1832">
      <c r="A1832" s="6">
        <f>IFERROR(__xludf.DUMMYFUNCTION("""COMPUTED_VALUE"""),2022.0)</f>
        <v>2022</v>
      </c>
      <c r="B1832" s="6" t="str">
        <f>IFERROR(__xludf.DUMMYFUNCTION("""COMPUTED_VALUE"""),"Fevereiro")</f>
        <v>Fevereiro</v>
      </c>
      <c r="C1832" s="6" t="str">
        <f>IFERROR(__xludf.DUMMYFUNCTION("""COMPUTED_VALUE"""),"INVASÃO DE DOMICÍLIO")</f>
        <v>INVASÃO DE DOMICÍLIO</v>
      </c>
      <c r="D1832" s="6">
        <f>IFERROR(__xludf.DUMMYFUNCTION("""COMPUTED_VALUE"""),1.0)</f>
        <v>1</v>
      </c>
      <c r="E1832" s="6">
        <f>IFERROR(__xludf.DUMMYFUNCTION("""COMPUTED_VALUE"""),2.0)</f>
        <v>2</v>
      </c>
      <c r="F1832" s="6">
        <f>IFERROR(__xludf.DUMMYFUNCTION("""COMPUTED_VALUE"""),13.0)</f>
        <v>13</v>
      </c>
      <c r="G1832" s="6">
        <f>IFERROR(__xludf.DUMMYFUNCTION("""COMPUTED_VALUE"""),16.0)</f>
        <v>16</v>
      </c>
    </row>
    <row r="1833">
      <c r="A1833" s="6">
        <f>IFERROR(__xludf.DUMMYFUNCTION("""COMPUTED_VALUE"""),2022.0)</f>
        <v>2022</v>
      </c>
      <c r="B1833" s="6" t="str">
        <f>IFERROR(__xludf.DUMMYFUNCTION("""COMPUTED_VALUE"""),"Fevereiro")</f>
        <v>Fevereiro</v>
      </c>
      <c r="C1833" s="6" t="str">
        <f>IFERROR(__xludf.DUMMYFUNCTION("""COMPUTED_VALUE"""),"DANO")</f>
        <v>DANO</v>
      </c>
      <c r="D1833" s="6">
        <f>IFERROR(__xludf.DUMMYFUNCTION("""COMPUTED_VALUE"""),11.0)</f>
        <v>11</v>
      </c>
      <c r="E1833" s="6">
        <f>IFERROR(__xludf.DUMMYFUNCTION("""COMPUTED_VALUE"""),10.0)</f>
        <v>10</v>
      </c>
      <c r="F1833" s="6">
        <f>IFERROR(__xludf.DUMMYFUNCTION("""COMPUTED_VALUE"""),54.0)</f>
        <v>54</v>
      </c>
      <c r="G1833" s="6">
        <f>IFERROR(__xludf.DUMMYFUNCTION("""COMPUTED_VALUE"""),75.0)</f>
        <v>75</v>
      </c>
    </row>
    <row r="1834">
      <c r="A1834" s="6">
        <f>IFERROR(__xludf.DUMMYFUNCTION("""COMPUTED_VALUE"""),2022.0)</f>
        <v>2022</v>
      </c>
      <c r="B1834" s="6" t="str">
        <f>IFERROR(__xludf.DUMMYFUNCTION("""COMPUTED_VALUE"""),"Fevereiro")</f>
        <v>Fevereiro</v>
      </c>
      <c r="C1834" s="6" t="str">
        <f>IFERROR(__xludf.DUMMYFUNCTION("""COMPUTED_VALUE"""),"ESTUPRO CONSUMADO")</f>
        <v>ESTUPRO CONSUMADO</v>
      </c>
      <c r="D1834" s="6">
        <f>IFERROR(__xludf.DUMMYFUNCTION("""COMPUTED_VALUE"""),10.0)</f>
        <v>10</v>
      </c>
      <c r="E1834" s="6">
        <f>IFERROR(__xludf.DUMMYFUNCTION("""COMPUTED_VALUE"""),7.0)</f>
        <v>7</v>
      </c>
      <c r="F1834" s="6">
        <f>IFERROR(__xludf.DUMMYFUNCTION("""COMPUTED_VALUE"""),17.0)</f>
        <v>17</v>
      </c>
      <c r="G1834" s="6">
        <f>IFERROR(__xludf.DUMMYFUNCTION("""COMPUTED_VALUE"""),34.0)</f>
        <v>34</v>
      </c>
    </row>
    <row r="1835">
      <c r="A1835" s="6">
        <f>IFERROR(__xludf.DUMMYFUNCTION("""COMPUTED_VALUE"""),2022.0)</f>
        <v>2022</v>
      </c>
      <c r="B1835" s="6" t="str">
        <f>IFERROR(__xludf.DUMMYFUNCTION("""COMPUTED_VALUE"""),"Fevereiro")</f>
        <v>Fevereiro</v>
      </c>
      <c r="C1835" s="6" t="str">
        <f>IFERROR(__xludf.DUMMYFUNCTION("""COMPUTED_VALUE"""),"ESTUPRO TENTADO")</f>
        <v>ESTUPRO TENTADO</v>
      </c>
      <c r="D1835" s="6">
        <f>IFERROR(__xludf.DUMMYFUNCTION("""COMPUTED_VALUE"""),0.0)</f>
        <v>0</v>
      </c>
      <c r="E1835" s="6">
        <f>IFERROR(__xludf.DUMMYFUNCTION("""COMPUTED_VALUE"""),0.0)</f>
        <v>0</v>
      </c>
      <c r="F1835" s="6">
        <f>IFERROR(__xludf.DUMMYFUNCTION("""COMPUTED_VALUE"""),1.0)</f>
        <v>1</v>
      </c>
      <c r="G1835" s="6">
        <f>IFERROR(__xludf.DUMMYFUNCTION("""COMPUTED_VALUE"""),1.0)</f>
        <v>1</v>
      </c>
    </row>
    <row r="1836">
      <c r="A1836" s="6">
        <f>IFERROR(__xludf.DUMMYFUNCTION("""COMPUTED_VALUE"""),2022.0)</f>
        <v>2022</v>
      </c>
      <c r="B1836" s="6" t="str">
        <f>IFERROR(__xludf.DUMMYFUNCTION("""COMPUTED_VALUE"""),"Fevereiro")</f>
        <v>Fevereiro</v>
      </c>
      <c r="C1836" s="6" t="str">
        <f>IFERROR(__xludf.DUMMYFUNCTION("""COMPUTED_VALUE"""),"ESTUPRO DE VULNERÁVEL CONSUMADO")</f>
        <v>ESTUPRO DE VULNERÁVEL CONSUMADO</v>
      </c>
      <c r="D1836" s="6">
        <f>IFERROR(__xludf.DUMMYFUNCTION("""COMPUTED_VALUE"""),3.0)</f>
        <v>3</v>
      </c>
      <c r="E1836" s="6">
        <f>IFERROR(__xludf.DUMMYFUNCTION("""COMPUTED_VALUE"""),4.0)</f>
        <v>4</v>
      </c>
      <c r="F1836" s="6">
        <f>IFERROR(__xludf.DUMMYFUNCTION("""COMPUTED_VALUE"""),17.0)</f>
        <v>17</v>
      </c>
      <c r="G1836" s="6">
        <f>IFERROR(__xludf.DUMMYFUNCTION("""COMPUTED_VALUE"""),24.0)</f>
        <v>24</v>
      </c>
    </row>
    <row r="1837">
      <c r="A1837" s="6">
        <f>IFERROR(__xludf.DUMMYFUNCTION("""COMPUTED_VALUE"""),2022.0)</f>
        <v>2022</v>
      </c>
      <c r="B1837" s="6" t="str">
        <f>IFERROR(__xludf.DUMMYFUNCTION("""COMPUTED_VALUE"""),"Fevereiro")</f>
        <v>Fevereiro</v>
      </c>
      <c r="C1837" s="6" t="str">
        <f>IFERROR(__xludf.DUMMYFUNCTION("""COMPUTED_VALUE"""),"OUTROS C/C/ DIGNIDADE SEXUAL")</f>
        <v>OUTROS C/C/ DIGNIDADE SEXUAL</v>
      </c>
      <c r="D1837" s="6">
        <f>IFERROR(__xludf.DUMMYFUNCTION("""COMPUTED_VALUE"""),0.0)</f>
        <v>0</v>
      </c>
      <c r="E1837" s="6">
        <f>IFERROR(__xludf.DUMMYFUNCTION("""COMPUTED_VALUE"""),0.0)</f>
        <v>0</v>
      </c>
      <c r="F1837" s="6">
        <f>IFERROR(__xludf.DUMMYFUNCTION("""COMPUTED_VALUE"""),2.0)</f>
        <v>2</v>
      </c>
      <c r="G1837" s="6">
        <f>IFERROR(__xludf.DUMMYFUNCTION("""COMPUTED_VALUE"""),2.0)</f>
        <v>2</v>
      </c>
    </row>
    <row r="1838">
      <c r="A1838" s="6">
        <f>IFERROR(__xludf.DUMMYFUNCTION("""COMPUTED_VALUE"""),2022.0)</f>
        <v>2022</v>
      </c>
      <c r="B1838" s="6" t="str">
        <f>IFERROR(__xludf.DUMMYFUNCTION("""COMPUTED_VALUE"""),"Março")</f>
        <v>Março</v>
      </c>
      <c r="C1838" s="6" t="str">
        <f>IFERROR(__xludf.DUMMYFUNCTION("""COMPUTED_VALUE"""),"HOMICÍDIO DOLOSO (exclui FEMINICÍDIO)")</f>
        <v>HOMICÍDIO DOLOSO (exclui FEMINICÍDIO)</v>
      </c>
      <c r="D1838" s="6">
        <f>IFERROR(__xludf.DUMMYFUNCTION("""COMPUTED_VALUE"""),1.0)</f>
        <v>1</v>
      </c>
      <c r="E1838" s="6">
        <f>IFERROR(__xludf.DUMMYFUNCTION("""COMPUTED_VALUE"""),0.0)</f>
        <v>0</v>
      </c>
      <c r="F1838" s="6">
        <f>IFERROR(__xludf.DUMMYFUNCTION("""COMPUTED_VALUE"""),2.0)</f>
        <v>2</v>
      </c>
      <c r="G1838" s="6">
        <f>IFERROR(__xludf.DUMMYFUNCTION("""COMPUTED_VALUE"""),3.0)</f>
        <v>3</v>
      </c>
    </row>
    <row r="1839">
      <c r="A1839" s="6">
        <f>IFERROR(__xludf.DUMMYFUNCTION("""COMPUTED_VALUE"""),2022.0)</f>
        <v>2022</v>
      </c>
      <c r="B1839" s="6" t="str">
        <f>IFERROR(__xludf.DUMMYFUNCTION("""COMPUTED_VALUE"""),"Março")</f>
        <v>Março</v>
      </c>
      <c r="C1839" s="6" t="str">
        <f>IFERROR(__xludf.DUMMYFUNCTION("""COMPUTED_VALUE"""),"FEMINICÍDIO")</f>
        <v>FEMINICÍDIO</v>
      </c>
      <c r="D1839" s="6">
        <f>IFERROR(__xludf.DUMMYFUNCTION("""COMPUTED_VALUE"""),4.0)</f>
        <v>4</v>
      </c>
      <c r="E1839" s="6">
        <f>IFERROR(__xludf.DUMMYFUNCTION("""COMPUTED_VALUE"""),4.0)</f>
        <v>4</v>
      </c>
      <c r="F1839" s="6">
        <f>IFERROR(__xludf.DUMMYFUNCTION("""COMPUTED_VALUE"""),9.0)</f>
        <v>9</v>
      </c>
      <c r="G1839" s="6">
        <f>IFERROR(__xludf.DUMMYFUNCTION("""COMPUTED_VALUE"""),17.0)</f>
        <v>17</v>
      </c>
    </row>
    <row r="1840">
      <c r="A1840" s="6">
        <f>IFERROR(__xludf.DUMMYFUNCTION("""COMPUTED_VALUE"""),2022.0)</f>
        <v>2022</v>
      </c>
      <c r="B1840" s="6" t="str">
        <f>IFERROR(__xludf.DUMMYFUNCTION("""COMPUTED_VALUE"""),"Março")</f>
        <v>Março</v>
      </c>
      <c r="C1840" s="6" t="str">
        <f>IFERROR(__xludf.DUMMYFUNCTION("""COMPUTED_VALUE"""),"HOMICÍDIO CULPOSO")</f>
        <v>HOMICÍDIO CULPOSO</v>
      </c>
      <c r="D1840" s="6">
        <f>IFERROR(__xludf.DUMMYFUNCTION("""COMPUTED_VALUE"""),0.0)</f>
        <v>0</v>
      </c>
      <c r="E1840" s="6">
        <f>IFERROR(__xludf.DUMMYFUNCTION("""COMPUTED_VALUE"""),0.0)</f>
        <v>0</v>
      </c>
      <c r="F1840" s="6">
        <f>IFERROR(__xludf.DUMMYFUNCTION("""COMPUTED_VALUE"""),0.0)</f>
        <v>0</v>
      </c>
      <c r="G1840" s="6">
        <f>IFERROR(__xludf.DUMMYFUNCTION("""COMPUTED_VALUE"""),0.0)</f>
        <v>0</v>
      </c>
    </row>
    <row r="1841">
      <c r="A1841" s="6">
        <f>IFERROR(__xludf.DUMMYFUNCTION("""COMPUTED_VALUE"""),2022.0)</f>
        <v>2022</v>
      </c>
      <c r="B1841" s="6" t="str">
        <f>IFERROR(__xludf.DUMMYFUNCTION("""COMPUTED_VALUE"""),"Março")</f>
        <v>Março</v>
      </c>
      <c r="C1841" s="6" t="str">
        <f>IFERROR(__xludf.DUMMYFUNCTION("""COMPUTED_VALUE"""),"TENTATIVA DE HOMICÍDIO")</f>
        <v>TENTATIVA DE HOMICÍDIO</v>
      </c>
      <c r="D1841" s="6">
        <f>IFERROR(__xludf.DUMMYFUNCTION("""COMPUTED_VALUE"""),2.0)</f>
        <v>2</v>
      </c>
      <c r="E1841" s="6">
        <f>IFERROR(__xludf.DUMMYFUNCTION("""COMPUTED_VALUE"""),2.0)</f>
        <v>2</v>
      </c>
      <c r="F1841" s="6">
        <f>IFERROR(__xludf.DUMMYFUNCTION("""COMPUTED_VALUE"""),12.0)</f>
        <v>12</v>
      </c>
      <c r="G1841" s="6">
        <f>IFERROR(__xludf.DUMMYFUNCTION("""COMPUTED_VALUE"""),16.0)</f>
        <v>16</v>
      </c>
    </row>
    <row r="1842">
      <c r="A1842" s="6">
        <f>IFERROR(__xludf.DUMMYFUNCTION("""COMPUTED_VALUE"""),2022.0)</f>
        <v>2022</v>
      </c>
      <c r="B1842" s="6" t="str">
        <f>IFERROR(__xludf.DUMMYFUNCTION("""COMPUTED_VALUE"""),"Março")</f>
        <v>Março</v>
      </c>
      <c r="C1842" s="6" t="str">
        <f>IFERROR(__xludf.DUMMYFUNCTION("""COMPUTED_VALUE"""),"LESÃO CORPORAL DOLOSA")</f>
        <v>LESÃO CORPORAL DOLOSA</v>
      </c>
      <c r="D1842" s="6">
        <f>IFERROR(__xludf.DUMMYFUNCTION("""COMPUTED_VALUE"""),948.0)</f>
        <v>948</v>
      </c>
      <c r="E1842" s="6">
        <f>IFERROR(__xludf.DUMMYFUNCTION("""COMPUTED_VALUE"""),812.0)</f>
        <v>812</v>
      </c>
      <c r="F1842" s="6">
        <f>IFERROR(__xludf.DUMMYFUNCTION("""COMPUTED_VALUE"""),2914.0)</f>
        <v>2914</v>
      </c>
      <c r="G1842" s="6">
        <f>IFERROR(__xludf.DUMMYFUNCTION("""COMPUTED_VALUE"""),4674.0)</f>
        <v>4674</v>
      </c>
    </row>
    <row r="1843">
      <c r="A1843" s="6">
        <f>IFERROR(__xludf.DUMMYFUNCTION("""COMPUTED_VALUE"""),2022.0)</f>
        <v>2022</v>
      </c>
      <c r="B1843" s="6" t="str">
        <f>IFERROR(__xludf.DUMMYFUNCTION("""COMPUTED_VALUE"""),"Março")</f>
        <v>Março</v>
      </c>
      <c r="C1843" s="6" t="str">
        <f>IFERROR(__xludf.DUMMYFUNCTION("""COMPUTED_VALUE"""),"MAUS TRATOS")</f>
        <v>MAUS TRATOS</v>
      </c>
      <c r="D1843" s="6">
        <f>IFERROR(__xludf.DUMMYFUNCTION("""COMPUTED_VALUE"""),3.0)</f>
        <v>3</v>
      </c>
      <c r="E1843" s="6">
        <f>IFERROR(__xludf.DUMMYFUNCTION("""COMPUTED_VALUE"""),2.0)</f>
        <v>2</v>
      </c>
      <c r="F1843" s="6">
        <f>IFERROR(__xludf.DUMMYFUNCTION("""COMPUTED_VALUE"""),16.0)</f>
        <v>16</v>
      </c>
      <c r="G1843" s="6">
        <f>IFERROR(__xludf.DUMMYFUNCTION("""COMPUTED_VALUE"""),21.0)</f>
        <v>21</v>
      </c>
    </row>
    <row r="1844">
      <c r="A1844" s="6">
        <f>IFERROR(__xludf.DUMMYFUNCTION("""COMPUTED_VALUE"""),2022.0)</f>
        <v>2022</v>
      </c>
      <c r="B1844" s="6" t="str">
        <f>IFERROR(__xludf.DUMMYFUNCTION("""COMPUTED_VALUE"""),"Março")</f>
        <v>Março</v>
      </c>
      <c r="C1844" s="6" t="str">
        <f>IFERROR(__xludf.DUMMYFUNCTION("""COMPUTED_VALUE"""),"CALÚNIA - DIFAMAÇÃO - INJÚRIA")</f>
        <v>CALÚNIA - DIFAMAÇÃO - INJÚRIA</v>
      </c>
      <c r="D1844" s="6">
        <f>IFERROR(__xludf.DUMMYFUNCTION("""COMPUTED_VALUE"""),187.0)</f>
        <v>187</v>
      </c>
      <c r="E1844" s="6">
        <f>IFERROR(__xludf.DUMMYFUNCTION("""COMPUTED_VALUE"""),159.0)</f>
        <v>159</v>
      </c>
      <c r="F1844" s="6">
        <f>IFERROR(__xludf.DUMMYFUNCTION("""COMPUTED_VALUE"""),694.0)</f>
        <v>694</v>
      </c>
      <c r="G1844" s="6">
        <f>IFERROR(__xludf.DUMMYFUNCTION("""COMPUTED_VALUE"""),1040.0)</f>
        <v>1040</v>
      </c>
    </row>
    <row r="1845">
      <c r="A1845" s="6">
        <f>IFERROR(__xludf.DUMMYFUNCTION("""COMPUTED_VALUE"""),2022.0)</f>
        <v>2022</v>
      </c>
      <c r="B1845" s="6" t="str">
        <f>IFERROR(__xludf.DUMMYFUNCTION("""COMPUTED_VALUE"""),"Março")</f>
        <v>Março</v>
      </c>
      <c r="C1845" s="6" t="str">
        <f>IFERROR(__xludf.DUMMYFUNCTION("""COMPUTED_VALUE"""),"CONSTRANGIMENTO ILEGAL")</f>
        <v>CONSTRANGIMENTO ILEGAL</v>
      </c>
      <c r="D1845" s="6">
        <f>IFERROR(__xludf.DUMMYFUNCTION("""COMPUTED_VALUE"""),1.0)</f>
        <v>1</v>
      </c>
      <c r="E1845" s="6">
        <f>IFERROR(__xludf.DUMMYFUNCTION("""COMPUTED_VALUE"""),0.0)</f>
        <v>0</v>
      </c>
      <c r="F1845" s="6">
        <f>IFERROR(__xludf.DUMMYFUNCTION("""COMPUTED_VALUE"""),6.0)</f>
        <v>6</v>
      </c>
      <c r="G1845" s="6">
        <f>IFERROR(__xludf.DUMMYFUNCTION("""COMPUTED_VALUE"""),7.0)</f>
        <v>7</v>
      </c>
    </row>
    <row r="1846">
      <c r="A1846" s="6">
        <f>IFERROR(__xludf.DUMMYFUNCTION("""COMPUTED_VALUE"""),2022.0)</f>
        <v>2022</v>
      </c>
      <c r="B1846" s="6" t="str">
        <f>IFERROR(__xludf.DUMMYFUNCTION("""COMPUTED_VALUE"""),"Março")</f>
        <v>Março</v>
      </c>
      <c r="C1846" s="6" t="str">
        <f>IFERROR(__xludf.DUMMYFUNCTION("""COMPUTED_VALUE"""),"AMEAÇA")</f>
        <v>AMEAÇA</v>
      </c>
      <c r="D1846" s="6">
        <f>IFERROR(__xludf.DUMMYFUNCTION("""COMPUTED_VALUE"""),872.0)</f>
        <v>872</v>
      </c>
      <c r="E1846" s="6">
        <f>IFERROR(__xludf.DUMMYFUNCTION("""COMPUTED_VALUE"""),804.0)</f>
        <v>804</v>
      </c>
      <c r="F1846" s="6">
        <f>IFERROR(__xludf.DUMMYFUNCTION("""COMPUTED_VALUE"""),2984.0)</f>
        <v>2984</v>
      </c>
      <c r="G1846" s="6">
        <f>IFERROR(__xludf.DUMMYFUNCTION("""COMPUTED_VALUE"""),4660.0)</f>
        <v>4660</v>
      </c>
    </row>
    <row r="1847">
      <c r="A1847" s="6">
        <f>IFERROR(__xludf.DUMMYFUNCTION("""COMPUTED_VALUE"""),2022.0)</f>
        <v>2022</v>
      </c>
      <c r="B1847" s="6" t="str">
        <f>IFERROR(__xludf.DUMMYFUNCTION("""COMPUTED_VALUE"""),"Março")</f>
        <v>Março</v>
      </c>
      <c r="C1847" s="6" t="str">
        <f>IFERROR(__xludf.DUMMYFUNCTION("""COMPUTED_VALUE"""),"INVASÃO DE DOMICÍLIO")</f>
        <v>INVASÃO DE DOMICÍLIO</v>
      </c>
      <c r="D1847" s="6">
        <f>IFERROR(__xludf.DUMMYFUNCTION("""COMPUTED_VALUE"""),1.0)</f>
        <v>1</v>
      </c>
      <c r="E1847" s="6">
        <f>IFERROR(__xludf.DUMMYFUNCTION("""COMPUTED_VALUE"""),2.0)</f>
        <v>2</v>
      </c>
      <c r="F1847" s="6">
        <f>IFERROR(__xludf.DUMMYFUNCTION("""COMPUTED_VALUE"""),13.0)</f>
        <v>13</v>
      </c>
      <c r="G1847" s="6">
        <f>IFERROR(__xludf.DUMMYFUNCTION("""COMPUTED_VALUE"""),16.0)</f>
        <v>16</v>
      </c>
    </row>
    <row r="1848">
      <c r="A1848" s="6">
        <f>IFERROR(__xludf.DUMMYFUNCTION("""COMPUTED_VALUE"""),2022.0)</f>
        <v>2022</v>
      </c>
      <c r="B1848" s="6" t="str">
        <f>IFERROR(__xludf.DUMMYFUNCTION("""COMPUTED_VALUE"""),"Março")</f>
        <v>Março</v>
      </c>
      <c r="C1848" s="6" t="str">
        <f>IFERROR(__xludf.DUMMYFUNCTION("""COMPUTED_VALUE"""),"DANO")</f>
        <v>DANO</v>
      </c>
      <c r="D1848" s="6">
        <f>IFERROR(__xludf.DUMMYFUNCTION("""COMPUTED_VALUE"""),11.0)</f>
        <v>11</v>
      </c>
      <c r="E1848" s="6">
        <f>IFERROR(__xludf.DUMMYFUNCTION("""COMPUTED_VALUE"""),10.0)</f>
        <v>10</v>
      </c>
      <c r="F1848" s="6">
        <f>IFERROR(__xludf.DUMMYFUNCTION("""COMPUTED_VALUE"""),54.0)</f>
        <v>54</v>
      </c>
      <c r="G1848" s="6">
        <f>IFERROR(__xludf.DUMMYFUNCTION("""COMPUTED_VALUE"""),75.0)</f>
        <v>75</v>
      </c>
    </row>
    <row r="1849">
      <c r="A1849" s="6">
        <f>IFERROR(__xludf.DUMMYFUNCTION("""COMPUTED_VALUE"""),2022.0)</f>
        <v>2022</v>
      </c>
      <c r="B1849" s="6" t="str">
        <f>IFERROR(__xludf.DUMMYFUNCTION("""COMPUTED_VALUE"""),"Março")</f>
        <v>Março</v>
      </c>
      <c r="C1849" s="6" t="str">
        <f>IFERROR(__xludf.DUMMYFUNCTION("""COMPUTED_VALUE"""),"ESTUPRO CONSUMADO")</f>
        <v>ESTUPRO CONSUMADO</v>
      </c>
      <c r="D1849" s="6">
        <f>IFERROR(__xludf.DUMMYFUNCTION("""COMPUTED_VALUE"""),10.0)</f>
        <v>10</v>
      </c>
      <c r="E1849" s="6">
        <f>IFERROR(__xludf.DUMMYFUNCTION("""COMPUTED_VALUE"""),7.0)</f>
        <v>7</v>
      </c>
      <c r="F1849" s="6">
        <f>IFERROR(__xludf.DUMMYFUNCTION("""COMPUTED_VALUE"""),17.0)</f>
        <v>17</v>
      </c>
      <c r="G1849" s="6">
        <f>IFERROR(__xludf.DUMMYFUNCTION("""COMPUTED_VALUE"""),34.0)</f>
        <v>34</v>
      </c>
    </row>
    <row r="1850">
      <c r="A1850" s="6">
        <f>IFERROR(__xludf.DUMMYFUNCTION("""COMPUTED_VALUE"""),2022.0)</f>
        <v>2022</v>
      </c>
      <c r="B1850" s="6" t="str">
        <f>IFERROR(__xludf.DUMMYFUNCTION("""COMPUTED_VALUE"""),"Março")</f>
        <v>Março</v>
      </c>
      <c r="C1850" s="6" t="str">
        <f>IFERROR(__xludf.DUMMYFUNCTION("""COMPUTED_VALUE"""),"ESTUPRO TENTADO")</f>
        <v>ESTUPRO TENTADO</v>
      </c>
      <c r="D1850" s="6">
        <f>IFERROR(__xludf.DUMMYFUNCTION("""COMPUTED_VALUE"""),0.0)</f>
        <v>0</v>
      </c>
      <c r="E1850" s="6">
        <f>IFERROR(__xludf.DUMMYFUNCTION("""COMPUTED_VALUE"""),0.0)</f>
        <v>0</v>
      </c>
      <c r="F1850" s="6">
        <f>IFERROR(__xludf.DUMMYFUNCTION("""COMPUTED_VALUE"""),1.0)</f>
        <v>1</v>
      </c>
      <c r="G1850" s="6">
        <f>IFERROR(__xludf.DUMMYFUNCTION("""COMPUTED_VALUE"""),1.0)</f>
        <v>1</v>
      </c>
    </row>
    <row r="1851">
      <c r="A1851" s="6">
        <f>IFERROR(__xludf.DUMMYFUNCTION("""COMPUTED_VALUE"""),2022.0)</f>
        <v>2022</v>
      </c>
      <c r="B1851" s="6" t="str">
        <f>IFERROR(__xludf.DUMMYFUNCTION("""COMPUTED_VALUE"""),"Março")</f>
        <v>Março</v>
      </c>
      <c r="C1851" s="6" t="str">
        <f>IFERROR(__xludf.DUMMYFUNCTION("""COMPUTED_VALUE"""),"ESTUPRO DE VULNERÁVEL CONSUMADO")</f>
        <v>ESTUPRO DE VULNERÁVEL CONSUMADO</v>
      </c>
      <c r="D1851" s="6">
        <f>IFERROR(__xludf.DUMMYFUNCTION("""COMPUTED_VALUE"""),3.0)</f>
        <v>3</v>
      </c>
      <c r="E1851" s="6">
        <f>IFERROR(__xludf.DUMMYFUNCTION("""COMPUTED_VALUE"""),4.0)</f>
        <v>4</v>
      </c>
      <c r="F1851" s="6">
        <f>IFERROR(__xludf.DUMMYFUNCTION("""COMPUTED_VALUE"""),17.0)</f>
        <v>17</v>
      </c>
      <c r="G1851" s="6">
        <f>IFERROR(__xludf.DUMMYFUNCTION("""COMPUTED_VALUE"""),24.0)</f>
        <v>24</v>
      </c>
    </row>
    <row r="1852">
      <c r="A1852" s="6">
        <f>IFERROR(__xludf.DUMMYFUNCTION("""COMPUTED_VALUE"""),2022.0)</f>
        <v>2022</v>
      </c>
      <c r="B1852" s="6" t="str">
        <f>IFERROR(__xludf.DUMMYFUNCTION("""COMPUTED_VALUE"""),"Março")</f>
        <v>Março</v>
      </c>
      <c r="C1852" s="6" t="str">
        <f>IFERROR(__xludf.DUMMYFUNCTION("""COMPUTED_VALUE"""),"OUTROS C/C/ DIGNIDADE SEXUAL")</f>
        <v>OUTROS C/C/ DIGNIDADE SEXUAL</v>
      </c>
      <c r="D1852" s="6">
        <f>IFERROR(__xludf.DUMMYFUNCTION("""COMPUTED_VALUE"""),0.0)</f>
        <v>0</v>
      </c>
      <c r="E1852" s="6">
        <f>IFERROR(__xludf.DUMMYFUNCTION("""COMPUTED_VALUE"""),0.0)</f>
        <v>0</v>
      </c>
      <c r="F1852" s="6">
        <f>IFERROR(__xludf.DUMMYFUNCTION("""COMPUTED_VALUE"""),2.0)</f>
        <v>2</v>
      </c>
      <c r="G1852" s="6">
        <f>IFERROR(__xludf.DUMMYFUNCTION("""COMPUTED_VALUE"""),2.0)</f>
        <v>2</v>
      </c>
    </row>
    <row r="1853">
      <c r="A1853" s="6">
        <f>IFERROR(__xludf.DUMMYFUNCTION("""COMPUTED_VALUE"""),2022.0)</f>
        <v>2022</v>
      </c>
      <c r="B1853" s="6" t="str">
        <f>IFERROR(__xludf.DUMMYFUNCTION("""COMPUTED_VALUE"""),"Abril")</f>
        <v>Abril</v>
      </c>
      <c r="C1853" s="6" t="str">
        <f>IFERROR(__xludf.DUMMYFUNCTION("""COMPUTED_VALUE"""),"HOMICÍDIO DOLOSO (exclui FEMINICÍDIO)")</f>
        <v>HOMICÍDIO DOLOSO (exclui FEMINICÍDIO)</v>
      </c>
      <c r="D1853" s="6">
        <f>IFERROR(__xludf.DUMMYFUNCTION("""COMPUTED_VALUE"""),1.0)</f>
        <v>1</v>
      </c>
      <c r="E1853" s="6">
        <f>IFERROR(__xludf.DUMMYFUNCTION("""COMPUTED_VALUE"""),0.0)</f>
        <v>0</v>
      </c>
      <c r="F1853" s="6">
        <f>IFERROR(__xludf.DUMMYFUNCTION("""COMPUTED_VALUE"""),2.0)</f>
        <v>2</v>
      </c>
      <c r="G1853" s="6">
        <f>IFERROR(__xludf.DUMMYFUNCTION("""COMPUTED_VALUE"""),3.0)</f>
        <v>3</v>
      </c>
    </row>
    <row r="1854">
      <c r="A1854" s="6">
        <f>IFERROR(__xludf.DUMMYFUNCTION("""COMPUTED_VALUE"""),2022.0)</f>
        <v>2022</v>
      </c>
      <c r="B1854" s="6" t="str">
        <f>IFERROR(__xludf.DUMMYFUNCTION("""COMPUTED_VALUE"""),"Abril")</f>
        <v>Abril</v>
      </c>
      <c r="C1854" s="6" t="str">
        <f>IFERROR(__xludf.DUMMYFUNCTION("""COMPUTED_VALUE"""),"FEMINICÍDIO")</f>
        <v>FEMINICÍDIO</v>
      </c>
      <c r="D1854" s="6">
        <f>IFERROR(__xludf.DUMMYFUNCTION("""COMPUTED_VALUE"""),3.0)</f>
        <v>3</v>
      </c>
      <c r="E1854" s="6">
        <f>IFERROR(__xludf.DUMMYFUNCTION("""COMPUTED_VALUE"""),3.0)</f>
        <v>3</v>
      </c>
      <c r="F1854" s="6">
        <f>IFERROR(__xludf.DUMMYFUNCTION("""COMPUTED_VALUE"""),6.0)</f>
        <v>6</v>
      </c>
      <c r="G1854" s="6">
        <f>IFERROR(__xludf.DUMMYFUNCTION("""COMPUTED_VALUE"""),12.0)</f>
        <v>12</v>
      </c>
    </row>
    <row r="1855">
      <c r="A1855" s="6">
        <f>IFERROR(__xludf.DUMMYFUNCTION("""COMPUTED_VALUE"""),2022.0)</f>
        <v>2022</v>
      </c>
      <c r="B1855" s="6" t="str">
        <f>IFERROR(__xludf.DUMMYFUNCTION("""COMPUTED_VALUE"""),"Abril")</f>
        <v>Abril</v>
      </c>
      <c r="C1855" s="6" t="str">
        <f>IFERROR(__xludf.DUMMYFUNCTION("""COMPUTED_VALUE"""),"HOMICÍDIO CULPOSO")</f>
        <v>HOMICÍDIO CULPOSO</v>
      </c>
      <c r="D1855" s="6">
        <f>IFERROR(__xludf.DUMMYFUNCTION("""COMPUTED_VALUE"""),0.0)</f>
        <v>0</v>
      </c>
      <c r="E1855" s="6">
        <f>IFERROR(__xludf.DUMMYFUNCTION("""COMPUTED_VALUE"""),0.0)</f>
        <v>0</v>
      </c>
      <c r="F1855" s="6">
        <f>IFERROR(__xludf.DUMMYFUNCTION("""COMPUTED_VALUE"""),0.0)</f>
        <v>0</v>
      </c>
      <c r="G1855" s="6">
        <f>IFERROR(__xludf.DUMMYFUNCTION("""COMPUTED_VALUE"""),0.0)</f>
        <v>0</v>
      </c>
    </row>
    <row r="1856">
      <c r="A1856" s="6">
        <f>IFERROR(__xludf.DUMMYFUNCTION("""COMPUTED_VALUE"""),2022.0)</f>
        <v>2022</v>
      </c>
      <c r="B1856" s="6" t="str">
        <f>IFERROR(__xludf.DUMMYFUNCTION("""COMPUTED_VALUE"""),"Abril")</f>
        <v>Abril</v>
      </c>
      <c r="C1856" s="6" t="str">
        <f>IFERROR(__xludf.DUMMYFUNCTION("""COMPUTED_VALUE"""),"TENTATIVA DE HOMICÍDIO")</f>
        <v>TENTATIVA DE HOMICÍDIO</v>
      </c>
      <c r="D1856" s="6">
        <f>IFERROR(__xludf.DUMMYFUNCTION("""COMPUTED_VALUE"""),1.0)</f>
        <v>1</v>
      </c>
      <c r="E1856" s="6">
        <f>IFERROR(__xludf.DUMMYFUNCTION("""COMPUTED_VALUE"""),1.0)</f>
        <v>1</v>
      </c>
      <c r="F1856" s="6">
        <f>IFERROR(__xludf.DUMMYFUNCTION("""COMPUTED_VALUE"""),11.0)</f>
        <v>11</v>
      </c>
      <c r="G1856" s="6">
        <f>IFERROR(__xludf.DUMMYFUNCTION("""COMPUTED_VALUE"""),13.0)</f>
        <v>13</v>
      </c>
    </row>
    <row r="1857">
      <c r="A1857" s="6">
        <f>IFERROR(__xludf.DUMMYFUNCTION("""COMPUTED_VALUE"""),2022.0)</f>
        <v>2022</v>
      </c>
      <c r="B1857" s="6" t="str">
        <f>IFERROR(__xludf.DUMMYFUNCTION("""COMPUTED_VALUE"""),"Abril")</f>
        <v>Abril</v>
      </c>
      <c r="C1857" s="6" t="str">
        <f>IFERROR(__xludf.DUMMYFUNCTION("""COMPUTED_VALUE"""),"LESÃO CORPORAL DOLOSA")</f>
        <v>LESÃO CORPORAL DOLOSA</v>
      </c>
      <c r="D1857" s="6">
        <f>IFERROR(__xludf.DUMMYFUNCTION("""COMPUTED_VALUE"""),912.0)</f>
        <v>912</v>
      </c>
      <c r="E1857" s="6">
        <f>IFERROR(__xludf.DUMMYFUNCTION("""COMPUTED_VALUE"""),784.0)</f>
        <v>784</v>
      </c>
      <c r="F1857" s="6">
        <f>IFERROR(__xludf.DUMMYFUNCTION("""COMPUTED_VALUE"""),2814.0)</f>
        <v>2814</v>
      </c>
      <c r="G1857" s="6">
        <f>IFERROR(__xludf.DUMMYFUNCTION("""COMPUTED_VALUE"""),4510.0)</f>
        <v>4510</v>
      </c>
    </row>
    <row r="1858">
      <c r="A1858" s="6">
        <f>IFERROR(__xludf.DUMMYFUNCTION("""COMPUTED_VALUE"""),2022.0)</f>
        <v>2022</v>
      </c>
      <c r="B1858" s="6" t="str">
        <f>IFERROR(__xludf.DUMMYFUNCTION("""COMPUTED_VALUE"""),"Abril")</f>
        <v>Abril</v>
      </c>
      <c r="C1858" s="6" t="str">
        <f>IFERROR(__xludf.DUMMYFUNCTION("""COMPUTED_VALUE"""),"MAUS TRATOS")</f>
        <v>MAUS TRATOS</v>
      </c>
      <c r="D1858" s="6">
        <f>IFERROR(__xludf.DUMMYFUNCTION("""COMPUTED_VALUE"""),2.0)</f>
        <v>2</v>
      </c>
      <c r="E1858" s="6">
        <f>IFERROR(__xludf.DUMMYFUNCTION("""COMPUTED_VALUE"""),2.0)</f>
        <v>2</v>
      </c>
      <c r="F1858" s="6">
        <f>IFERROR(__xludf.DUMMYFUNCTION("""COMPUTED_VALUE"""),14.0)</f>
        <v>14</v>
      </c>
      <c r="G1858" s="6">
        <f>IFERROR(__xludf.DUMMYFUNCTION("""COMPUTED_VALUE"""),18.0)</f>
        <v>18</v>
      </c>
    </row>
    <row r="1859">
      <c r="A1859" s="6">
        <f>IFERROR(__xludf.DUMMYFUNCTION("""COMPUTED_VALUE"""),2022.0)</f>
        <v>2022</v>
      </c>
      <c r="B1859" s="6" t="str">
        <f>IFERROR(__xludf.DUMMYFUNCTION("""COMPUTED_VALUE"""),"Abril")</f>
        <v>Abril</v>
      </c>
      <c r="C1859" s="6" t="str">
        <f>IFERROR(__xludf.DUMMYFUNCTION("""COMPUTED_VALUE"""),"CALÚNIA - DIFAMAÇÃO - INJÚRIA")</f>
        <v>CALÚNIA - DIFAMAÇÃO - INJÚRIA</v>
      </c>
      <c r="D1859" s="6">
        <f>IFERROR(__xludf.DUMMYFUNCTION("""COMPUTED_VALUE"""),178.0)</f>
        <v>178</v>
      </c>
      <c r="E1859" s="6">
        <f>IFERROR(__xludf.DUMMYFUNCTION("""COMPUTED_VALUE"""),151.0)</f>
        <v>151</v>
      </c>
      <c r="F1859" s="6">
        <f>IFERROR(__xludf.DUMMYFUNCTION("""COMPUTED_VALUE"""),654.0)</f>
        <v>654</v>
      </c>
      <c r="G1859" s="6">
        <f>IFERROR(__xludf.DUMMYFUNCTION("""COMPUTED_VALUE"""),983.0)</f>
        <v>983</v>
      </c>
    </row>
    <row r="1860">
      <c r="A1860" s="6">
        <f>IFERROR(__xludf.DUMMYFUNCTION("""COMPUTED_VALUE"""),2022.0)</f>
        <v>2022</v>
      </c>
      <c r="B1860" s="6" t="str">
        <f>IFERROR(__xludf.DUMMYFUNCTION("""COMPUTED_VALUE"""),"Abril")</f>
        <v>Abril</v>
      </c>
      <c r="C1860" s="6" t="str">
        <f>IFERROR(__xludf.DUMMYFUNCTION("""COMPUTED_VALUE"""),"CONSTRANGIMENTO ILEGAL")</f>
        <v>CONSTRANGIMENTO ILEGAL</v>
      </c>
      <c r="D1860" s="6">
        <f>IFERROR(__xludf.DUMMYFUNCTION("""COMPUTED_VALUE"""),1.0)</f>
        <v>1</v>
      </c>
      <c r="E1860" s="6">
        <f>IFERROR(__xludf.DUMMYFUNCTION("""COMPUTED_VALUE"""),0.0)</f>
        <v>0</v>
      </c>
      <c r="F1860" s="6">
        <f>IFERROR(__xludf.DUMMYFUNCTION("""COMPUTED_VALUE"""),5.0)</f>
        <v>5</v>
      </c>
      <c r="G1860" s="6">
        <f>IFERROR(__xludf.DUMMYFUNCTION("""COMPUTED_VALUE"""),6.0)</f>
        <v>6</v>
      </c>
    </row>
    <row r="1861">
      <c r="A1861" s="6">
        <f>IFERROR(__xludf.DUMMYFUNCTION("""COMPUTED_VALUE"""),2022.0)</f>
        <v>2022</v>
      </c>
      <c r="B1861" s="6" t="str">
        <f>IFERROR(__xludf.DUMMYFUNCTION("""COMPUTED_VALUE"""),"Abril")</f>
        <v>Abril</v>
      </c>
      <c r="C1861" s="6" t="str">
        <f>IFERROR(__xludf.DUMMYFUNCTION("""COMPUTED_VALUE"""),"AMEAÇA")</f>
        <v>AMEAÇA</v>
      </c>
      <c r="D1861" s="6">
        <f>IFERROR(__xludf.DUMMYFUNCTION("""COMPUTED_VALUE"""),842.0)</f>
        <v>842</v>
      </c>
      <c r="E1861" s="6">
        <f>IFERROR(__xludf.DUMMYFUNCTION("""COMPUTED_VALUE"""),771.0)</f>
        <v>771</v>
      </c>
      <c r="F1861" s="6">
        <f>IFERROR(__xludf.DUMMYFUNCTION("""COMPUTED_VALUE"""),2884.0)</f>
        <v>2884</v>
      </c>
      <c r="G1861" s="6">
        <f>IFERROR(__xludf.DUMMYFUNCTION("""COMPUTED_VALUE"""),4497.0)</f>
        <v>4497</v>
      </c>
    </row>
    <row r="1862">
      <c r="A1862" s="6">
        <f>IFERROR(__xludf.DUMMYFUNCTION("""COMPUTED_VALUE"""),2022.0)</f>
        <v>2022</v>
      </c>
      <c r="B1862" s="6" t="str">
        <f>IFERROR(__xludf.DUMMYFUNCTION("""COMPUTED_VALUE"""),"Abril")</f>
        <v>Abril</v>
      </c>
      <c r="C1862" s="6" t="str">
        <f>IFERROR(__xludf.DUMMYFUNCTION("""COMPUTED_VALUE"""),"INVASÃO DE DOMICÍLIO")</f>
        <v>INVASÃO DE DOMICÍLIO</v>
      </c>
      <c r="D1862" s="6">
        <f>IFERROR(__xludf.DUMMYFUNCTION("""COMPUTED_VALUE"""),1.0)</f>
        <v>1</v>
      </c>
      <c r="E1862" s="6">
        <f>IFERROR(__xludf.DUMMYFUNCTION("""COMPUTED_VALUE"""),1.0)</f>
        <v>1</v>
      </c>
      <c r="F1862" s="6">
        <f>IFERROR(__xludf.DUMMYFUNCTION("""COMPUTED_VALUE"""),11.0)</f>
        <v>11</v>
      </c>
      <c r="G1862" s="6">
        <f>IFERROR(__xludf.DUMMYFUNCTION("""COMPUTED_VALUE"""),13.0)</f>
        <v>13</v>
      </c>
    </row>
    <row r="1863">
      <c r="A1863" s="6">
        <f>IFERROR(__xludf.DUMMYFUNCTION("""COMPUTED_VALUE"""),2022.0)</f>
        <v>2022</v>
      </c>
      <c r="B1863" s="6" t="str">
        <f>IFERROR(__xludf.DUMMYFUNCTION("""COMPUTED_VALUE"""),"Abril")</f>
        <v>Abril</v>
      </c>
      <c r="C1863" s="6" t="str">
        <f>IFERROR(__xludf.DUMMYFUNCTION("""COMPUTED_VALUE"""),"DANO")</f>
        <v>DANO</v>
      </c>
      <c r="D1863" s="6">
        <f>IFERROR(__xludf.DUMMYFUNCTION("""COMPUTED_VALUE"""),9.0)</f>
        <v>9</v>
      </c>
      <c r="E1863" s="6">
        <f>IFERROR(__xludf.DUMMYFUNCTION("""COMPUTED_VALUE"""),9.0)</f>
        <v>9</v>
      </c>
      <c r="F1863" s="6">
        <f>IFERROR(__xludf.DUMMYFUNCTION("""COMPUTED_VALUE"""),51.0)</f>
        <v>51</v>
      </c>
      <c r="G1863" s="6">
        <f>IFERROR(__xludf.DUMMYFUNCTION("""COMPUTED_VALUE"""),69.0)</f>
        <v>69</v>
      </c>
    </row>
    <row r="1864">
      <c r="A1864" s="6">
        <f>IFERROR(__xludf.DUMMYFUNCTION("""COMPUTED_VALUE"""),2022.0)</f>
        <v>2022</v>
      </c>
      <c r="B1864" s="6" t="str">
        <f>IFERROR(__xludf.DUMMYFUNCTION("""COMPUTED_VALUE"""),"Abril")</f>
        <v>Abril</v>
      </c>
      <c r="C1864" s="6" t="str">
        <f>IFERROR(__xludf.DUMMYFUNCTION("""COMPUTED_VALUE"""),"ESTUPRO CONSUMADO")</f>
        <v>ESTUPRO CONSUMADO</v>
      </c>
      <c r="D1864" s="6">
        <f>IFERROR(__xludf.DUMMYFUNCTION("""COMPUTED_VALUE"""),9.0)</f>
        <v>9</v>
      </c>
      <c r="E1864" s="6">
        <f>IFERROR(__xludf.DUMMYFUNCTION("""COMPUTED_VALUE"""),6.0)</f>
        <v>6</v>
      </c>
      <c r="F1864" s="6">
        <f>IFERROR(__xludf.DUMMYFUNCTION("""COMPUTED_VALUE"""),16.0)</f>
        <v>16</v>
      </c>
      <c r="G1864" s="6">
        <f>IFERROR(__xludf.DUMMYFUNCTION("""COMPUTED_VALUE"""),31.0)</f>
        <v>31</v>
      </c>
    </row>
    <row r="1865">
      <c r="A1865" s="6">
        <f>IFERROR(__xludf.DUMMYFUNCTION("""COMPUTED_VALUE"""),2022.0)</f>
        <v>2022</v>
      </c>
      <c r="B1865" s="6" t="str">
        <f>IFERROR(__xludf.DUMMYFUNCTION("""COMPUTED_VALUE"""),"Abril")</f>
        <v>Abril</v>
      </c>
      <c r="C1865" s="6" t="str">
        <f>IFERROR(__xludf.DUMMYFUNCTION("""COMPUTED_VALUE"""),"ESTUPRO TENTADO")</f>
        <v>ESTUPRO TENTADO</v>
      </c>
      <c r="D1865" s="6">
        <f>IFERROR(__xludf.DUMMYFUNCTION("""COMPUTED_VALUE"""),0.0)</f>
        <v>0</v>
      </c>
      <c r="E1865" s="6">
        <f>IFERROR(__xludf.DUMMYFUNCTION("""COMPUTED_VALUE"""),0.0)</f>
        <v>0</v>
      </c>
      <c r="F1865" s="6">
        <f>IFERROR(__xludf.DUMMYFUNCTION("""COMPUTED_VALUE"""),1.0)</f>
        <v>1</v>
      </c>
      <c r="G1865" s="6">
        <f>IFERROR(__xludf.DUMMYFUNCTION("""COMPUTED_VALUE"""),1.0)</f>
        <v>1</v>
      </c>
    </row>
    <row r="1866">
      <c r="A1866" s="6">
        <f>IFERROR(__xludf.DUMMYFUNCTION("""COMPUTED_VALUE"""),2022.0)</f>
        <v>2022</v>
      </c>
      <c r="B1866" s="6" t="str">
        <f>IFERROR(__xludf.DUMMYFUNCTION("""COMPUTED_VALUE"""),"Abril")</f>
        <v>Abril</v>
      </c>
      <c r="C1866" s="6" t="str">
        <f>IFERROR(__xludf.DUMMYFUNCTION("""COMPUTED_VALUE"""),"ESTUPRO DE VULNERÁVEL CONSUMADO")</f>
        <v>ESTUPRO DE VULNERÁVEL CONSUMADO</v>
      </c>
      <c r="D1866" s="6">
        <f>IFERROR(__xludf.DUMMYFUNCTION("""COMPUTED_VALUE"""),2.0)</f>
        <v>2</v>
      </c>
      <c r="E1866" s="6">
        <f>IFERROR(__xludf.DUMMYFUNCTION("""COMPUTED_VALUE"""),3.0)</f>
        <v>3</v>
      </c>
      <c r="F1866" s="6">
        <f>IFERROR(__xludf.DUMMYFUNCTION("""COMPUTED_VALUE"""),15.0)</f>
        <v>15</v>
      </c>
      <c r="G1866" s="6">
        <f>IFERROR(__xludf.DUMMYFUNCTION("""COMPUTED_VALUE"""),20.0)</f>
        <v>20</v>
      </c>
    </row>
    <row r="1867">
      <c r="A1867" s="6">
        <f>IFERROR(__xludf.DUMMYFUNCTION("""COMPUTED_VALUE"""),2022.0)</f>
        <v>2022</v>
      </c>
      <c r="B1867" s="6" t="str">
        <f>IFERROR(__xludf.DUMMYFUNCTION("""COMPUTED_VALUE"""),"Abril")</f>
        <v>Abril</v>
      </c>
      <c r="C1867" s="6" t="str">
        <f>IFERROR(__xludf.DUMMYFUNCTION("""COMPUTED_VALUE"""),"OUTROS C/C/ DIGNIDADE SEXUAL")</f>
        <v>OUTROS C/C/ DIGNIDADE SEXUAL</v>
      </c>
      <c r="D1867" s="6">
        <f>IFERROR(__xludf.DUMMYFUNCTION("""COMPUTED_VALUE"""),0.0)</f>
        <v>0</v>
      </c>
      <c r="E1867" s="6">
        <f>IFERROR(__xludf.DUMMYFUNCTION("""COMPUTED_VALUE"""),0.0)</f>
        <v>0</v>
      </c>
      <c r="F1867" s="6">
        <f>IFERROR(__xludf.DUMMYFUNCTION("""COMPUTED_VALUE"""),1.0)</f>
        <v>1</v>
      </c>
      <c r="G1867" s="6">
        <f>IFERROR(__xludf.DUMMYFUNCTION("""COMPUTED_VALUE"""),1.0)</f>
        <v>1</v>
      </c>
    </row>
    <row r="1868">
      <c r="A1868" s="6">
        <f>IFERROR(__xludf.DUMMYFUNCTION("""COMPUTED_VALUE"""),2022.0)</f>
        <v>2022</v>
      </c>
      <c r="B1868" s="6" t="str">
        <f>IFERROR(__xludf.DUMMYFUNCTION("""COMPUTED_VALUE"""),"Maio")</f>
        <v>Maio</v>
      </c>
      <c r="C1868" s="6" t="str">
        <f>IFERROR(__xludf.DUMMYFUNCTION("""COMPUTED_VALUE"""),"HOMICÍDIO DOLOSO (exclui FEMINICÍDIO)")</f>
        <v>HOMICÍDIO DOLOSO (exclui FEMINICÍDIO)</v>
      </c>
      <c r="D1868" s="6">
        <f>IFERROR(__xludf.DUMMYFUNCTION("""COMPUTED_VALUE"""),2.0)</f>
        <v>2</v>
      </c>
      <c r="E1868" s="6">
        <f>IFERROR(__xludf.DUMMYFUNCTION("""COMPUTED_VALUE"""),1.0)</f>
        <v>1</v>
      </c>
      <c r="F1868" s="6">
        <f>IFERROR(__xludf.DUMMYFUNCTION("""COMPUTED_VALUE"""),3.0)</f>
        <v>3</v>
      </c>
      <c r="G1868" s="6">
        <f>IFERROR(__xludf.DUMMYFUNCTION("""COMPUTED_VALUE"""),6.0)</f>
        <v>6</v>
      </c>
    </row>
    <row r="1869">
      <c r="A1869" s="6">
        <f>IFERROR(__xludf.DUMMYFUNCTION("""COMPUTED_VALUE"""),2022.0)</f>
        <v>2022</v>
      </c>
      <c r="B1869" s="6" t="str">
        <f>IFERROR(__xludf.DUMMYFUNCTION("""COMPUTED_VALUE"""),"Maio")</f>
        <v>Maio</v>
      </c>
      <c r="C1869" s="6" t="str">
        <f>IFERROR(__xludf.DUMMYFUNCTION("""COMPUTED_VALUE"""),"FEMINICÍDIO")</f>
        <v>FEMINICÍDIO</v>
      </c>
      <c r="D1869" s="6">
        <f>IFERROR(__xludf.DUMMYFUNCTION("""COMPUTED_VALUE"""),4.0)</f>
        <v>4</v>
      </c>
      <c r="E1869" s="6">
        <f>IFERROR(__xludf.DUMMYFUNCTION("""COMPUTED_VALUE"""),4.0)</f>
        <v>4</v>
      </c>
      <c r="F1869" s="6">
        <f>IFERROR(__xludf.DUMMYFUNCTION("""COMPUTED_VALUE"""),8.0)</f>
        <v>8</v>
      </c>
      <c r="G1869" s="6">
        <f>IFERROR(__xludf.DUMMYFUNCTION("""COMPUTED_VALUE"""),16.0)</f>
        <v>16</v>
      </c>
    </row>
    <row r="1870">
      <c r="A1870" s="6">
        <f>IFERROR(__xludf.DUMMYFUNCTION("""COMPUTED_VALUE"""),2022.0)</f>
        <v>2022</v>
      </c>
      <c r="B1870" s="6" t="str">
        <f>IFERROR(__xludf.DUMMYFUNCTION("""COMPUTED_VALUE"""),"Maio")</f>
        <v>Maio</v>
      </c>
      <c r="C1870" s="6" t="str">
        <f>IFERROR(__xludf.DUMMYFUNCTION("""COMPUTED_VALUE"""),"HOMICÍDIO CULPOSO")</f>
        <v>HOMICÍDIO CULPOSO</v>
      </c>
      <c r="D1870" s="6">
        <f>IFERROR(__xludf.DUMMYFUNCTION("""COMPUTED_VALUE"""),0.0)</f>
        <v>0</v>
      </c>
      <c r="E1870" s="6">
        <f>IFERROR(__xludf.DUMMYFUNCTION("""COMPUTED_VALUE"""),0.0)</f>
        <v>0</v>
      </c>
      <c r="F1870" s="6">
        <f>IFERROR(__xludf.DUMMYFUNCTION("""COMPUTED_VALUE"""),0.0)</f>
        <v>0</v>
      </c>
      <c r="G1870" s="6">
        <f>IFERROR(__xludf.DUMMYFUNCTION("""COMPUTED_VALUE"""),0.0)</f>
        <v>0</v>
      </c>
    </row>
    <row r="1871">
      <c r="A1871" s="6">
        <f>IFERROR(__xludf.DUMMYFUNCTION("""COMPUTED_VALUE"""),2022.0)</f>
        <v>2022</v>
      </c>
      <c r="B1871" s="6" t="str">
        <f>IFERROR(__xludf.DUMMYFUNCTION("""COMPUTED_VALUE"""),"Maio")</f>
        <v>Maio</v>
      </c>
      <c r="C1871" s="6" t="str">
        <f>IFERROR(__xludf.DUMMYFUNCTION("""COMPUTED_VALUE"""),"TENTATIVA DE HOMICÍDIO")</f>
        <v>TENTATIVA DE HOMICÍDIO</v>
      </c>
      <c r="D1871" s="6">
        <f>IFERROR(__xludf.DUMMYFUNCTION("""COMPUTED_VALUE"""),2.0)</f>
        <v>2</v>
      </c>
      <c r="E1871" s="6">
        <f>IFERROR(__xludf.DUMMYFUNCTION("""COMPUTED_VALUE"""),2.0)</f>
        <v>2</v>
      </c>
      <c r="F1871" s="6">
        <f>IFERROR(__xludf.DUMMYFUNCTION("""COMPUTED_VALUE"""),13.0)</f>
        <v>13</v>
      </c>
      <c r="G1871" s="6">
        <f>IFERROR(__xludf.DUMMYFUNCTION("""COMPUTED_VALUE"""),17.0)</f>
        <v>17</v>
      </c>
    </row>
    <row r="1872">
      <c r="A1872" s="6">
        <f>IFERROR(__xludf.DUMMYFUNCTION("""COMPUTED_VALUE"""),2022.0)</f>
        <v>2022</v>
      </c>
      <c r="B1872" s="6" t="str">
        <f>IFERROR(__xludf.DUMMYFUNCTION("""COMPUTED_VALUE"""),"Maio")</f>
        <v>Maio</v>
      </c>
      <c r="C1872" s="6" t="str">
        <f>IFERROR(__xludf.DUMMYFUNCTION("""COMPUTED_VALUE"""),"LESÃO CORPORAL DOLOSA")</f>
        <v>LESÃO CORPORAL DOLOSA</v>
      </c>
      <c r="D1872" s="6">
        <f>IFERROR(__xludf.DUMMYFUNCTION("""COMPUTED_VALUE"""),1014.0)</f>
        <v>1014</v>
      </c>
      <c r="E1872" s="6">
        <f>IFERROR(__xludf.DUMMYFUNCTION("""COMPUTED_VALUE"""),864.0)</f>
        <v>864</v>
      </c>
      <c r="F1872" s="6">
        <f>IFERROR(__xludf.DUMMYFUNCTION("""COMPUTED_VALUE"""),3118.0)</f>
        <v>3118</v>
      </c>
      <c r="G1872" s="6">
        <f>IFERROR(__xludf.DUMMYFUNCTION("""COMPUTED_VALUE"""),4996.0)</f>
        <v>4996</v>
      </c>
    </row>
    <row r="1873">
      <c r="A1873" s="6">
        <f>IFERROR(__xludf.DUMMYFUNCTION("""COMPUTED_VALUE"""),2022.0)</f>
        <v>2022</v>
      </c>
      <c r="B1873" s="6" t="str">
        <f>IFERROR(__xludf.DUMMYFUNCTION("""COMPUTED_VALUE"""),"Maio")</f>
        <v>Maio</v>
      </c>
      <c r="C1873" s="6" t="str">
        <f>IFERROR(__xludf.DUMMYFUNCTION("""COMPUTED_VALUE"""),"MAUS TRATOS")</f>
        <v>MAUS TRATOS</v>
      </c>
      <c r="D1873" s="6">
        <f>IFERROR(__xludf.DUMMYFUNCTION("""COMPUTED_VALUE"""),3.0)</f>
        <v>3</v>
      </c>
      <c r="E1873" s="6">
        <f>IFERROR(__xludf.DUMMYFUNCTION("""COMPUTED_VALUE"""),2.0)</f>
        <v>2</v>
      </c>
      <c r="F1873" s="6">
        <f>IFERROR(__xludf.DUMMYFUNCTION("""COMPUTED_VALUE"""),18.0)</f>
        <v>18</v>
      </c>
      <c r="G1873" s="6">
        <f>IFERROR(__xludf.DUMMYFUNCTION("""COMPUTED_VALUE"""),23.0)</f>
        <v>23</v>
      </c>
    </row>
    <row r="1874">
      <c r="A1874" s="6">
        <f>IFERROR(__xludf.DUMMYFUNCTION("""COMPUTED_VALUE"""),2022.0)</f>
        <v>2022</v>
      </c>
      <c r="B1874" s="6" t="str">
        <f>IFERROR(__xludf.DUMMYFUNCTION("""COMPUTED_VALUE"""),"Maio")</f>
        <v>Maio</v>
      </c>
      <c r="C1874" s="6" t="str">
        <f>IFERROR(__xludf.DUMMYFUNCTION("""COMPUTED_VALUE"""),"CALÚNIA - DIFAMAÇÃO - INJÚRIA")</f>
        <v>CALÚNIA - DIFAMAÇÃO - INJÚRIA</v>
      </c>
      <c r="D1874" s="6">
        <f>IFERROR(__xludf.DUMMYFUNCTION("""COMPUTED_VALUE"""),198.0)</f>
        <v>198</v>
      </c>
      <c r="E1874" s="6">
        <f>IFERROR(__xludf.DUMMYFUNCTION("""COMPUTED_VALUE"""),168.0)</f>
        <v>168</v>
      </c>
      <c r="F1874" s="6">
        <f>IFERROR(__xludf.DUMMYFUNCTION("""COMPUTED_VALUE"""),724.0)</f>
        <v>724</v>
      </c>
      <c r="G1874" s="6">
        <f>IFERROR(__xludf.DUMMYFUNCTION("""COMPUTED_VALUE"""),1090.0)</f>
        <v>1090</v>
      </c>
    </row>
    <row r="1875">
      <c r="A1875" s="6">
        <f>IFERROR(__xludf.DUMMYFUNCTION("""COMPUTED_VALUE"""),2022.0)</f>
        <v>2022</v>
      </c>
      <c r="B1875" s="6" t="str">
        <f>IFERROR(__xludf.DUMMYFUNCTION("""COMPUTED_VALUE"""),"Maio")</f>
        <v>Maio</v>
      </c>
      <c r="C1875" s="6" t="str">
        <f>IFERROR(__xludf.DUMMYFUNCTION("""COMPUTED_VALUE"""),"CONSTRANGIMENTO ILEGAL")</f>
        <v>CONSTRANGIMENTO ILEGAL</v>
      </c>
      <c r="D1875" s="6">
        <f>IFERROR(__xludf.DUMMYFUNCTION("""COMPUTED_VALUE"""),1.0)</f>
        <v>1</v>
      </c>
      <c r="E1875" s="6">
        <f>IFERROR(__xludf.DUMMYFUNCTION("""COMPUTED_VALUE"""),1.0)</f>
        <v>1</v>
      </c>
      <c r="F1875" s="6">
        <f>IFERROR(__xludf.DUMMYFUNCTION("""COMPUTED_VALUE"""),7.0)</f>
        <v>7</v>
      </c>
      <c r="G1875" s="6">
        <f>IFERROR(__xludf.DUMMYFUNCTION("""COMPUTED_VALUE"""),9.0)</f>
        <v>9</v>
      </c>
    </row>
    <row r="1876">
      <c r="A1876" s="6">
        <f>IFERROR(__xludf.DUMMYFUNCTION("""COMPUTED_VALUE"""),2022.0)</f>
        <v>2022</v>
      </c>
      <c r="B1876" s="6" t="str">
        <f>IFERROR(__xludf.DUMMYFUNCTION("""COMPUTED_VALUE"""),"Maio")</f>
        <v>Maio</v>
      </c>
      <c r="C1876" s="6" t="str">
        <f>IFERROR(__xludf.DUMMYFUNCTION("""COMPUTED_VALUE"""),"AMEAÇA")</f>
        <v>AMEAÇA</v>
      </c>
      <c r="D1876" s="6">
        <f>IFERROR(__xludf.DUMMYFUNCTION("""COMPUTED_VALUE"""),948.0)</f>
        <v>948</v>
      </c>
      <c r="E1876" s="6">
        <f>IFERROR(__xludf.DUMMYFUNCTION("""COMPUTED_VALUE"""),852.0)</f>
        <v>852</v>
      </c>
      <c r="F1876" s="6">
        <f>IFERROR(__xludf.DUMMYFUNCTION("""COMPUTED_VALUE"""),3214.0)</f>
        <v>3214</v>
      </c>
      <c r="G1876" s="6">
        <f>IFERROR(__xludf.DUMMYFUNCTION("""COMPUTED_VALUE"""),5014.0)</f>
        <v>5014</v>
      </c>
    </row>
    <row r="1877">
      <c r="A1877" s="6">
        <f>IFERROR(__xludf.DUMMYFUNCTION("""COMPUTED_VALUE"""),2022.0)</f>
        <v>2022</v>
      </c>
      <c r="B1877" s="6" t="str">
        <f>IFERROR(__xludf.DUMMYFUNCTION("""COMPUTED_VALUE"""),"Maio")</f>
        <v>Maio</v>
      </c>
      <c r="C1877" s="6" t="str">
        <f>IFERROR(__xludf.DUMMYFUNCTION("""COMPUTED_VALUE"""),"INVASÃO DE DOMICÍLIO")</f>
        <v>INVASÃO DE DOMICÍLIO</v>
      </c>
      <c r="D1877" s="6">
        <f>IFERROR(__xludf.DUMMYFUNCTION("""COMPUTED_VALUE"""),1.0)</f>
        <v>1</v>
      </c>
      <c r="E1877" s="6">
        <f>IFERROR(__xludf.DUMMYFUNCTION("""COMPUTED_VALUE"""),2.0)</f>
        <v>2</v>
      </c>
      <c r="F1877" s="6">
        <f>IFERROR(__xludf.DUMMYFUNCTION("""COMPUTED_VALUE"""),13.0)</f>
        <v>13</v>
      </c>
      <c r="G1877" s="6">
        <f>IFERROR(__xludf.DUMMYFUNCTION("""COMPUTED_VALUE"""),16.0)</f>
        <v>16</v>
      </c>
    </row>
    <row r="1878">
      <c r="A1878" s="6">
        <f>IFERROR(__xludf.DUMMYFUNCTION("""COMPUTED_VALUE"""),2022.0)</f>
        <v>2022</v>
      </c>
      <c r="B1878" s="6" t="str">
        <f>IFERROR(__xludf.DUMMYFUNCTION("""COMPUTED_VALUE"""),"Maio")</f>
        <v>Maio</v>
      </c>
      <c r="C1878" s="6" t="str">
        <f>IFERROR(__xludf.DUMMYFUNCTION("""COMPUTED_VALUE"""),"DANO")</f>
        <v>DANO</v>
      </c>
      <c r="D1878" s="6">
        <f>IFERROR(__xludf.DUMMYFUNCTION("""COMPUTED_VALUE"""),11.0)</f>
        <v>11</v>
      </c>
      <c r="E1878" s="6">
        <f>IFERROR(__xludf.DUMMYFUNCTION("""COMPUTED_VALUE"""),11.0)</f>
        <v>11</v>
      </c>
      <c r="F1878" s="6">
        <f>IFERROR(__xludf.DUMMYFUNCTION("""COMPUTED_VALUE"""),62.0)</f>
        <v>62</v>
      </c>
      <c r="G1878" s="6">
        <f>IFERROR(__xludf.DUMMYFUNCTION("""COMPUTED_VALUE"""),84.0)</f>
        <v>84</v>
      </c>
    </row>
    <row r="1879">
      <c r="A1879" s="6">
        <f>IFERROR(__xludf.DUMMYFUNCTION("""COMPUTED_VALUE"""),2022.0)</f>
        <v>2022</v>
      </c>
      <c r="B1879" s="6" t="str">
        <f>IFERROR(__xludf.DUMMYFUNCTION("""COMPUTED_VALUE"""),"Maio")</f>
        <v>Maio</v>
      </c>
      <c r="C1879" s="6" t="str">
        <f>IFERROR(__xludf.DUMMYFUNCTION("""COMPUTED_VALUE"""),"ESTUPRO CONSUMADO")</f>
        <v>ESTUPRO CONSUMADO</v>
      </c>
      <c r="D1879" s="6">
        <f>IFERROR(__xludf.DUMMYFUNCTION("""COMPUTED_VALUE"""),10.0)</f>
        <v>10</v>
      </c>
      <c r="E1879" s="6">
        <f>IFERROR(__xludf.DUMMYFUNCTION("""COMPUTED_VALUE"""),7.0)</f>
        <v>7</v>
      </c>
      <c r="F1879" s="6">
        <f>IFERROR(__xludf.DUMMYFUNCTION("""COMPUTED_VALUE"""),19.0)</f>
        <v>19</v>
      </c>
      <c r="G1879" s="6">
        <f>IFERROR(__xludf.DUMMYFUNCTION("""COMPUTED_VALUE"""),36.0)</f>
        <v>36</v>
      </c>
    </row>
    <row r="1880">
      <c r="A1880" s="6">
        <f>IFERROR(__xludf.DUMMYFUNCTION("""COMPUTED_VALUE"""),2022.0)</f>
        <v>2022</v>
      </c>
      <c r="B1880" s="6" t="str">
        <f>IFERROR(__xludf.DUMMYFUNCTION("""COMPUTED_VALUE"""),"Maio")</f>
        <v>Maio</v>
      </c>
      <c r="C1880" s="6" t="str">
        <f>IFERROR(__xludf.DUMMYFUNCTION("""COMPUTED_VALUE"""),"ESTUPRO TENTADO")</f>
        <v>ESTUPRO TENTADO</v>
      </c>
      <c r="D1880" s="6">
        <f>IFERROR(__xludf.DUMMYFUNCTION("""COMPUTED_VALUE"""),1.0)</f>
        <v>1</v>
      </c>
      <c r="E1880" s="6">
        <f>IFERROR(__xludf.DUMMYFUNCTION("""COMPUTED_VALUE"""),0.0)</f>
        <v>0</v>
      </c>
      <c r="F1880" s="6">
        <f>IFERROR(__xludf.DUMMYFUNCTION("""COMPUTED_VALUE"""),1.0)</f>
        <v>1</v>
      </c>
      <c r="G1880" s="6">
        <f>IFERROR(__xludf.DUMMYFUNCTION("""COMPUTED_VALUE"""),2.0)</f>
        <v>2</v>
      </c>
    </row>
    <row r="1881">
      <c r="A1881" s="6">
        <f>IFERROR(__xludf.DUMMYFUNCTION("""COMPUTED_VALUE"""),2022.0)</f>
        <v>2022</v>
      </c>
      <c r="B1881" s="6" t="str">
        <f>IFERROR(__xludf.DUMMYFUNCTION("""COMPUTED_VALUE"""),"Maio")</f>
        <v>Maio</v>
      </c>
      <c r="C1881" s="6" t="str">
        <f>IFERROR(__xludf.DUMMYFUNCTION("""COMPUTED_VALUE"""),"ESTUPRO DE VULNERÁVEL CONSUMADO")</f>
        <v>ESTUPRO DE VULNERÁVEL CONSUMADO</v>
      </c>
      <c r="D1881" s="6">
        <f>IFERROR(__xludf.DUMMYFUNCTION("""COMPUTED_VALUE"""),3.0)</f>
        <v>3</v>
      </c>
      <c r="E1881" s="6">
        <f>IFERROR(__xludf.DUMMYFUNCTION("""COMPUTED_VALUE"""),4.0)</f>
        <v>4</v>
      </c>
      <c r="F1881" s="6">
        <f>IFERROR(__xludf.DUMMYFUNCTION("""COMPUTED_VALUE"""),18.0)</f>
        <v>18</v>
      </c>
      <c r="G1881" s="6">
        <f>IFERROR(__xludf.DUMMYFUNCTION("""COMPUTED_VALUE"""),25.0)</f>
        <v>25</v>
      </c>
    </row>
    <row r="1882">
      <c r="A1882" s="6">
        <f>IFERROR(__xludf.DUMMYFUNCTION("""COMPUTED_VALUE"""),2022.0)</f>
        <v>2022</v>
      </c>
      <c r="B1882" s="6" t="str">
        <f>IFERROR(__xludf.DUMMYFUNCTION("""COMPUTED_VALUE"""),"Maio")</f>
        <v>Maio</v>
      </c>
      <c r="C1882" s="6" t="str">
        <f>IFERROR(__xludf.DUMMYFUNCTION("""COMPUTED_VALUE"""),"OUTROS C/C/ DIGNIDADE SEXUAL")</f>
        <v>OUTROS C/C/ DIGNIDADE SEXUAL</v>
      </c>
      <c r="D1882" s="6">
        <f>IFERROR(__xludf.DUMMYFUNCTION("""COMPUTED_VALUE"""),0.0)</f>
        <v>0</v>
      </c>
      <c r="E1882" s="6">
        <f>IFERROR(__xludf.DUMMYFUNCTION("""COMPUTED_VALUE"""),1.0)</f>
        <v>1</v>
      </c>
      <c r="F1882" s="6">
        <f>IFERROR(__xludf.DUMMYFUNCTION("""COMPUTED_VALUE"""),2.0)</f>
        <v>2</v>
      </c>
      <c r="G1882" s="6">
        <f>IFERROR(__xludf.DUMMYFUNCTION("""COMPUTED_VALUE"""),3.0)</f>
        <v>3</v>
      </c>
    </row>
    <row r="1883">
      <c r="A1883" s="6">
        <f>IFERROR(__xludf.DUMMYFUNCTION("""COMPUTED_VALUE"""),2022.0)</f>
        <v>2022</v>
      </c>
      <c r="B1883" s="6" t="str">
        <f>IFERROR(__xludf.DUMMYFUNCTION("""COMPUTED_VALUE"""),"Junho")</f>
        <v>Junho</v>
      </c>
      <c r="C1883" s="6" t="str">
        <f>IFERROR(__xludf.DUMMYFUNCTION("""COMPUTED_VALUE"""),"HOMICÍDIO DOLOSO (exclui FEMINICÍDIO)")</f>
        <v>HOMICÍDIO DOLOSO (exclui FEMINICÍDIO)</v>
      </c>
      <c r="D1883" s="6">
        <f>IFERROR(__xludf.DUMMYFUNCTION("""COMPUTED_VALUE"""),1.0)</f>
        <v>1</v>
      </c>
      <c r="E1883" s="6">
        <f>IFERROR(__xludf.DUMMYFUNCTION("""COMPUTED_VALUE"""),0.0)</f>
        <v>0</v>
      </c>
      <c r="F1883" s="6">
        <f>IFERROR(__xludf.DUMMYFUNCTION("""COMPUTED_VALUE"""),2.0)</f>
        <v>2</v>
      </c>
      <c r="G1883" s="6">
        <f>IFERROR(__xludf.DUMMYFUNCTION("""COMPUTED_VALUE"""),3.0)</f>
        <v>3</v>
      </c>
    </row>
    <row r="1884">
      <c r="A1884" s="6">
        <f>IFERROR(__xludf.DUMMYFUNCTION("""COMPUTED_VALUE"""),2022.0)</f>
        <v>2022</v>
      </c>
      <c r="B1884" s="6" t="str">
        <f>IFERROR(__xludf.DUMMYFUNCTION("""COMPUTED_VALUE"""),"Junho")</f>
        <v>Junho</v>
      </c>
      <c r="C1884" s="6" t="str">
        <f>IFERROR(__xludf.DUMMYFUNCTION("""COMPUTED_VALUE"""),"FEMINICÍDIO")</f>
        <v>FEMINICÍDIO</v>
      </c>
      <c r="D1884" s="6">
        <f>IFERROR(__xludf.DUMMYFUNCTION("""COMPUTED_VALUE"""),3.0)</f>
        <v>3</v>
      </c>
      <c r="E1884" s="6">
        <f>IFERROR(__xludf.DUMMYFUNCTION("""COMPUTED_VALUE"""),3.0)</f>
        <v>3</v>
      </c>
      <c r="F1884" s="6">
        <f>IFERROR(__xludf.DUMMYFUNCTION("""COMPUTED_VALUE"""),6.0)</f>
        <v>6</v>
      </c>
      <c r="G1884" s="6">
        <f>IFERROR(__xludf.DUMMYFUNCTION("""COMPUTED_VALUE"""),12.0)</f>
        <v>12</v>
      </c>
    </row>
    <row r="1885">
      <c r="A1885" s="6">
        <f>IFERROR(__xludf.DUMMYFUNCTION("""COMPUTED_VALUE"""),2022.0)</f>
        <v>2022</v>
      </c>
      <c r="B1885" s="6" t="str">
        <f>IFERROR(__xludf.DUMMYFUNCTION("""COMPUTED_VALUE"""),"Junho")</f>
        <v>Junho</v>
      </c>
      <c r="C1885" s="6" t="str">
        <f>IFERROR(__xludf.DUMMYFUNCTION("""COMPUTED_VALUE"""),"HOMICÍDIO CULPOSO")</f>
        <v>HOMICÍDIO CULPOSO</v>
      </c>
      <c r="D1885" s="6">
        <f>IFERROR(__xludf.DUMMYFUNCTION("""COMPUTED_VALUE"""),0.0)</f>
        <v>0</v>
      </c>
      <c r="E1885" s="6">
        <f>IFERROR(__xludf.DUMMYFUNCTION("""COMPUTED_VALUE"""),0.0)</f>
        <v>0</v>
      </c>
      <c r="F1885" s="6">
        <f>IFERROR(__xludf.DUMMYFUNCTION("""COMPUTED_VALUE"""),0.0)</f>
        <v>0</v>
      </c>
      <c r="G1885" s="6">
        <f>IFERROR(__xludf.DUMMYFUNCTION("""COMPUTED_VALUE"""),0.0)</f>
        <v>0</v>
      </c>
    </row>
    <row r="1886">
      <c r="A1886" s="6">
        <f>IFERROR(__xludf.DUMMYFUNCTION("""COMPUTED_VALUE"""),2022.0)</f>
        <v>2022</v>
      </c>
      <c r="B1886" s="6" t="str">
        <f>IFERROR(__xludf.DUMMYFUNCTION("""COMPUTED_VALUE"""),"Junho")</f>
        <v>Junho</v>
      </c>
      <c r="C1886" s="6" t="str">
        <f>IFERROR(__xludf.DUMMYFUNCTION("""COMPUTED_VALUE"""),"TENTATIVA DE HOMICÍDIO")</f>
        <v>TENTATIVA DE HOMICÍDIO</v>
      </c>
      <c r="D1886" s="6">
        <f>IFERROR(__xludf.DUMMYFUNCTION("""COMPUTED_VALUE"""),1.0)</f>
        <v>1</v>
      </c>
      <c r="E1886" s="6">
        <f>IFERROR(__xludf.DUMMYFUNCTION("""COMPUTED_VALUE"""),2.0)</f>
        <v>2</v>
      </c>
      <c r="F1886" s="6">
        <f>IFERROR(__xludf.DUMMYFUNCTION("""COMPUTED_VALUE"""),11.0)</f>
        <v>11</v>
      </c>
      <c r="G1886" s="6">
        <f>IFERROR(__xludf.DUMMYFUNCTION("""COMPUTED_VALUE"""),14.0)</f>
        <v>14</v>
      </c>
    </row>
    <row r="1887">
      <c r="A1887" s="6">
        <f>IFERROR(__xludf.DUMMYFUNCTION("""COMPUTED_VALUE"""),2022.0)</f>
        <v>2022</v>
      </c>
      <c r="B1887" s="6" t="str">
        <f>IFERROR(__xludf.DUMMYFUNCTION("""COMPUTED_VALUE"""),"Junho")</f>
        <v>Junho</v>
      </c>
      <c r="C1887" s="6" t="str">
        <f>IFERROR(__xludf.DUMMYFUNCTION("""COMPUTED_VALUE"""),"LESÃO CORPORAL DOLOSA")</f>
        <v>LESÃO CORPORAL DOLOSA</v>
      </c>
      <c r="D1887" s="6">
        <f>IFERROR(__xludf.DUMMYFUNCTION("""COMPUTED_VALUE"""),842.0)</f>
        <v>842</v>
      </c>
      <c r="E1887" s="6">
        <f>IFERROR(__xludf.DUMMYFUNCTION("""COMPUTED_VALUE"""),741.0)</f>
        <v>741</v>
      </c>
      <c r="F1887" s="6">
        <f>IFERROR(__xludf.DUMMYFUNCTION("""COMPUTED_VALUE"""),2831.0)</f>
        <v>2831</v>
      </c>
      <c r="G1887" s="6">
        <f>IFERROR(__xludf.DUMMYFUNCTION("""COMPUTED_VALUE"""),4414.0)</f>
        <v>4414</v>
      </c>
    </row>
    <row r="1888">
      <c r="A1888" s="6">
        <f>IFERROR(__xludf.DUMMYFUNCTION("""COMPUTED_VALUE"""),2022.0)</f>
        <v>2022</v>
      </c>
      <c r="B1888" s="6" t="str">
        <f>IFERROR(__xludf.DUMMYFUNCTION("""COMPUTED_VALUE"""),"Junho")</f>
        <v>Junho</v>
      </c>
      <c r="C1888" s="6" t="str">
        <f>IFERROR(__xludf.DUMMYFUNCTION("""COMPUTED_VALUE"""),"MAUS TRATOS")</f>
        <v>MAUS TRATOS</v>
      </c>
      <c r="D1888" s="6">
        <f>IFERROR(__xludf.DUMMYFUNCTION("""COMPUTED_VALUE"""),2.0)</f>
        <v>2</v>
      </c>
      <c r="E1888" s="6">
        <f>IFERROR(__xludf.DUMMYFUNCTION("""COMPUTED_VALUE"""),2.0)</f>
        <v>2</v>
      </c>
      <c r="F1888" s="6">
        <f>IFERROR(__xludf.DUMMYFUNCTION("""COMPUTED_VALUE"""),15.0)</f>
        <v>15</v>
      </c>
      <c r="G1888" s="6">
        <f>IFERROR(__xludf.DUMMYFUNCTION("""COMPUTED_VALUE"""),19.0)</f>
        <v>19</v>
      </c>
    </row>
    <row r="1889">
      <c r="A1889" s="6">
        <f>IFERROR(__xludf.DUMMYFUNCTION("""COMPUTED_VALUE"""),2022.0)</f>
        <v>2022</v>
      </c>
      <c r="B1889" s="6" t="str">
        <f>IFERROR(__xludf.DUMMYFUNCTION("""COMPUTED_VALUE"""),"Junho")</f>
        <v>Junho</v>
      </c>
      <c r="C1889" s="6" t="str">
        <f>IFERROR(__xludf.DUMMYFUNCTION("""COMPUTED_VALUE"""),"CALÚNIA - DIFAMAÇÃO - INJÚRIA")</f>
        <v>CALÚNIA - DIFAMAÇÃO - INJÚRIA</v>
      </c>
      <c r="D1889" s="6">
        <f>IFERROR(__xludf.DUMMYFUNCTION("""COMPUTED_VALUE"""),172.0)</f>
        <v>172</v>
      </c>
      <c r="E1889" s="6">
        <f>IFERROR(__xludf.DUMMYFUNCTION("""COMPUTED_VALUE"""),151.0)</f>
        <v>151</v>
      </c>
      <c r="F1889" s="6">
        <f>IFERROR(__xludf.DUMMYFUNCTION("""COMPUTED_VALUE"""),649.0)</f>
        <v>649</v>
      </c>
      <c r="G1889" s="6">
        <f>IFERROR(__xludf.DUMMYFUNCTION("""COMPUTED_VALUE"""),972.0)</f>
        <v>972</v>
      </c>
    </row>
    <row r="1890">
      <c r="A1890" s="6">
        <f>IFERROR(__xludf.DUMMYFUNCTION("""COMPUTED_VALUE"""),2022.0)</f>
        <v>2022</v>
      </c>
      <c r="B1890" s="6" t="str">
        <f>IFERROR(__xludf.DUMMYFUNCTION("""COMPUTED_VALUE"""),"Junho")</f>
        <v>Junho</v>
      </c>
      <c r="C1890" s="6" t="str">
        <f>IFERROR(__xludf.DUMMYFUNCTION("""COMPUTED_VALUE"""),"CONSTRANGIMENTO ILEGAL")</f>
        <v>CONSTRANGIMENTO ILEGAL</v>
      </c>
      <c r="D1890" s="6">
        <f>IFERROR(__xludf.DUMMYFUNCTION("""COMPUTED_VALUE"""),1.0)</f>
        <v>1</v>
      </c>
      <c r="E1890" s="6">
        <f>IFERROR(__xludf.DUMMYFUNCTION("""COMPUTED_VALUE"""),0.0)</f>
        <v>0</v>
      </c>
      <c r="F1890" s="6">
        <f>IFERROR(__xludf.DUMMYFUNCTION("""COMPUTED_VALUE"""),5.0)</f>
        <v>5</v>
      </c>
      <c r="G1890" s="6">
        <f>IFERROR(__xludf.DUMMYFUNCTION("""COMPUTED_VALUE"""),6.0)</f>
        <v>6</v>
      </c>
    </row>
    <row r="1891">
      <c r="A1891" s="6">
        <f>IFERROR(__xludf.DUMMYFUNCTION("""COMPUTED_VALUE"""),2022.0)</f>
        <v>2022</v>
      </c>
      <c r="B1891" s="6" t="str">
        <f>IFERROR(__xludf.DUMMYFUNCTION("""COMPUTED_VALUE"""),"Junho")</f>
        <v>Junho</v>
      </c>
      <c r="C1891" s="6" t="str">
        <f>IFERROR(__xludf.DUMMYFUNCTION("""COMPUTED_VALUE"""),"AMEAÇA")</f>
        <v>AMEAÇA</v>
      </c>
      <c r="D1891" s="6">
        <f>IFERROR(__xludf.DUMMYFUNCTION("""COMPUTED_VALUE"""),811.0)</f>
        <v>811</v>
      </c>
      <c r="E1891" s="6">
        <f>IFERROR(__xludf.DUMMYFUNCTION("""COMPUTED_VALUE"""),743.0)</f>
        <v>743</v>
      </c>
      <c r="F1891" s="6">
        <f>IFERROR(__xludf.DUMMYFUNCTION("""COMPUTED_VALUE"""),2894.0)</f>
        <v>2894</v>
      </c>
      <c r="G1891" s="6">
        <f>IFERROR(__xludf.DUMMYFUNCTION("""COMPUTED_VALUE"""),4448.0)</f>
        <v>4448</v>
      </c>
    </row>
    <row r="1892">
      <c r="A1892" s="6">
        <f>IFERROR(__xludf.DUMMYFUNCTION("""COMPUTED_VALUE"""),2022.0)</f>
        <v>2022</v>
      </c>
      <c r="B1892" s="6" t="str">
        <f>IFERROR(__xludf.DUMMYFUNCTION("""COMPUTED_VALUE"""),"Junho")</f>
        <v>Junho</v>
      </c>
      <c r="C1892" s="6" t="str">
        <f>IFERROR(__xludf.DUMMYFUNCTION("""COMPUTED_VALUE"""),"INVASÃO DE DOMICÍLIO")</f>
        <v>INVASÃO DE DOMICÍLIO</v>
      </c>
      <c r="D1892" s="6">
        <f>IFERROR(__xludf.DUMMYFUNCTION("""COMPUTED_VALUE"""),1.0)</f>
        <v>1</v>
      </c>
      <c r="E1892" s="6">
        <f>IFERROR(__xludf.DUMMYFUNCTION("""COMPUTED_VALUE"""),2.0)</f>
        <v>2</v>
      </c>
      <c r="F1892" s="6">
        <f>IFERROR(__xludf.DUMMYFUNCTION("""COMPUTED_VALUE"""),12.0)</f>
        <v>12</v>
      </c>
      <c r="G1892" s="6">
        <f>IFERROR(__xludf.DUMMYFUNCTION("""COMPUTED_VALUE"""),15.0)</f>
        <v>15</v>
      </c>
    </row>
    <row r="1893">
      <c r="A1893" s="6">
        <f>IFERROR(__xludf.DUMMYFUNCTION("""COMPUTED_VALUE"""),2022.0)</f>
        <v>2022</v>
      </c>
      <c r="B1893" s="6" t="str">
        <f>IFERROR(__xludf.DUMMYFUNCTION("""COMPUTED_VALUE"""),"Junho")</f>
        <v>Junho</v>
      </c>
      <c r="C1893" s="6" t="str">
        <f>IFERROR(__xludf.DUMMYFUNCTION("""COMPUTED_VALUE"""),"DANO")</f>
        <v>DANO</v>
      </c>
      <c r="D1893" s="6">
        <f>IFERROR(__xludf.DUMMYFUNCTION("""COMPUTED_VALUE"""),9.0)</f>
        <v>9</v>
      </c>
      <c r="E1893" s="6">
        <f>IFERROR(__xludf.DUMMYFUNCTION("""COMPUTED_VALUE"""),9.0)</f>
        <v>9</v>
      </c>
      <c r="F1893" s="6">
        <f>IFERROR(__xludf.DUMMYFUNCTION("""COMPUTED_VALUE"""),51.0)</f>
        <v>51</v>
      </c>
      <c r="G1893" s="6">
        <f>IFERROR(__xludf.DUMMYFUNCTION("""COMPUTED_VALUE"""),69.0)</f>
        <v>69</v>
      </c>
    </row>
    <row r="1894">
      <c r="A1894" s="6">
        <f>IFERROR(__xludf.DUMMYFUNCTION("""COMPUTED_VALUE"""),2022.0)</f>
        <v>2022</v>
      </c>
      <c r="B1894" s="6" t="str">
        <f>IFERROR(__xludf.DUMMYFUNCTION("""COMPUTED_VALUE"""),"Junho")</f>
        <v>Junho</v>
      </c>
      <c r="C1894" s="6" t="str">
        <f>IFERROR(__xludf.DUMMYFUNCTION("""COMPUTED_VALUE"""),"ESTUPRO CONSUMADO")</f>
        <v>ESTUPRO CONSUMADO</v>
      </c>
      <c r="D1894" s="6">
        <f>IFERROR(__xludf.DUMMYFUNCTION("""COMPUTED_VALUE"""),9.0)</f>
        <v>9</v>
      </c>
      <c r="E1894" s="6">
        <f>IFERROR(__xludf.DUMMYFUNCTION("""COMPUTED_VALUE"""),6.0)</f>
        <v>6</v>
      </c>
      <c r="F1894" s="6">
        <f>IFERROR(__xludf.DUMMYFUNCTION("""COMPUTED_VALUE"""),17.0)</f>
        <v>17</v>
      </c>
      <c r="G1894" s="6">
        <f>IFERROR(__xludf.DUMMYFUNCTION("""COMPUTED_VALUE"""),32.0)</f>
        <v>32</v>
      </c>
    </row>
    <row r="1895">
      <c r="A1895" s="6">
        <f>IFERROR(__xludf.DUMMYFUNCTION("""COMPUTED_VALUE"""),2022.0)</f>
        <v>2022</v>
      </c>
      <c r="B1895" s="6" t="str">
        <f>IFERROR(__xludf.DUMMYFUNCTION("""COMPUTED_VALUE"""),"Junho")</f>
        <v>Junho</v>
      </c>
      <c r="C1895" s="6" t="str">
        <f>IFERROR(__xludf.DUMMYFUNCTION("""COMPUTED_VALUE"""),"ESTUPRO TENTADO")</f>
        <v>ESTUPRO TENTADO</v>
      </c>
      <c r="D1895" s="6">
        <f>IFERROR(__xludf.DUMMYFUNCTION("""COMPUTED_VALUE"""),0.0)</f>
        <v>0</v>
      </c>
      <c r="E1895" s="6">
        <f>IFERROR(__xludf.DUMMYFUNCTION("""COMPUTED_VALUE"""),0.0)</f>
        <v>0</v>
      </c>
      <c r="F1895" s="6">
        <f>IFERROR(__xludf.DUMMYFUNCTION("""COMPUTED_VALUE"""),1.0)</f>
        <v>1</v>
      </c>
      <c r="G1895" s="6">
        <f>IFERROR(__xludf.DUMMYFUNCTION("""COMPUTED_VALUE"""),1.0)</f>
        <v>1</v>
      </c>
    </row>
    <row r="1896">
      <c r="A1896" s="6">
        <f>IFERROR(__xludf.DUMMYFUNCTION("""COMPUTED_VALUE"""),2022.0)</f>
        <v>2022</v>
      </c>
      <c r="B1896" s="6" t="str">
        <f>IFERROR(__xludf.DUMMYFUNCTION("""COMPUTED_VALUE"""),"Junho")</f>
        <v>Junho</v>
      </c>
      <c r="C1896" s="6" t="str">
        <f>IFERROR(__xludf.DUMMYFUNCTION("""COMPUTED_VALUE"""),"ESTUPRO DE VULNERÁVEL CONSUMADO")</f>
        <v>ESTUPRO DE VULNERÁVEL CONSUMADO</v>
      </c>
      <c r="D1896" s="6">
        <f>IFERROR(__xludf.DUMMYFUNCTION("""COMPUTED_VALUE"""),3.0)</f>
        <v>3</v>
      </c>
      <c r="E1896" s="6">
        <f>IFERROR(__xludf.DUMMYFUNCTION("""COMPUTED_VALUE"""),4.0)</f>
        <v>4</v>
      </c>
      <c r="F1896" s="6">
        <f>IFERROR(__xludf.DUMMYFUNCTION("""COMPUTED_VALUE"""),16.0)</f>
        <v>16</v>
      </c>
      <c r="G1896" s="6">
        <f>IFERROR(__xludf.DUMMYFUNCTION("""COMPUTED_VALUE"""),23.0)</f>
        <v>23</v>
      </c>
    </row>
    <row r="1897">
      <c r="A1897" s="6">
        <f>IFERROR(__xludf.DUMMYFUNCTION("""COMPUTED_VALUE"""),2022.0)</f>
        <v>2022</v>
      </c>
      <c r="B1897" s="6" t="str">
        <f>IFERROR(__xludf.DUMMYFUNCTION("""COMPUTED_VALUE"""),"Junho")</f>
        <v>Junho</v>
      </c>
      <c r="C1897" s="6" t="str">
        <f>IFERROR(__xludf.DUMMYFUNCTION("""COMPUTED_VALUE"""),"OUTROS C/C/ DIGNIDADE SEXUAL")</f>
        <v>OUTROS C/C/ DIGNIDADE SEXUAL</v>
      </c>
      <c r="D1897" s="6">
        <f>IFERROR(__xludf.DUMMYFUNCTION("""COMPUTED_VALUE"""),0.0)</f>
        <v>0</v>
      </c>
      <c r="E1897" s="6">
        <f>IFERROR(__xludf.DUMMYFUNCTION("""COMPUTED_VALUE"""),0.0)</f>
        <v>0</v>
      </c>
      <c r="F1897" s="6">
        <f>IFERROR(__xludf.DUMMYFUNCTION("""COMPUTED_VALUE"""),2.0)</f>
        <v>2</v>
      </c>
      <c r="G1897" s="6">
        <f>IFERROR(__xludf.DUMMYFUNCTION("""COMPUTED_VALUE"""),2.0)</f>
        <v>2</v>
      </c>
    </row>
    <row r="1898">
      <c r="A1898" s="6">
        <f>IFERROR(__xludf.DUMMYFUNCTION("""COMPUTED_VALUE"""),2022.0)</f>
        <v>2022</v>
      </c>
      <c r="B1898" s="6" t="str">
        <f>IFERROR(__xludf.DUMMYFUNCTION("""COMPUTED_VALUE"""),"Julho")</f>
        <v>Julho</v>
      </c>
      <c r="C1898" s="6" t="str">
        <f>IFERROR(__xludf.DUMMYFUNCTION("""COMPUTED_VALUE"""),"HOMICÍDIO DOLOSO (exclui FEMINICÍDIO)")</f>
        <v>HOMICÍDIO DOLOSO (exclui FEMINICÍDIO)</v>
      </c>
      <c r="D1898" s="6">
        <f>IFERROR(__xludf.DUMMYFUNCTION("""COMPUTED_VALUE"""),2.0)</f>
        <v>2</v>
      </c>
      <c r="E1898" s="6">
        <f>IFERROR(__xludf.DUMMYFUNCTION("""COMPUTED_VALUE"""),0.0)</f>
        <v>0</v>
      </c>
      <c r="F1898" s="6">
        <f>IFERROR(__xludf.DUMMYFUNCTION("""COMPUTED_VALUE"""),1.0)</f>
        <v>1</v>
      </c>
      <c r="G1898" s="6">
        <f>IFERROR(__xludf.DUMMYFUNCTION("""COMPUTED_VALUE"""),3.0)</f>
        <v>3</v>
      </c>
    </row>
    <row r="1899">
      <c r="A1899" s="6">
        <f>IFERROR(__xludf.DUMMYFUNCTION("""COMPUTED_VALUE"""),2022.0)</f>
        <v>2022</v>
      </c>
      <c r="B1899" s="6" t="str">
        <f>IFERROR(__xludf.DUMMYFUNCTION("""COMPUTED_VALUE"""),"Julho")</f>
        <v>Julho</v>
      </c>
      <c r="C1899" s="6" t="str">
        <f>IFERROR(__xludf.DUMMYFUNCTION("""COMPUTED_VALUE"""),"FEMINICÍDIO")</f>
        <v>FEMINICÍDIO</v>
      </c>
      <c r="D1899" s="6">
        <f>IFERROR(__xludf.DUMMYFUNCTION("""COMPUTED_VALUE"""),3.0)</f>
        <v>3</v>
      </c>
      <c r="E1899" s="6">
        <f>IFERROR(__xludf.DUMMYFUNCTION("""COMPUTED_VALUE"""),4.0)</f>
        <v>4</v>
      </c>
      <c r="F1899" s="6">
        <f>IFERROR(__xludf.DUMMYFUNCTION("""COMPUTED_VALUE"""),7.0)</f>
        <v>7</v>
      </c>
      <c r="G1899" s="6">
        <f>IFERROR(__xludf.DUMMYFUNCTION("""COMPUTED_VALUE"""),14.0)</f>
        <v>14</v>
      </c>
    </row>
    <row r="1900">
      <c r="A1900" s="6">
        <f>IFERROR(__xludf.DUMMYFUNCTION("""COMPUTED_VALUE"""),2022.0)</f>
        <v>2022</v>
      </c>
      <c r="B1900" s="6" t="str">
        <f>IFERROR(__xludf.DUMMYFUNCTION("""COMPUTED_VALUE"""),"Julho")</f>
        <v>Julho</v>
      </c>
      <c r="C1900" s="6" t="str">
        <f>IFERROR(__xludf.DUMMYFUNCTION("""COMPUTED_VALUE"""),"HOMICÍDIO CULPOSO")</f>
        <v>HOMICÍDIO CULPOSO</v>
      </c>
      <c r="D1900" s="6">
        <f>IFERROR(__xludf.DUMMYFUNCTION("""COMPUTED_VALUE"""),0.0)</f>
        <v>0</v>
      </c>
      <c r="E1900" s="6">
        <f>IFERROR(__xludf.DUMMYFUNCTION("""COMPUTED_VALUE"""),0.0)</f>
        <v>0</v>
      </c>
      <c r="F1900" s="6">
        <f>IFERROR(__xludf.DUMMYFUNCTION("""COMPUTED_VALUE"""),0.0)</f>
        <v>0</v>
      </c>
      <c r="G1900" s="6">
        <f>IFERROR(__xludf.DUMMYFUNCTION("""COMPUTED_VALUE"""),0.0)</f>
        <v>0</v>
      </c>
    </row>
    <row r="1901">
      <c r="A1901" s="6">
        <f>IFERROR(__xludf.DUMMYFUNCTION("""COMPUTED_VALUE"""),2022.0)</f>
        <v>2022</v>
      </c>
      <c r="B1901" s="6" t="str">
        <f>IFERROR(__xludf.DUMMYFUNCTION("""COMPUTED_VALUE"""),"Julho")</f>
        <v>Julho</v>
      </c>
      <c r="C1901" s="6" t="str">
        <f>IFERROR(__xludf.DUMMYFUNCTION("""COMPUTED_VALUE"""),"TENTATIVA DE HOMICÍDIO")</f>
        <v>TENTATIVA DE HOMICÍDIO</v>
      </c>
      <c r="D1901" s="6">
        <f>IFERROR(__xludf.DUMMYFUNCTION("""COMPUTED_VALUE"""),2.0)</f>
        <v>2</v>
      </c>
      <c r="E1901" s="6">
        <f>IFERROR(__xludf.DUMMYFUNCTION("""COMPUTED_VALUE"""),3.0)</f>
        <v>3</v>
      </c>
      <c r="F1901" s="6">
        <f>IFERROR(__xludf.DUMMYFUNCTION("""COMPUTED_VALUE"""),12.0)</f>
        <v>12</v>
      </c>
      <c r="G1901" s="6">
        <f>IFERROR(__xludf.DUMMYFUNCTION("""COMPUTED_VALUE"""),17.0)</f>
        <v>17</v>
      </c>
    </row>
    <row r="1902">
      <c r="A1902" s="6">
        <f>IFERROR(__xludf.DUMMYFUNCTION("""COMPUTED_VALUE"""),2022.0)</f>
        <v>2022</v>
      </c>
      <c r="B1902" s="6" t="str">
        <f>IFERROR(__xludf.DUMMYFUNCTION("""COMPUTED_VALUE"""),"Julho")</f>
        <v>Julho</v>
      </c>
      <c r="C1902" s="6" t="str">
        <f>IFERROR(__xludf.DUMMYFUNCTION("""COMPUTED_VALUE"""),"LESÃO CORPORAL DOLOSA")</f>
        <v>LESÃO CORPORAL DOLOSA</v>
      </c>
      <c r="D1902" s="6">
        <f>IFERROR(__xludf.DUMMYFUNCTION("""COMPUTED_VALUE"""),913.0)</f>
        <v>913</v>
      </c>
      <c r="E1902" s="6">
        <f>IFERROR(__xludf.DUMMYFUNCTION("""COMPUTED_VALUE"""),805.0)</f>
        <v>805</v>
      </c>
      <c r="F1902" s="6">
        <f>IFERROR(__xludf.DUMMYFUNCTION("""COMPUTED_VALUE"""),2914.0)</f>
        <v>2914</v>
      </c>
      <c r="G1902" s="6">
        <f>IFERROR(__xludf.DUMMYFUNCTION("""COMPUTED_VALUE"""),4632.0)</f>
        <v>4632</v>
      </c>
    </row>
    <row r="1903">
      <c r="A1903" s="6">
        <f>IFERROR(__xludf.DUMMYFUNCTION("""COMPUTED_VALUE"""),2022.0)</f>
        <v>2022</v>
      </c>
      <c r="B1903" s="6" t="str">
        <f>IFERROR(__xludf.DUMMYFUNCTION("""COMPUTED_VALUE"""),"Julho")</f>
        <v>Julho</v>
      </c>
      <c r="C1903" s="6" t="str">
        <f>IFERROR(__xludf.DUMMYFUNCTION("""COMPUTED_VALUE"""),"MAUS TRATOS")</f>
        <v>MAUS TRATOS</v>
      </c>
      <c r="D1903" s="6">
        <f>IFERROR(__xludf.DUMMYFUNCTION("""COMPUTED_VALUE"""),3.0)</f>
        <v>3</v>
      </c>
      <c r="E1903" s="6">
        <f>IFERROR(__xludf.DUMMYFUNCTION("""COMPUTED_VALUE"""),2.0)</f>
        <v>2</v>
      </c>
      <c r="F1903" s="6">
        <f>IFERROR(__xludf.DUMMYFUNCTION("""COMPUTED_VALUE"""),17.0)</f>
        <v>17</v>
      </c>
      <c r="G1903" s="6">
        <f>IFERROR(__xludf.DUMMYFUNCTION("""COMPUTED_VALUE"""),22.0)</f>
        <v>22</v>
      </c>
    </row>
    <row r="1904">
      <c r="A1904" s="6">
        <f>IFERROR(__xludf.DUMMYFUNCTION("""COMPUTED_VALUE"""),2022.0)</f>
        <v>2022</v>
      </c>
      <c r="B1904" s="6" t="str">
        <f>IFERROR(__xludf.DUMMYFUNCTION("""COMPUTED_VALUE"""),"Julho")</f>
        <v>Julho</v>
      </c>
      <c r="C1904" s="6" t="str">
        <f>IFERROR(__xludf.DUMMYFUNCTION("""COMPUTED_VALUE"""),"CALÚNIA - DIFAMAÇÃO - INJÚRIA")</f>
        <v>CALÚNIA - DIFAMAÇÃO - INJÚRIA</v>
      </c>
      <c r="D1904" s="6">
        <f>IFERROR(__xludf.DUMMYFUNCTION("""COMPUTED_VALUE"""),191.0)</f>
        <v>191</v>
      </c>
      <c r="E1904" s="6">
        <f>IFERROR(__xludf.DUMMYFUNCTION("""COMPUTED_VALUE"""),168.0)</f>
        <v>168</v>
      </c>
      <c r="F1904" s="6">
        <f>IFERROR(__xludf.DUMMYFUNCTION("""COMPUTED_VALUE"""),702.0)</f>
        <v>702</v>
      </c>
      <c r="G1904" s="6">
        <f>IFERROR(__xludf.DUMMYFUNCTION("""COMPUTED_VALUE"""),1061.0)</f>
        <v>1061</v>
      </c>
    </row>
    <row r="1905">
      <c r="A1905" s="6">
        <f>IFERROR(__xludf.DUMMYFUNCTION("""COMPUTED_VALUE"""),2022.0)</f>
        <v>2022</v>
      </c>
      <c r="B1905" s="6" t="str">
        <f>IFERROR(__xludf.DUMMYFUNCTION("""COMPUTED_VALUE"""),"Julho")</f>
        <v>Julho</v>
      </c>
      <c r="C1905" s="6" t="str">
        <f>IFERROR(__xludf.DUMMYFUNCTION("""COMPUTED_VALUE"""),"CONSTRANGIMENTO ILEGAL")</f>
        <v>CONSTRANGIMENTO ILEGAL</v>
      </c>
      <c r="D1905" s="6">
        <f>IFERROR(__xludf.DUMMYFUNCTION("""COMPUTED_VALUE"""),1.0)</f>
        <v>1</v>
      </c>
      <c r="E1905" s="6">
        <f>IFERROR(__xludf.DUMMYFUNCTION("""COMPUTED_VALUE"""),0.0)</f>
        <v>0</v>
      </c>
      <c r="F1905" s="6">
        <f>IFERROR(__xludf.DUMMYFUNCTION("""COMPUTED_VALUE"""),6.0)</f>
        <v>6</v>
      </c>
      <c r="G1905" s="6">
        <f>IFERROR(__xludf.DUMMYFUNCTION("""COMPUTED_VALUE"""),7.0)</f>
        <v>7</v>
      </c>
    </row>
    <row r="1906">
      <c r="A1906" s="6">
        <f>IFERROR(__xludf.DUMMYFUNCTION("""COMPUTED_VALUE"""),2022.0)</f>
        <v>2022</v>
      </c>
      <c r="B1906" s="6" t="str">
        <f>IFERROR(__xludf.DUMMYFUNCTION("""COMPUTED_VALUE"""),"Julho")</f>
        <v>Julho</v>
      </c>
      <c r="C1906" s="6" t="str">
        <f>IFERROR(__xludf.DUMMYFUNCTION("""COMPUTED_VALUE"""),"AMEAÇA")</f>
        <v>AMEAÇA</v>
      </c>
      <c r="D1906" s="6">
        <f>IFERROR(__xludf.DUMMYFUNCTION("""COMPUTED_VALUE"""),884.0)</f>
        <v>884</v>
      </c>
      <c r="E1906" s="6">
        <f>IFERROR(__xludf.DUMMYFUNCTION("""COMPUTED_VALUE"""),812.0)</f>
        <v>812</v>
      </c>
      <c r="F1906" s="6">
        <f>IFERROR(__xludf.DUMMYFUNCTION("""COMPUTED_VALUE"""),3012.0)</f>
        <v>3012</v>
      </c>
      <c r="G1906" s="6">
        <f>IFERROR(__xludf.DUMMYFUNCTION("""COMPUTED_VALUE"""),4708.0)</f>
        <v>4708</v>
      </c>
    </row>
    <row r="1907">
      <c r="A1907" s="6">
        <f>IFERROR(__xludf.DUMMYFUNCTION("""COMPUTED_VALUE"""),2022.0)</f>
        <v>2022</v>
      </c>
      <c r="B1907" s="6" t="str">
        <f>IFERROR(__xludf.DUMMYFUNCTION("""COMPUTED_VALUE"""),"Julho")</f>
        <v>Julho</v>
      </c>
      <c r="C1907" s="6" t="str">
        <f>IFERROR(__xludf.DUMMYFUNCTION("""COMPUTED_VALUE"""),"INVASÃO DE DOMICÍLIO")</f>
        <v>INVASÃO DE DOMICÍLIO</v>
      </c>
      <c r="D1907" s="6">
        <f>IFERROR(__xludf.DUMMYFUNCTION("""COMPUTED_VALUE"""),1.0)</f>
        <v>1</v>
      </c>
      <c r="E1907" s="6">
        <f>IFERROR(__xludf.DUMMYFUNCTION("""COMPUTED_VALUE"""),2.0)</f>
        <v>2</v>
      </c>
      <c r="F1907" s="6">
        <f>IFERROR(__xludf.DUMMYFUNCTION("""COMPUTED_VALUE"""),13.0)</f>
        <v>13</v>
      </c>
      <c r="G1907" s="6">
        <f>IFERROR(__xludf.DUMMYFUNCTION("""COMPUTED_VALUE"""),16.0)</f>
        <v>16</v>
      </c>
    </row>
    <row r="1908">
      <c r="A1908" s="6">
        <f>IFERROR(__xludf.DUMMYFUNCTION("""COMPUTED_VALUE"""),2022.0)</f>
        <v>2022</v>
      </c>
      <c r="B1908" s="6" t="str">
        <f>IFERROR(__xludf.DUMMYFUNCTION("""COMPUTED_VALUE"""),"Julho")</f>
        <v>Julho</v>
      </c>
      <c r="C1908" s="6" t="str">
        <f>IFERROR(__xludf.DUMMYFUNCTION("""COMPUTED_VALUE"""),"DANO")</f>
        <v>DANO</v>
      </c>
      <c r="D1908" s="6">
        <f>IFERROR(__xludf.DUMMYFUNCTION("""COMPUTED_VALUE"""),11.0)</f>
        <v>11</v>
      </c>
      <c r="E1908" s="6">
        <f>IFERROR(__xludf.DUMMYFUNCTION("""COMPUTED_VALUE"""),10.0)</f>
        <v>10</v>
      </c>
      <c r="F1908" s="6">
        <f>IFERROR(__xludf.DUMMYFUNCTION("""COMPUTED_VALUE"""),56.0)</f>
        <v>56</v>
      </c>
      <c r="G1908" s="6">
        <f>IFERROR(__xludf.DUMMYFUNCTION("""COMPUTED_VALUE"""),77.0)</f>
        <v>77</v>
      </c>
    </row>
    <row r="1909">
      <c r="A1909" s="6">
        <f>IFERROR(__xludf.DUMMYFUNCTION("""COMPUTED_VALUE"""),2022.0)</f>
        <v>2022</v>
      </c>
      <c r="B1909" s="6" t="str">
        <f>IFERROR(__xludf.DUMMYFUNCTION("""COMPUTED_VALUE"""),"Julho")</f>
        <v>Julho</v>
      </c>
      <c r="C1909" s="6" t="str">
        <f>IFERROR(__xludf.DUMMYFUNCTION("""COMPUTED_VALUE"""),"ESTUPRO CONSUMADO")</f>
        <v>ESTUPRO CONSUMADO</v>
      </c>
      <c r="D1909" s="6">
        <f>IFERROR(__xludf.DUMMYFUNCTION("""COMPUTED_VALUE"""),10.0)</f>
        <v>10</v>
      </c>
      <c r="E1909" s="6">
        <f>IFERROR(__xludf.DUMMYFUNCTION("""COMPUTED_VALUE"""),7.0)</f>
        <v>7</v>
      </c>
      <c r="F1909" s="6">
        <f>IFERROR(__xludf.DUMMYFUNCTION("""COMPUTED_VALUE"""),18.0)</f>
        <v>18</v>
      </c>
      <c r="G1909" s="6">
        <f>IFERROR(__xludf.DUMMYFUNCTION("""COMPUTED_VALUE"""),35.0)</f>
        <v>35</v>
      </c>
    </row>
    <row r="1910">
      <c r="A1910" s="6">
        <f>IFERROR(__xludf.DUMMYFUNCTION("""COMPUTED_VALUE"""),2022.0)</f>
        <v>2022</v>
      </c>
      <c r="B1910" s="6" t="str">
        <f>IFERROR(__xludf.DUMMYFUNCTION("""COMPUTED_VALUE"""),"Julho")</f>
        <v>Julho</v>
      </c>
      <c r="C1910" s="6" t="str">
        <f>IFERROR(__xludf.DUMMYFUNCTION("""COMPUTED_VALUE"""),"ESTUPRO TENTADO")</f>
        <v>ESTUPRO TENTADO</v>
      </c>
      <c r="D1910" s="6">
        <f>IFERROR(__xludf.DUMMYFUNCTION("""COMPUTED_VALUE"""),0.0)</f>
        <v>0</v>
      </c>
      <c r="E1910" s="6">
        <f>IFERROR(__xludf.DUMMYFUNCTION("""COMPUTED_VALUE"""),0.0)</f>
        <v>0</v>
      </c>
      <c r="F1910" s="6">
        <f>IFERROR(__xludf.DUMMYFUNCTION("""COMPUTED_VALUE"""),1.0)</f>
        <v>1</v>
      </c>
      <c r="G1910" s="6">
        <f>IFERROR(__xludf.DUMMYFUNCTION("""COMPUTED_VALUE"""),1.0)</f>
        <v>1</v>
      </c>
    </row>
    <row r="1911">
      <c r="A1911" s="6">
        <f>IFERROR(__xludf.DUMMYFUNCTION("""COMPUTED_VALUE"""),2022.0)</f>
        <v>2022</v>
      </c>
      <c r="B1911" s="6" t="str">
        <f>IFERROR(__xludf.DUMMYFUNCTION("""COMPUTED_VALUE"""),"Julho")</f>
        <v>Julho</v>
      </c>
      <c r="C1911" s="6" t="str">
        <f>IFERROR(__xludf.DUMMYFUNCTION("""COMPUTED_VALUE"""),"ESTUPRO DE VULNERÁVEL CONSUMADO")</f>
        <v>ESTUPRO DE VULNERÁVEL CONSUMADO</v>
      </c>
      <c r="D1911" s="6">
        <f>IFERROR(__xludf.DUMMYFUNCTION("""COMPUTED_VALUE"""),3.0)</f>
        <v>3</v>
      </c>
      <c r="E1911" s="6">
        <f>IFERROR(__xludf.DUMMYFUNCTION("""COMPUTED_VALUE"""),4.0)</f>
        <v>4</v>
      </c>
      <c r="F1911" s="6">
        <f>IFERROR(__xludf.DUMMYFUNCTION("""COMPUTED_VALUE"""),18.0)</f>
        <v>18</v>
      </c>
      <c r="G1911" s="6">
        <f>IFERROR(__xludf.DUMMYFUNCTION("""COMPUTED_VALUE"""),25.0)</f>
        <v>25</v>
      </c>
    </row>
    <row r="1912">
      <c r="A1912" s="6">
        <f>IFERROR(__xludf.DUMMYFUNCTION("""COMPUTED_VALUE"""),2022.0)</f>
        <v>2022</v>
      </c>
      <c r="B1912" s="6" t="str">
        <f>IFERROR(__xludf.DUMMYFUNCTION("""COMPUTED_VALUE"""),"Julho")</f>
        <v>Julho</v>
      </c>
      <c r="C1912" s="6" t="str">
        <f>IFERROR(__xludf.DUMMYFUNCTION("""COMPUTED_VALUE"""),"OUTROS C/C/ DIGNIDADE SEXUAL")</f>
        <v>OUTROS C/C/ DIGNIDADE SEXUAL</v>
      </c>
      <c r="D1912" s="6">
        <f>IFERROR(__xludf.DUMMYFUNCTION("""COMPUTED_VALUE"""),0.0)</f>
        <v>0</v>
      </c>
      <c r="E1912" s="6">
        <f>IFERROR(__xludf.DUMMYFUNCTION("""COMPUTED_VALUE"""),0.0)</f>
        <v>0</v>
      </c>
      <c r="F1912" s="6">
        <f>IFERROR(__xludf.DUMMYFUNCTION("""COMPUTED_VALUE"""),2.0)</f>
        <v>2</v>
      </c>
      <c r="G1912" s="6">
        <f>IFERROR(__xludf.DUMMYFUNCTION("""COMPUTED_VALUE"""),2.0)</f>
        <v>2</v>
      </c>
    </row>
    <row r="1913">
      <c r="A1913" s="6">
        <f>IFERROR(__xludf.DUMMYFUNCTION("""COMPUTED_VALUE"""),2022.0)</f>
        <v>2022</v>
      </c>
      <c r="B1913" s="6" t="str">
        <f>IFERROR(__xludf.DUMMYFUNCTION("""COMPUTED_VALUE"""),"Agosto")</f>
        <v>Agosto</v>
      </c>
      <c r="C1913" s="6" t="str">
        <f>IFERROR(__xludf.DUMMYFUNCTION("""COMPUTED_VALUE"""),"HOMICÍDIO DOLOSO (exclui FEMINICÍDIO)")</f>
        <v>HOMICÍDIO DOLOSO (exclui FEMINICÍDIO)</v>
      </c>
      <c r="D1913" s="6">
        <f>IFERROR(__xludf.DUMMYFUNCTION("""COMPUTED_VALUE"""),1.0)</f>
        <v>1</v>
      </c>
      <c r="E1913" s="6">
        <f>IFERROR(__xludf.DUMMYFUNCTION("""COMPUTED_VALUE"""),1.0)</f>
        <v>1</v>
      </c>
      <c r="F1913" s="6">
        <f>IFERROR(__xludf.DUMMYFUNCTION("""COMPUTED_VALUE"""),2.0)</f>
        <v>2</v>
      </c>
      <c r="G1913" s="6">
        <f>IFERROR(__xludf.DUMMYFUNCTION("""COMPUTED_VALUE"""),4.0)</f>
        <v>4</v>
      </c>
    </row>
    <row r="1914">
      <c r="A1914" s="6">
        <f>IFERROR(__xludf.DUMMYFUNCTION("""COMPUTED_VALUE"""),2022.0)</f>
        <v>2022</v>
      </c>
      <c r="B1914" s="6" t="str">
        <f>IFERROR(__xludf.DUMMYFUNCTION("""COMPUTED_VALUE"""),"Agosto")</f>
        <v>Agosto</v>
      </c>
      <c r="C1914" s="6" t="str">
        <f>IFERROR(__xludf.DUMMYFUNCTION("""COMPUTED_VALUE"""),"FEMINICÍDIO")</f>
        <v>FEMINICÍDIO</v>
      </c>
      <c r="D1914" s="6">
        <f>IFERROR(__xludf.DUMMYFUNCTION("""COMPUTED_VALUE"""),3.0)</f>
        <v>3</v>
      </c>
      <c r="E1914" s="6">
        <f>IFERROR(__xludf.DUMMYFUNCTION("""COMPUTED_VALUE"""),3.0)</f>
        <v>3</v>
      </c>
      <c r="F1914" s="6">
        <f>IFERROR(__xludf.DUMMYFUNCTION("""COMPUTED_VALUE"""),6.0)</f>
        <v>6</v>
      </c>
      <c r="G1914" s="6">
        <f>IFERROR(__xludf.DUMMYFUNCTION("""COMPUTED_VALUE"""),12.0)</f>
        <v>12</v>
      </c>
    </row>
    <row r="1915">
      <c r="A1915" s="6">
        <f>IFERROR(__xludf.DUMMYFUNCTION("""COMPUTED_VALUE"""),2022.0)</f>
        <v>2022</v>
      </c>
      <c r="B1915" s="6" t="str">
        <f>IFERROR(__xludf.DUMMYFUNCTION("""COMPUTED_VALUE"""),"Agosto")</f>
        <v>Agosto</v>
      </c>
      <c r="C1915" s="6" t="str">
        <f>IFERROR(__xludf.DUMMYFUNCTION("""COMPUTED_VALUE"""),"HOMICÍDIO CULPOSO")</f>
        <v>HOMICÍDIO CULPOSO</v>
      </c>
      <c r="D1915" s="6">
        <f>IFERROR(__xludf.DUMMYFUNCTION("""COMPUTED_VALUE"""),0.0)</f>
        <v>0</v>
      </c>
      <c r="E1915" s="6">
        <f>IFERROR(__xludf.DUMMYFUNCTION("""COMPUTED_VALUE"""),0.0)</f>
        <v>0</v>
      </c>
      <c r="F1915" s="6">
        <f>IFERROR(__xludf.DUMMYFUNCTION("""COMPUTED_VALUE"""),0.0)</f>
        <v>0</v>
      </c>
      <c r="G1915" s="6">
        <f>IFERROR(__xludf.DUMMYFUNCTION("""COMPUTED_VALUE"""),0.0)</f>
        <v>0</v>
      </c>
    </row>
    <row r="1916">
      <c r="A1916" s="6">
        <f>IFERROR(__xludf.DUMMYFUNCTION("""COMPUTED_VALUE"""),2022.0)</f>
        <v>2022</v>
      </c>
      <c r="B1916" s="6" t="str">
        <f>IFERROR(__xludf.DUMMYFUNCTION("""COMPUTED_VALUE"""),"Agosto")</f>
        <v>Agosto</v>
      </c>
      <c r="C1916" s="6" t="str">
        <f>IFERROR(__xludf.DUMMYFUNCTION("""COMPUTED_VALUE"""),"TENTATIVA DE HOMICÍDIO")</f>
        <v>TENTATIVA DE HOMICÍDIO</v>
      </c>
      <c r="D1916" s="6">
        <f>IFERROR(__xludf.DUMMYFUNCTION("""COMPUTED_VALUE"""),2.0)</f>
        <v>2</v>
      </c>
      <c r="E1916" s="6">
        <f>IFERROR(__xludf.DUMMYFUNCTION("""COMPUTED_VALUE"""),2.0)</f>
        <v>2</v>
      </c>
      <c r="F1916" s="6">
        <f>IFERROR(__xludf.DUMMYFUNCTION("""COMPUTED_VALUE"""),12.0)</f>
        <v>12</v>
      </c>
      <c r="G1916" s="6">
        <f>IFERROR(__xludf.DUMMYFUNCTION("""COMPUTED_VALUE"""),16.0)</f>
        <v>16</v>
      </c>
    </row>
    <row r="1917">
      <c r="A1917" s="6">
        <f>IFERROR(__xludf.DUMMYFUNCTION("""COMPUTED_VALUE"""),2022.0)</f>
        <v>2022</v>
      </c>
      <c r="B1917" s="6" t="str">
        <f>IFERROR(__xludf.DUMMYFUNCTION("""COMPUTED_VALUE"""),"Agosto")</f>
        <v>Agosto</v>
      </c>
      <c r="C1917" s="6" t="str">
        <f>IFERROR(__xludf.DUMMYFUNCTION("""COMPUTED_VALUE"""),"LESÃO CORPORAL DOLOSA")</f>
        <v>LESÃO CORPORAL DOLOSA</v>
      </c>
      <c r="D1917" s="6">
        <f>IFERROR(__xludf.DUMMYFUNCTION("""COMPUTED_VALUE"""),948.0)</f>
        <v>948</v>
      </c>
      <c r="E1917" s="6">
        <f>IFERROR(__xludf.DUMMYFUNCTION("""COMPUTED_VALUE"""),812.0)</f>
        <v>812</v>
      </c>
      <c r="F1917" s="6">
        <f>IFERROR(__xludf.DUMMYFUNCTION("""COMPUTED_VALUE"""),2914.0)</f>
        <v>2914</v>
      </c>
      <c r="G1917" s="6">
        <f>IFERROR(__xludf.DUMMYFUNCTION("""COMPUTED_VALUE"""),4674.0)</f>
        <v>4674</v>
      </c>
    </row>
    <row r="1918">
      <c r="A1918" s="6">
        <f>IFERROR(__xludf.DUMMYFUNCTION("""COMPUTED_VALUE"""),2022.0)</f>
        <v>2022</v>
      </c>
      <c r="B1918" s="6" t="str">
        <f>IFERROR(__xludf.DUMMYFUNCTION("""COMPUTED_VALUE"""),"Agosto")</f>
        <v>Agosto</v>
      </c>
      <c r="C1918" s="6" t="str">
        <f>IFERROR(__xludf.DUMMYFUNCTION("""COMPUTED_VALUE"""),"MAUS TRATOS")</f>
        <v>MAUS TRATOS</v>
      </c>
      <c r="D1918" s="6">
        <f>IFERROR(__xludf.DUMMYFUNCTION("""COMPUTED_VALUE"""),3.0)</f>
        <v>3</v>
      </c>
      <c r="E1918" s="6">
        <f>IFERROR(__xludf.DUMMYFUNCTION("""COMPUTED_VALUE"""),2.0)</f>
        <v>2</v>
      </c>
      <c r="F1918" s="6">
        <f>IFERROR(__xludf.DUMMYFUNCTION("""COMPUTED_VALUE"""),16.0)</f>
        <v>16</v>
      </c>
      <c r="G1918" s="6">
        <f>IFERROR(__xludf.DUMMYFUNCTION("""COMPUTED_VALUE"""),21.0)</f>
        <v>21</v>
      </c>
    </row>
    <row r="1919">
      <c r="A1919" s="6">
        <f>IFERROR(__xludf.DUMMYFUNCTION("""COMPUTED_VALUE"""),2022.0)</f>
        <v>2022</v>
      </c>
      <c r="B1919" s="6" t="str">
        <f>IFERROR(__xludf.DUMMYFUNCTION("""COMPUTED_VALUE"""),"Agosto")</f>
        <v>Agosto</v>
      </c>
      <c r="C1919" s="6" t="str">
        <f>IFERROR(__xludf.DUMMYFUNCTION("""COMPUTED_VALUE"""),"CALÚNIA - DIFAMAÇÃO - INJÚRIA")</f>
        <v>CALÚNIA - DIFAMAÇÃO - INJÚRIA</v>
      </c>
      <c r="D1919" s="6">
        <f>IFERROR(__xludf.DUMMYFUNCTION("""COMPUTED_VALUE"""),187.0)</f>
        <v>187</v>
      </c>
      <c r="E1919" s="6">
        <f>IFERROR(__xludf.DUMMYFUNCTION("""COMPUTED_VALUE"""),159.0)</f>
        <v>159</v>
      </c>
      <c r="F1919" s="6">
        <f>IFERROR(__xludf.DUMMYFUNCTION("""COMPUTED_VALUE"""),694.0)</f>
        <v>694</v>
      </c>
      <c r="G1919" s="6">
        <f>IFERROR(__xludf.DUMMYFUNCTION("""COMPUTED_VALUE"""),1040.0)</f>
        <v>1040</v>
      </c>
    </row>
    <row r="1920">
      <c r="A1920" s="6">
        <f>IFERROR(__xludf.DUMMYFUNCTION("""COMPUTED_VALUE"""),2022.0)</f>
        <v>2022</v>
      </c>
      <c r="B1920" s="6" t="str">
        <f>IFERROR(__xludf.DUMMYFUNCTION("""COMPUTED_VALUE"""),"Agosto")</f>
        <v>Agosto</v>
      </c>
      <c r="C1920" s="6" t="str">
        <f>IFERROR(__xludf.DUMMYFUNCTION("""COMPUTED_VALUE"""),"CONSTRANGIMENTO ILEGAL")</f>
        <v>CONSTRANGIMENTO ILEGAL</v>
      </c>
      <c r="D1920" s="6">
        <f>IFERROR(__xludf.DUMMYFUNCTION("""COMPUTED_VALUE"""),1.0)</f>
        <v>1</v>
      </c>
      <c r="E1920" s="6">
        <f>IFERROR(__xludf.DUMMYFUNCTION("""COMPUTED_VALUE"""),0.0)</f>
        <v>0</v>
      </c>
      <c r="F1920" s="6">
        <f>IFERROR(__xludf.DUMMYFUNCTION("""COMPUTED_VALUE"""),6.0)</f>
        <v>6</v>
      </c>
      <c r="G1920" s="6">
        <f>IFERROR(__xludf.DUMMYFUNCTION("""COMPUTED_VALUE"""),7.0)</f>
        <v>7</v>
      </c>
    </row>
    <row r="1921">
      <c r="A1921" s="6">
        <f>IFERROR(__xludf.DUMMYFUNCTION("""COMPUTED_VALUE"""),2022.0)</f>
        <v>2022</v>
      </c>
      <c r="B1921" s="6" t="str">
        <f>IFERROR(__xludf.DUMMYFUNCTION("""COMPUTED_VALUE"""),"Agosto")</f>
        <v>Agosto</v>
      </c>
      <c r="C1921" s="6" t="str">
        <f>IFERROR(__xludf.DUMMYFUNCTION("""COMPUTED_VALUE"""),"AMEAÇA")</f>
        <v>AMEAÇA</v>
      </c>
      <c r="D1921" s="6">
        <f>IFERROR(__xludf.DUMMYFUNCTION("""COMPUTED_VALUE"""),872.0)</f>
        <v>872</v>
      </c>
      <c r="E1921" s="6">
        <f>IFERROR(__xludf.DUMMYFUNCTION("""COMPUTED_VALUE"""),804.0)</f>
        <v>804</v>
      </c>
      <c r="F1921" s="6">
        <f>IFERROR(__xludf.DUMMYFUNCTION("""COMPUTED_VALUE"""),2984.0)</f>
        <v>2984</v>
      </c>
      <c r="G1921" s="6">
        <f>IFERROR(__xludf.DUMMYFUNCTION("""COMPUTED_VALUE"""),4660.0)</f>
        <v>4660</v>
      </c>
    </row>
    <row r="1922">
      <c r="A1922" s="6">
        <f>IFERROR(__xludf.DUMMYFUNCTION("""COMPUTED_VALUE"""),2022.0)</f>
        <v>2022</v>
      </c>
      <c r="B1922" s="6" t="str">
        <f>IFERROR(__xludf.DUMMYFUNCTION("""COMPUTED_VALUE"""),"Agosto")</f>
        <v>Agosto</v>
      </c>
      <c r="C1922" s="6" t="str">
        <f>IFERROR(__xludf.DUMMYFUNCTION("""COMPUTED_VALUE"""),"INVASÃO DE DOMICÍLIO")</f>
        <v>INVASÃO DE DOMICÍLIO</v>
      </c>
      <c r="D1922" s="6">
        <f>IFERROR(__xludf.DUMMYFUNCTION("""COMPUTED_VALUE"""),1.0)</f>
        <v>1</v>
      </c>
      <c r="E1922" s="6">
        <f>IFERROR(__xludf.DUMMYFUNCTION("""COMPUTED_VALUE"""),2.0)</f>
        <v>2</v>
      </c>
      <c r="F1922" s="6">
        <f>IFERROR(__xludf.DUMMYFUNCTION("""COMPUTED_VALUE"""),13.0)</f>
        <v>13</v>
      </c>
      <c r="G1922" s="6">
        <f>IFERROR(__xludf.DUMMYFUNCTION("""COMPUTED_VALUE"""),16.0)</f>
        <v>16</v>
      </c>
    </row>
    <row r="1923">
      <c r="A1923" s="6">
        <f>IFERROR(__xludf.DUMMYFUNCTION("""COMPUTED_VALUE"""),2022.0)</f>
        <v>2022</v>
      </c>
      <c r="B1923" s="6" t="str">
        <f>IFERROR(__xludf.DUMMYFUNCTION("""COMPUTED_VALUE"""),"Agosto")</f>
        <v>Agosto</v>
      </c>
      <c r="C1923" s="6" t="str">
        <f>IFERROR(__xludf.DUMMYFUNCTION("""COMPUTED_VALUE"""),"DANO")</f>
        <v>DANO</v>
      </c>
      <c r="D1923" s="6">
        <f>IFERROR(__xludf.DUMMYFUNCTION("""COMPUTED_VALUE"""),11.0)</f>
        <v>11</v>
      </c>
      <c r="E1923" s="6">
        <f>IFERROR(__xludf.DUMMYFUNCTION("""COMPUTED_VALUE"""),10.0)</f>
        <v>10</v>
      </c>
      <c r="F1923" s="6">
        <f>IFERROR(__xludf.DUMMYFUNCTION("""COMPUTED_VALUE"""),54.0)</f>
        <v>54</v>
      </c>
      <c r="G1923" s="6">
        <f>IFERROR(__xludf.DUMMYFUNCTION("""COMPUTED_VALUE"""),75.0)</f>
        <v>75</v>
      </c>
    </row>
    <row r="1924">
      <c r="A1924" s="6">
        <f>IFERROR(__xludf.DUMMYFUNCTION("""COMPUTED_VALUE"""),2022.0)</f>
        <v>2022</v>
      </c>
      <c r="B1924" s="6" t="str">
        <f>IFERROR(__xludf.DUMMYFUNCTION("""COMPUTED_VALUE"""),"Agosto")</f>
        <v>Agosto</v>
      </c>
      <c r="C1924" s="6" t="str">
        <f>IFERROR(__xludf.DUMMYFUNCTION("""COMPUTED_VALUE"""),"ESTUPRO CONSUMADO")</f>
        <v>ESTUPRO CONSUMADO</v>
      </c>
      <c r="D1924" s="6">
        <f>IFERROR(__xludf.DUMMYFUNCTION("""COMPUTED_VALUE"""),10.0)</f>
        <v>10</v>
      </c>
      <c r="E1924" s="6">
        <f>IFERROR(__xludf.DUMMYFUNCTION("""COMPUTED_VALUE"""),7.0)</f>
        <v>7</v>
      </c>
      <c r="F1924" s="6">
        <f>IFERROR(__xludf.DUMMYFUNCTION("""COMPUTED_VALUE"""),17.0)</f>
        <v>17</v>
      </c>
      <c r="G1924" s="6">
        <f>IFERROR(__xludf.DUMMYFUNCTION("""COMPUTED_VALUE"""),34.0)</f>
        <v>34</v>
      </c>
    </row>
    <row r="1925">
      <c r="A1925" s="6">
        <f>IFERROR(__xludf.DUMMYFUNCTION("""COMPUTED_VALUE"""),2022.0)</f>
        <v>2022</v>
      </c>
      <c r="B1925" s="6" t="str">
        <f>IFERROR(__xludf.DUMMYFUNCTION("""COMPUTED_VALUE"""),"Agosto")</f>
        <v>Agosto</v>
      </c>
      <c r="C1925" s="6" t="str">
        <f>IFERROR(__xludf.DUMMYFUNCTION("""COMPUTED_VALUE"""),"ESTUPRO TENTADO")</f>
        <v>ESTUPRO TENTADO</v>
      </c>
      <c r="D1925" s="6">
        <f>IFERROR(__xludf.DUMMYFUNCTION("""COMPUTED_VALUE"""),0.0)</f>
        <v>0</v>
      </c>
      <c r="E1925" s="6">
        <f>IFERROR(__xludf.DUMMYFUNCTION("""COMPUTED_VALUE"""),0.0)</f>
        <v>0</v>
      </c>
      <c r="F1925" s="6">
        <f>IFERROR(__xludf.DUMMYFUNCTION("""COMPUTED_VALUE"""),1.0)</f>
        <v>1</v>
      </c>
      <c r="G1925" s="6">
        <f>IFERROR(__xludf.DUMMYFUNCTION("""COMPUTED_VALUE"""),1.0)</f>
        <v>1</v>
      </c>
    </row>
    <row r="1926">
      <c r="A1926" s="6">
        <f>IFERROR(__xludf.DUMMYFUNCTION("""COMPUTED_VALUE"""),2022.0)</f>
        <v>2022</v>
      </c>
      <c r="B1926" s="6" t="str">
        <f>IFERROR(__xludf.DUMMYFUNCTION("""COMPUTED_VALUE"""),"Agosto")</f>
        <v>Agosto</v>
      </c>
      <c r="C1926" s="6" t="str">
        <f>IFERROR(__xludf.DUMMYFUNCTION("""COMPUTED_VALUE"""),"ESTUPRO DE VULNERÁVEL CONSUMADO")</f>
        <v>ESTUPRO DE VULNERÁVEL CONSUMADO</v>
      </c>
      <c r="D1926" s="6">
        <f>IFERROR(__xludf.DUMMYFUNCTION("""COMPUTED_VALUE"""),3.0)</f>
        <v>3</v>
      </c>
      <c r="E1926" s="6">
        <f>IFERROR(__xludf.DUMMYFUNCTION("""COMPUTED_VALUE"""),4.0)</f>
        <v>4</v>
      </c>
      <c r="F1926" s="6">
        <f>IFERROR(__xludf.DUMMYFUNCTION("""COMPUTED_VALUE"""),17.0)</f>
        <v>17</v>
      </c>
      <c r="G1926" s="6">
        <f>IFERROR(__xludf.DUMMYFUNCTION("""COMPUTED_VALUE"""),24.0)</f>
        <v>24</v>
      </c>
    </row>
    <row r="1927">
      <c r="A1927" s="6">
        <f>IFERROR(__xludf.DUMMYFUNCTION("""COMPUTED_VALUE"""),2022.0)</f>
        <v>2022</v>
      </c>
      <c r="B1927" s="6" t="str">
        <f>IFERROR(__xludf.DUMMYFUNCTION("""COMPUTED_VALUE"""),"Agosto")</f>
        <v>Agosto</v>
      </c>
      <c r="C1927" s="6" t="str">
        <f>IFERROR(__xludf.DUMMYFUNCTION("""COMPUTED_VALUE"""),"OUTROS C/C/ DIGNIDADE SEXUAL")</f>
        <v>OUTROS C/C/ DIGNIDADE SEXUAL</v>
      </c>
      <c r="D1927" s="6">
        <f>IFERROR(__xludf.DUMMYFUNCTION("""COMPUTED_VALUE"""),0.0)</f>
        <v>0</v>
      </c>
      <c r="E1927" s="6">
        <f>IFERROR(__xludf.DUMMYFUNCTION("""COMPUTED_VALUE"""),0.0)</f>
        <v>0</v>
      </c>
      <c r="F1927" s="6">
        <f>IFERROR(__xludf.DUMMYFUNCTION("""COMPUTED_VALUE"""),2.0)</f>
        <v>2</v>
      </c>
      <c r="G1927" s="6">
        <f>IFERROR(__xludf.DUMMYFUNCTION("""COMPUTED_VALUE"""),2.0)</f>
        <v>2</v>
      </c>
    </row>
    <row r="1928">
      <c r="A1928" s="6">
        <f>IFERROR(__xludf.DUMMYFUNCTION("""COMPUTED_VALUE"""),2022.0)</f>
        <v>2022</v>
      </c>
      <c r="B1928" s="6" t="str">
        <f>IFERROR(__xludf.DUMMYFUNCTION("""COMPUTED_VALUE"""),"Setembro")</f>
        <v>Setembro</v>
      </c>
      <c r="C1928" s="6" t="str">
        <f>IFERROR(__xludf.DUMMYFUNCTION("""COMPUTED_VALUE"""),"HOMICÍDIO DOLOSO (exclui FEMINICÍDIO)")</f>
        <v>HOMICÍDIO DOLOSO (exclui FEMINICÍDIO)</v>
      </c>
      <c r="D1928" s="6">
        <f>IFERROR(__xludf.DUMMYFUNCTION("""COMPUTED_VALUE"""),1.0)</f>
        <v>1</v>
      </c>
      <c r="E1928" s="6">
        <f>IFERROR(__xludf.DUMMYFUNCTION("""COMPUTED_VALUE"""),0.0)</f>
        <v>0</v>
      </c>
      <c r="F1928" s="6">
        <f>IFERROR(__xludf.DUMMYFUNCTION("""COMPUTED_VALUE"""),2.0)</f>
        <v>2</v>
      </c>
      <c r="G1928" s="6">
        <f>IFERROR(__xludf.DUMMYFUNCTION("""COMPUTED_VALUE"""),3.0)</f>
        <v>3</v>
      </c>
    </row>
    <row r="1929">
      <c r="A1929" s="6">
        <f>IFERROR(__xludf.DUMMYFUNCTION("""COMPUTED_VALUE"""),2022.0)</f>
        <v>2022</v>
      </c>
      <c r="B1929" s="6" t="str">
        <f>IFERROR(__xludf.DUMMYFUNCTION("""COMPUTED_VALUE"""),"Setembro")</f>
        <v>Setembro</v>
      </c>
      <c r="C1929" s="6" t="str">
        <f>IFERROR(__xludf.DUMMYFUNCTION("""COMPUTED_VALUE"""),"FEMINICÍDIO")</f>
        <v>FEMINICÍDIO</v>
      </c>
      <c r="D1929" s="6">
        <f>IFERROR(__xludf.DUMMYFUNCTION("""COMPUTED_VALUE"""),4.0)</f>
        <v>4</v>
      </c>
      <c r="E1929" s="6">
        <f>IFERROR(__xludf.DUMMYFUNCTION("""COMPUTED_VALUE"""),4.0)</f>
        <v>4</v>
      </c>
      <c r="F1929" s="6">
        <f>IFERROR(__xludf.DUMMYFUNCTION("""COMPUTED_VALUE"""),8.0)</f>
        <v>8</v>
      </c>
      <c r="G1929" s="6">
        <f>IFERROR(__xludf.DUMMYFUNCTION("""COMPUTED_VALUE"""),16.0)</f>
        <v>16</v>
      </c>
    </row>
    <row r="1930">
      <c r="A1930" s="6">
        <f>IFERROR(__xludf.DUMMYFUNCTION("""COMPUTED_VALUE"""),2022.0)</f>
        <v>2022</v>
      </c>
      <c r="B1930" s="6" t="str">
        <f>IFERROR(__xludf.DUMMYFUNCTION("""COMPUTED_VALUE"""),"Setembro")</f>
        <v>Setembro</v>
      </c>
      <c r="C1930" s="6" t="str">
        <f>IFERROR(__xludf.DUMMYFUNCTION("""COMPUTED_VALUE"""),"HOMICÍDIO CULPOSO")</f>
        <v>HOMICÍDIO CULPOSO</v>
      </c>
      <c r="D1930" s="6">
        <f>IFERROR(__xludf.DUMMYFUNCTION("""COMPUTED_VALUE"""),0.0)</f>
        <v>0</v>
      </c>
      <c r="E1930" s="6">
        <f>IFERROR(__xludf.DUMMYFUNCTION("""COMPUTED_VALUE"""),0.0)</f>
        <v>0</v>
      </c>
      <c r="F1930" s="6">
        <f>IFERROR(__xludf.DUMMYFUNCTION("""COMPUTED_VALUE"""),0.0)</f>
        <v>0</v>
      </c>
      <c r="G1930" s="6">
        <f>IFERROR(__xludf.DUMMYFUNCTION("""COMPUTED_VALUE"""),0.0)</f>
        <v>0</v>
      </c>
    </row>
    <row r="1931">
      <c r="A1931" s="6">
        <f>IFERROR(__xludf.DUMMYFUNCTION("""COMPUTED_VALUE"""),2022.0)</f>
        <v>2022</v>
      </c>
      <c r="B1931" s="6" t="str">
        <f>IFERROR(__xludf.DUMMYFUNCTION("""COMPUTED_VALUE"""),"Setembro")</f>
        <v>Setembro</v>
      </c>
      <c r="C1931" s="6" t="str">
        <f>IFERROR(__xludf.DUMMYFUNCTION("""COMPUTED_VALUE"""),"TENTATIVA DE HOMICÍDIO")</f>
        <v>TENTATIVA DE HOMICÍDIO</v>
      </c>
      <c r="D1931" s="6">
        <f>IFERROR(__xludf.DUMMYFUNCTION("""COMPUTED_VALUE"""),1.0)</f>
        <v>1</v>
      </c>
      <c r="E1931" s="6">
        <f>IFERROR(__xludf.DUMMYFUNCTION("""COMPUTED_VALUE"""),1.0)</f>
        <v>1</v>
      </c>
      <c r="F1931" s="6">
        <f>IFERROR(__xludf.DUMMYFUNCTION("""COMPUTED_VALUE"""),11.0)</f>
        <v>11</v>
      </c>
      <c r="G1931" s="6">
        <f>IFERROR(__xludf.DUMMYFUNCTION("""COMPUTED_VALUE"""),13.0)</f>
        <v>13</v>
      </c>
    </row>
    <row r="1932">
      <c r="A1932" s="6">
        <f>IFERROR(__xludf.DUMMYFUNCTION("""COMPUTED_VALUE"""),2022.0)</f>
        <v>2022</v>
      </c>
      <c r="B1932" s="6" t="str">
        <f>IFERROR(__xludf.DUMMYFUNCTION("""COMPUTED_VALUE"""),"Setembro")</f>
        <v>Setembro</v>
      </c>
      <c r="C1932" s="6" t="str">
        <f>IFERROR(__xludf.DUMMYFUNCTION("""COMPUTED_VALUE"""),"LESÃO CORPORAL DOLOSA")</f>
        <v>LESÃO CORPORAL DOLOSA</v>
      </c>
      <c r="D1932" s="6">
        <f>IFERROR(__xludf.DUMMYFUNCTION("""COMPUTED_VALUE"""),912.0)</f>
        <v>912</v>
      </c>
      <c r="E1932" s="6">
        <f>IFERROR(__xludf.DUMMYFUNCTION("""COMPUTED_VALUE"""),784.0)</f>
        <v>784</v>
      </c>
      <c r="F1932" s="6">
        <f>IFERROR(__xludf.DUMMYFUNCTION("""COMPUTED_VALUE"""),2814.0)</f>
        <v>2814</v>
      </c>
      <c r="G1932" s="6">
        <f>IFERROR(__xludf.DUMMYFUNCTION("""COMPUTED_VALUE"""),4510.0)</f>
        <v>4510</v>
      </c>
    </row>
    <row r="1933">
      <c r="A1933" s="6">
        <f>IFERROR(__xludf.DUMMYFUNCTION("""COMPUTED_VALUE"""),2022.0)</f>
        <v>2022</v>
      </c>
      <c r="B1933" s="6" t="str">
        <f>IFERROR(__xludf.DUMMYFUNCTION("""COMPUTED_VALUE"""),"Setembro")</f>
        <v>Setembro</v>
      </c>
      <c r="C1933" s="6" t="str">
        <f>IFERROR(__xludf.DUMMYFUNCTION("""COMPUTED_VALUE"""),"MAUS TRATOS")</f>
        <v>MAUS TRATOS</v>
      </c>
      <c r="D1933" s="6">
        <f>IFERROR(__xludf.DUMMYFUNCTION("""COMPUTED_VALUE"""),2.0)</f>
        <v>2</v>
      </c>
      <c r="E1933" s="6">
        <f>IFERROR(__xludf.DUMMYFUNCTION("""COMPUTED_VALUE"""),2.0)</f>
        <v>2</v>
      </c>
      <c r="F1933" s="6">
        <f>IFERROR(__xludf.DUMMYFUNCTION("""COMPUTED_VALUE"""),14.0)</f>
        <v>14</v>
      </c>
      <c r="G1933" s="6">
        <f>IFERROR(__xludf.DUMMYFUNCTION("""COMPUTED_VALUE"""),18.0)</f>
        <v>18</v>
      </c>
    </row>
    <row r="1934">
      <c r="A1934" s="6">
        <f>IFERROR(__xludf.DUMMYFUNCTION("""COMPUTED_VALUE"""),2022.0)</f>
        <v>2022</v>
      </c>
      <c r="B1934" s="6" t="str">
        <f>IFERROR(__xludf.DUMMYFUNCTION("""COMPUTED_VALUE"""),"Setembro")</f>
        <v>Setembro</v>
      </c>
      <c r="C1934" s="6" t="str">
        <f>IFERROR(__xludf.DUMMYFUNCTION("""COMPUTED_VALUE"""),"CALÚNIA - DIFAMAÇÃO - INJÚRIA")</f>
        <v>CALÚNIA - DIFAMAÇÃO - INJÚRIA</v>
      </c>
      <c r="D1934" s="6">
        <f>IFERROR(__xludf.DUMMYFUNCTION("""COMPUTED_VALUE"""),178.0)</f>
        <v>178</v>
      </c>
      <c r="E1934" s="6">
        <f>IFERROR(__xludf.DUMMYFUNCTION("""COMPUTED_VALUE"""),151.0)</f>
        <v>151</v>
      </c>
      <c r="F1934" s="6">
        <f>IFERROR(__xludf.DUMMYFUNCTION("""COMPUTED_VALUE"""),654.0)</f>
        <v>654</v>
      </c>
      <c r="G1934" s="6">
        <f>IFERROR(__xludf.DUMMYFUNCTION("""COMPUTED_VALUE"""),983.0)</f>
        <v>983</v>
      </c>
    </row>
    <row r="1935">
      <c r="A1935" s="6">
        <f>IFERROR(__xludf.DUMMYFUNCTION("""COMPUTED_VALUE"""),2022.0)</f>
        <v>2022</v>
      </c>
      <c r="B1935" s="6" t="str">
        <f>IFERROR(__xludf.DUMMYFUNCTION("""COMPUTED_VALUE"""),"Setembro")</f>
        <v>Setembro</v>
      </c>
      <c r="C1935" s="6" t="str">
        <f>IFERROR(__xludf.DUMMYFUNCTION("""COMPUTED_VALUE"""),"CONSTRANGIMENTO ILEGAL")</f>
        <v>CONSTRANGIMENTO ILEGAL</v>
      </c>
      <c r="D1935" s="6">
        <f>IFERROR(__xludf.DUMMYFUNCTION("""COMPUTED_VALUE"""),1.0)</f>
        <v>1</v>
      </c>
      <c r="E1935" s="6">
        <f>IFERROR(__xludf.DUMMYFUNCTION("""COMPUTED_VALUE"""),0.0)</f>
        <v>0</v>
      </c>
      <c r="F1935" s="6">
        <f>IFERROR(__xludf.DUMMYFUNCTION("""COMPUTED_VALUE"""),5.0)</f>
        <v>5</v>
      </c>
      <c r="G1935" s="6">
        <f>IFERROR(__xludf.DUMMYFUNCTION("""COMPUTED_VALUE"""),6.0)</f>
        <v>6</v>
      </c>
    </row>
    <row r="1936">
      <c r="A1936" s="6">
        <f>IFERROR(__xludf.DUMMYFUNCTION("""COMPUTED_VALUE"""),2022.0)</f>
        <v>2022</v>
      </c>
      <c r="B1936" s="6" t="str">
        <f>IFERROR(__xludf.DUMMYFUNCTION("""COMPUTED_VALUE"""),"Setembro")</f>
        <v>Setembro</v>
      </c>
      <c r="C1936" s="6" t="str">
        <f>IFERROR(__xludf.DUMMYFUNCTION("""COMPUTED_VALUE"""),"AMEAÇA")</f>
        <v>AMEAÇA</v>
      </c>
      <c r="D1936" s="6">
        <f>IFERROR(__xludf.DUMMYFUNCTION("""COMPUTED_VALUE"""),842.0)</f>
        <v>842</v>
      </c>
      <c r="E1936" s="6">
        <f>IFERROR(__xludf.DUMMYFUNCTION("""COMPUTED_VALUE"""),771.0)</f>
        <v>771</v>
      </c>
      <c r="F1936" s="6">
        <f>IFERROR(__xludf.DUMMYFUNCTION("""COMPUTED_VALUE"""),2884.0)</f>
        <v>2884</v>
      </c>
      <c r="G1936" s="6">
        <f>IFERROR(__xludf.DUMMYFUNCTION("""COMPUTED_VALUE"""),4497.0)</f>
        <v>4497</v>
      </c>
    </row>
    <row r="1937">
      <c r="A1937" s="6">
        <f>IFERROR(__xludf.DUMMYFUNCTION("""COMPUTED_VALUE"""),2022.0)</f>
        <v>2022</v>
      </c>
      <c r="B1937" s="6" t="str">
        <f>IFERROR(__xludf.DUMMYFUNCTION("""COMPUTED_VALUE"""),"Setembro")</f>
        <v>Setembro</v>
      </c>
      <c r="C1937" s="6" t="str">
        <f>IFERROR(__xludf.DUMMYFUNCTION("""COMPUTED_VALUE"""),"INVASÃO DE DOMICÍLIO")</f>
        <v>INVASÃO DE DOMICÍLIO</v>
      </c>
      <c r="D1937" s="6">
        <f>IFERROR(__xludf.DUMMYFUNCTION("""COMPUTED_VALUE"""),1.0)</f>
        <v>1</v>
      </c>
      <c r="E1937" s="6">
        <f>IFERROR(__xludf.DUMMYFUNCTION("""COMPUTED_VALUE"""),1.0)</f>
        <v>1</v>
      </c>
      <c r="F1937" s="6">
        <f>IFERROR(__xludf.DUMMYFUNCTION("""COMPUTED_VALUE"""),11.0)</f>
        <v>11</v>
      </c>
      <c r="G1937" s="6">
        <f>IFERROR(__xludf.DUMMYFUNCTION("""COMPUTED_VALUE"""),13.0)</f>
        <v>13</v>
      </c>
    </row>
    <row r="1938">
      <c r="A1938" s="6">
        <f>IFERROR(__xludf.DUMMYFUNCTION("""COMPUTED_VALUE"""),2022.0)</f>
        <v>2022</v>
      </c>
      <c r="B1938" s="6" t="str">
        <f>IFERROR(__xludf.DUMMYFUNCTION("""COMPUTED_VALUE"""),"Setembro")</f>
        <v>Setembro</v>
      </c>
      <c r="C1938" s="6" t="str">
        <f>IFERROR(__xludf.DUMMYFUNCTION("""COMPUTED_VALUE"""),"DANO")</f>
        <v>DANO</v>
      </c>
      <c r="D1938" s="6">
        <f>IFERROR(__xludf.DUMMYFUNCTION("""COMPUTED_VALUE"""),9.0)</f>
        <v>9</v>
      </c>
      <c r="E1938" s="6">
        <f>IFERROR(__xludf.DUMMYFUNCTION("""COMPUTED_VALUE"""),9.0)</f>
        <v>9</v>
      </c>
      <c r="F1938" s="6">
        <f>IFERROR(__xludf.DUMMYFUNCTION("""COMPUTED_VALUE"""),51.0)</f>
        <v>51</v>
      </c>
      <c r="G1938" s="6">
        <f>IFERROR(__xludf.DUMMYFUNCTION("""COMPUTED_VALUE"""),69.0)</f>
        <v>69</v>
      </c>
    </row>
    <row r="1939">
      <c r="A1939" s="6">
        <f>IFERROR(__xludf.DUMMYFUNCTION("""COMPUTED_VALUE"""),2022.0)</f>
        <v>2022</v>
      </c>
      <c r="B1939" s="6" t="str">
        <f>IFERROR(__xludf.DUMMYFUNCTION("""COMPUTED_VALUE"""),"Setembro")</f>
        <v>Setembro</v>
      </c>
      <c r="C1939" s="6" t="str">
        <f>IFERROR(__xludf.DUMMYFUNCTION("""COMPUTED_VALUE"""),"ESTUPRO CONSUMADO")</f>
        <v>ESTUPRO CONSUMADO</v>
      </c>
      <c r="D1939" s="6">
        <f>IFERROR(__xludf.DUMMYFUNCTION("""COMPUTED_VALUE"""),9.0)</f>
        <v>9</v>
      </c>
      <c r="E1939" s="6">
        <f>IFERROR(__xludf.DUMMYFUNCTION("""COMPUTED_VALUE"""),6.0)</f>
        <v>6</v>
      </c>
      <c r="F1939" s="6">
        <f>IFERROR(__xludf.DUMMYFUNCTION("""COMPUTED_VALUE"""),16.0)</f>
        <v>16</v>
      </c>
      <c r="G1939" s="6">
        <f>IFERROR(__xludf.DUMMYFUNCTION("""COMPUTED_VALUE"""),31.0)</f>
        <v>31</v>
      </c>
    </row>
    <row r="1940">
      <c r="A1940" s="6">
        <f>IFERROR(__xludf.DUMMYFUNCTION("""COMPUTED_VALUE"""),2022.0)</f>
        <v>2022</v>
      </c>
      <c r="B1940" s="6" t="str">
        <f>IFERROR(__xludf.DUMMYFUNCTION("""COMPUTED_VALUE"""),"Setembro")</f>
        <v>Setembro</v>
      </c>
      <c r="C1940" s="6" t="str">
        <f>IFERROR(__xludf.DUMMYFUNCTION("""COMPUTED_VALUE"""),"ESTUPRO TENTADO")</f>
        <v>ESTUPRO TENTADO</v>
      </c>
      <c r="D1940" s="6">
        <f>IFERROR(__xludf.DUMMYFUNCTION("""COMPUTED_VALUE"""),0.0)</f>
        <v>0</v>
      </c>
      <c r="E1940" s="6">
        <f>IFERROR(__xludf.DUMMYFUNCTION("""COMPUTED_VALUE"""),0.0)</f>
        <v>0</v>
      </c>
      <c r="F1940" s="6">
        <f>IFERROR(__xludf.DUMMYFUNCTION("""COMPUTED_VALUE"""),1.0)</f>
        <v>1</v>
      </c>
      <c r="G1940" s="6">
        <f>IFERROR(__xludf.DUMMYFUNCTION("""COMPUTED_VALUE"""),1.0)</f>
        <v>1</v>
      </c>
    </row>
    <row r="1941">
      <c r="A1941" s="6">
        <f>IFERROR(__xludf.DUMMYFUNCTION("""COMPUTED_VALUE"""),2022.0)</f>
        <v>2022</v>
      </c>
      <c r="B1941" s="6" t="str">
        <f>IFERROR(__xludf.DUMMYFUNCTION("""COMPUTED_VALUE"""),"Setembro")</f>
        <v>Setembro</v>
      </c>
      <c r="C1941" s="6" t="str">
        <f>IFERROR(__xludf.DUMMYFUNCTION("""COMPUTED_VALUE"""),"ESTUPRO DE VULNERÁVEL CONSUMADO")</f>
        <v>ESTUPRO DE VULNERÁVEL CONSUMADO</v>
      </c>
      <c r="D1941" s="6">
        <f>IFERROR(__xludf.DUMMYFUNCTION("""COMPUTED_VALUE"""),2.0)</f>
        <v>2</v>
      </c>
      <c r="E1941" s="6">
        <f>IFERROR(__xludf.DUMMYFUNCTION("""COMPUTED_VALUE"""),3.0)</f>
        <v>3</v>
      </c>
      <c r="F1941" s="6">
        <f>IFERROR(__xludf.DUMMYFUNCTION("""COMPUTED_VALUE"""),15.0)</f>
        <v>15</v>
      </c>
      <c r="G1941" s="6">
        <f>IFERROR(__xludf.DUMMYFUNCTION("""COMPUTED_VALUE"""),20.0)</f>
        <v>20</v>
      </c>
    </row>
    <row r="1942">
      <c r="A1942" s="6">
        <f>IFERROR(__xludf.DUMMYFUNCTION("""COMPUTED_VALUE"""),2022.0)</f>
        <v>2022</v>
      </c>
      <c r="B1942" s="6" t="str">
        <f>IFERROR(__xludf.DUMMYFUNCTION("""COMPUTED_VALUE"""),"Setembro")</f>
        <v>Setembro</v>
      </c>
      <c r="C1942" s="6" t="str">
        <f>IFERROR(__xludf.DUMMYFUNCTION("""COMPUTED_VALUE"""),"OUTROS C/C/ DIGNIDADE SEXUAL")</f>
        <v>OUTROS C/C/ DIGNIDADE SEXUAL</v>
      </c>
      <c r="D1942" s="6">
        <f>IFERROR(__xludf.DUMMYFUNCTION("""COMPUTED_VALUE"""),0.0)</f>
        <v>0</v>
      </c>
      <c r="E1942" s="6">
        <f>IFERROR(__xludf.DUMMYFUNCTION("""COMPUTED_VALUE"""),0.0)</f>
        <v>0</v>
      </c>
      <c r="F1942" s="6">
        <f>IFERROR(__xludf.DUMMYFUNCTION("""COMPUTED_VALUE"""),1.0)</f>
        <v>1</v>
      </c>
      <c r="G1942" s="6">
        <f>IFERROR(__xludf.DUMMYFUNCTION("""COMPUTED_VALUE"""),1.0)</f>
        <v>1</v>
      </c>
    </row>
    <row r="1943">
      <c r="A1943" s="6">
        <f>IFERROR(__xludf.DUMMYFUNCTION("""COMPUTED_VALUE"""),2022.0)</f>
        <v>2022</v>
      </c>
      <c r="B1943" s="6" t="str">
        <f>IFERROR(__xludf.DUMMYFUNCTION("""COMPUTED_VALUE"""),"Outubro")</f>
        <v>Outubro</v>
      </c>
      <c r="C1943" s="6" t="str">
        <f>IFERROR(__xludf.DUMMYFUNCTION("""COMPUTED_VALUE"""),"HOMICÍDIO DOLOSO (exclui FEMINICÍDIO)")</f>
        <v>HOMICÍDIO DOLOSO (exclui FEMINICÍDIO)</v>
      </c>
      <c r="D1943" s="6">
        <f>IFERROR(__xludf.DUMMYFUNCTION("""COMPUTED_VALUE"""),2.0)</f>
        <v>2</v>
      </c>
      <c r="E1943" s="6">
        <f>IFERROR(__xludf.DUMMYFUNCTION("""COMPUTED_VALUE"""),1.0)</f>
        <v>1</v>
      </c>
      <c r="F1943" s="6">
        <f>IFERROR(__xludf.DUMMYFUNCTION("""COMPUTED_VALUE"""),3.0)</f>
        <v>3</v>
      </c>
      <c r="G1943" s="6">
        <f>IFERROR(__xludf.DUMMYFUNCTION("""COMPUTED_VALUE"""),6.0)</f>
        <v>6</v>
      </c>
    </row>
    <row r="1944">
      <c r="A1944" s="6">
        <f>IFERROR(__xludf.DUMMYFUNCTION("""COMPUTED_VALUE"""),2022.0)</f>
        <v>2022</v>
      </c>
      <c r="B1944" s="6" t="str">
        <f>IFERROR(__xludf.DUMMYFUNCTION("""COMPUTED_VALUE"""),"Outubro")</f>
        <v>Outubro</v>
      </c>
      <c r="C1944" s="6" t="str">
        <f>IFERROR(__xludf.DUMMYFUNCTION("""COMPUTED_VALUE"""),"FEMINICÍDIO")</f>
        <v>FEMINICÍDIO</v>
      </c>
      <c r="D1944" s="6">
        <f>IFERROR(__xludf.DUMMYFUNCTION("""COMPUTED_VALUE"""),4.0)</f>
        <v>4</v>
      </c>
      <c r="E1944" s="6">
        <f>IFERROR(__xludf.DUMMYFUNCTION("""COMPUTED_VALUE"""),4.0)</f>
        <v>4</v>
      </c>
      <c r="F1944" s="6">
        <f>IFERROR(__xludf.DUMMYFUNCTION("""COMPUTED_VALUE"""),8.0)</f>
        <v>8</v>
      </c>
      <c r="G1944" s="6">
        <f>IFERROR(__xludf.DUMMYFUNCTION("""COMPUTED_VALUE"""),16.0)</f>
        <v>16</v>
      </c>
    </row>
    <row r="1945">
      <c r="A1945" s="6">
        <f>IFERROR(__xludf.DUMMYFUNCTION("""COMPUTED_VALUE"""),2022.0)</f>
        <v>2022</v>
      </c>
      <c r="B1945" s="6" t="str">
        <f>IFERROR(__xludf.DUMMYFUNCTION("""COMPUTED_VALUE"""),"Outubro")</f>
        <v>Outubro</v>
      </c>
      <c r="C1945" s="6" t="str">
        <f>IFERROR(__xludf.DUMMYFUNCTION("""COMPUTED_VALUE"""),"HOMICÍDIO CULPOSO")</f>
        <v>HOMICÍDIO CULPOSO</v>
      </c>
      <c r="D1945" s="6">
        <f>IFERROR(__xludf.DUMMYFUNCTION("""COMPUTED_VALUE"""),0.0)</f>
        <v>0</v>
      </c>
      <c r="E1945" s="6">
        <f>IFERROR(__xludf.DUMMYFUNCTION("""COMPUTED_VALUE"""),0.0)</f>
        <v>0</v>
      </c>
      <c r="F1945" s="6">
        <f>IFERROR(__xludf.DUMMYFUNCTION("""COMPUTED_VALUE"""),0.0)</f>
        <v>0</v>
      </c>
      <c r="G1945" s="6">
        <f>IFERROR(__xludf.DUMMYFUNCTION("""COMPUTED_VALUE"""),0.0)</f>
        <v>0</v>
      </c>
    </row>
    <row r="1946">
      <c r="A1946" s="6">
        <f>IFERROR(__xludf.DUMMYFUNCTION("""COMPUTED_VALUE"""),2022.0)</f>
        <v>2022</v>
      </c>
      <c r="B1946" s="6" t="str">
        <f>IFERROR(__xludf.DUMMYFUNCTION("""COMPUTED_VALUE"""),"Outubro")</f>
        <v>Outubro</v>
      </c>
      <c r="C1946" s="6" t="str">
        <f>IFERROR(__xludf.DUMMYFUNCTION("""COMPUTED_VALUE"""),"TENTATIVA DE HOMICÍDIO")</f>
        <v>TENTATIVA DE HOMICÍDIO</v>
      </c>
      <c r="D1946" s="6">
        <f>IFERROR(__xludf.DUMMYFUNCTION("""COMPUTED_VALUE"""),2.0)</f>
        <v>2</v>
      </c>
      <c r="E1946" s="6">
        <f>IFERROR(__xludf.DUMMYFUNCTION("""COMPUTED_VALUE"""),2.0)</f>
        <v>2</v>
      </c>
      <c r="F1946" s="6">
        <f>IFERROR(__xludf.DUMMYFUNCTION("""COMPUTED_VALUE"""),13.0)</f>
        <v>13</v>
      </c>
      <c r="G1946" s="6">
        <f>IFERROR(__xludf.DUMMYFUNCTION("""COMPUTED_VALUE"""),17.0)</f>
        <v>17</v>
      </c>
    </row>
    <row r="1947">
      <c r="A1947" s="6">
        <f>IFERROR(__xludf.DUMMYFUNCTION("""COMPUTED_VALUE"""),2022.0)</f>
        <v>2022</v>
      </c>
      <c r="B1947" s="6" t="str">
        <f>IFERROR(__xludf.DUMMYFUNCTION("""COMPUTED_VALUE"""),"Outubro")</f>
        <v>Outubro</v>
      </c>
      <c r="C1947" s="6" t="str">
        <f>IFERROR(__xludf.DUMMYFUNCTION("""COMPUTED_VALUE"""),"LESÃO CORPORAL DOLOSA")</f>
        <v>LESÃO CORPORAL DOLOSA</v>
      </c>
      <c r="D1947" s="6">
        <f>IFERROR(__xludf.DUMMYFUNCTION("""COMPUTED_VALUE"""),1014.0)</f>
        <v>1014</v>
      </c>
      <c r="E1947" s="6">
        <f>IFERROR(__xludf.DUMMYFUNCTION("""COMPUTED_VALUE"""),864.0)</f>
        <v>864</v>
      </c>
      <c r="F1947" s="6">
        <f>IFERROR(__xludf.DUMMYFUNCTION("""COMPUTED_VALUE"""),3118.0)</f>
        <v>3118</v>
      </c>
      <c r="G1947" s="6">
        <f>IFERROR(__xludf.DUMMYFUNCTION("""COMPUTED_VALUE"""),4996.0)</f>
        <v>4996</v>
      </c>
    </row>
    <row r="1948">
      <c r="A1948" s="6">
        <f>IFERROR(__xludf.DUMMYFUNCTION("""COMPUTED_VALUE"""),2022.0)</f>
        <v>2022</v>
      </c>
      <c r="B1948" s="6" t="str">
        <f>IFERROR(__xludf.DUMMYFUNCTION("""COMPUTED_VALUE"""),"Outubro")</f>
        <v>Outubro</v>
      </c>
      <c r="C1948" s="6" t="str">
        <f>IFERROR(__xludf.DUMMYFUNCTION("""COMPUTED_VALUE"""),"MAUS TRATOS")</f>
        <v>MAUS TRATOS</v>
      </c>
      <c r="D1948" s="6">
        <f>IFERROR(__xludf.DUMMYFUNCTION("""COMPUTED_VALUE"""),3.0)</f>
        <v>3</v>
      </c>
      <c r="E1948" s="6">
        <f>IFERROR(__xludf.DUMMYFUNCTION("""COMPUTED_VALUE"""),2.0)</f>
        <v>2</v>
      </c>
      <c r="F1948" s="6">
        <f>IFERROR(__xludf.DUMMYFUNCTION("""COMPUTED_VALUE"""),18.0)</f>
        <v>18</v>
      </c>
      <c r="G1948" s="6">
        <f>IFERROR(__xludf.DUMMYFUNCTION("""COMPUTED_VALUE"""),23.0)</f>
        <v>23</v>
      </c>
    </row>
    <row r="1949">
      <c r="A1949" s="6">
        <f>IFERROR(__xludf.DUMMYFUNCTION("""COMPUTED_VALUE"""),2022.0)</f>
        <v>2022</v>
      </c>
      <c r="B1949" s="6" t="str">
        <f>IFERROR(__xludf.DUMMYFUNCTION("""COMPUTED_VALUE"""),"Outubro")</f>
        <v>Outubro</v>
      </c>
      <c r="C1949" s="6" t="str">
        <f>IFERROR(__xludf.DUMMYFUNCTION("""COMPUTED_VALUE"""),"CALÚNIA - DIFAMAÇÃO - INJÚRIA")</f>
        <v>CALÚNIA - DIFAMAÇÃO - INJÚRIA</v>
      </c>
      <c r="D1949" s="6">
        <f>IFERROR(__xludf.DUMMYFUNCTION("""COMPUTED_VALUE"""),198.0)</f>
        <v>198</v>
      </c>
      <c r="E1949" s="6">
        <f>IFERROR(__xludf.DUMMYFUNCTION("""COMPUTED_VALUE"""),168.0)</f>
        <v>168</v>
      </c>
      <c r="F1949" s="6">
        <f>IFERROR(__xludf.DUMMYFUNCTION("""COMPUTED_VALUE"""),724.0)</f>
        <v>724</v>
      </c>
      <c r="G1949" s="6">
        <f>IFERROR(__xludf.DUMMYFUNCTION("""COMPUTED_VALUE"""),1090.0)</f>
        <v>1090</v>
      </c>
    </row>
    <row r="1950">
      <c r="A1950" s="6">
        <f>IFERROR(__xludf.DUMMYFUNCTION("""COMPUTED_VALUE"""),2022.0)</f>
        <v>2022</v>
      </c>
      <c r="B1950" s="6" t="str">
        <f>IFERROR(__xludf.DUMMYFUNCTION("""COMPUTED_VALUE"""),"Outubro")</f>
        <v>Outubro</v>
      </c>
      <c r="C1950" s="6" t="str">
        <f>IFERROR(__xludf.DUMMYFUNCTION("""COMPUTED_VALUE"""),"CONSTRANGIMENTO ILEGAL")</f>
        <v>CONSTRANGIMENTO ILEGAL</v>
      </c>
      <c r="D1950" s="6">
        <f>IFERROR(__xludf.DUMMYFUNCTION("""COMPUTED_VALUE"""),1.0)</f>
        <v>1</v>
      </c>
      <c r="E1950" s="6">
        <f>IFERROR(__xludf.DUMMYFUNCTION("""COMPUTED_VALUE"""),1.0)</f>
        <v>1</v>
      </c>
      <c r="F1950" s="6">
        <f>IFERROR(__xludf.DUMMYFUNCTION("""COMPUTED_VALUE"""),7.0)</f>
        <v>7</v>
      </c>
      <c r="G1950" s="6">
        <f>IFERROR(__xludf.DUMMYFUNCTION("""COMPUTED_VALUE"""),9.0)</f>
        <v>9</v>
      </c>
    </row>
    <row r="1951">
      <c r="A1951" s="6">
        <f>IFERROR(__xludf.DUMMYFUNCTION("""COMPUTED_VALUE"""),2022.0)</f>
        <v>2022</v>
      </c>
      <c r="B1951" s="6" t="str">
        <f>IFERROR(__xludf.DUMMYFUNCTION("""COMPUTED_VALUE"""),"Outubro")</f>
        <v>Outubro</v>
      </c>
      <c r="C1951" s="6" t="str">
        <f>IFERROR(__xludf.DUMMYFUNCTION("""COMPUTED_VALUE"""),"AMEAÇA")</f>
        <v>AMEAÇA</v>
      </c>
      <c r="D1951" s="6">
        <f>IFERROR(__xludf.DUMMYFUNCTION("""COMPUTED_VALUE"""),948.0)</f>
        <v>948</v>
      </c>
      <c r="E1951" s="6">
        <f>IFERROR(__xludf.DUMMYFUNCTION("""COMPUTED_VALUE"""),852.0)</f>
        <v>852</v>
      </c>
      <c r="F1951" s="6">
        <f>IFERROR(__xludf.DUMMYFUNCTION("""COMPUTED_VALUE"""),3214.0)</f>
        <v>3214</v>
      </c>
      <c r="G1951" s="6">
        <f>IFERROR(__xludf.DUMMYFUNCTION("""COMPUTED_VALUE"""),5014.0)</f>
        <v>5014</v>
      </c>
    </row>
    <row r="1952">
      <c r="A1952" s="6">
        <f>IFERROR(__xludf.DUMMYFUNCTION("""COMPUTED_VALUE"""),2022.0)</f>
        <v>2022</v>
      </c>
      <c r="B1952" s="6" t="str">
        <f>IFERROR(__xludf.DUMMYFUNCTION("""COMPUTED_VALUE"""),"Outubro")</f>
        <v>Outubro</v>
      </c>
      <c r="C1952" s="6" t="str">
        <f>IFERROR(__xludf.DUMMYFUNCTION("""COMPUTED_VALUE"""),"INVASÃO DE DOMICÍLIO")</f>
        <v>INVASÃO DE DOMICÍLIO</v>
      </c>
      <c r="D1952" s="6">
        <f>IFERROR(__xludf.DUMMYFUNCTION("""COMPUTED_VALUE"""),1.0)</f>
        <v>1</v>
      </c>
      <c r="E1952" s="6">
        <f>IFERROR(__xludf.DUMMYFUNCTION("""COMPUTED_VALUE"""),2.0)</f>
        <v>2</v>
      </c>
      <c r="F1952" s="6">
        <f>IFERROR(__xludf.DUMMYFUNCTION("""COMPUTED_VALUE"""),13.0)</f>
        <v>13</v>
      </c>
      <c r="G1952" s="6">
        <f>IFERROR(__xludf.DUMMYFUNCTION("""COMPUTED_VALUE"""),16.0)</f>
        <v>16</v>
      </c>
    </row>
    <row r="1953">
      <c r="A1953" s="6">
        <f>IFERROR(__xludf.DUMMYFUNCTION("""COMPUTED_VALUE"""),2022.0)</f>
        <v>2022</v>
      </c>
      <c r="B1953" s="6" t="str">
        <f>IFERROR(__xludf.DUMMYFUNCTION("""COMPUTED_VALUE"""),"Outubro")</f>
        <v>Outubro</v>
      </c>
      <c r="C1953" s="6" t="str">
        <f>IFERROR(__xludf.DUMMYFUNCTION("""COMPUTED_VALUE"""),"DANO")</f>
        <v>DANO</v>
      </c>
      <c r="D1953" s="6">
        <f>IFERROR(__xludf.DUMMYFUNCTION("""COMPUTED_VALUE"""),11.0)</f>
        <v>11</v>
      </c>
      <c r="E1953" s="6">
        <f>IFERROR(__xludf.DUMMYFUNCTION("""COMPUTED_VALUE"""),11.0)</f>
        <v>11</v>
      </c>
      <c r="F1953" s="6">
        <f>IFERROR(__xludf.DUMMYFUNCTION("""COMPUTED_VALUE"""),62.0)</f>
        <v>62</v>
      </c>
      <c r="G1953" s="6">
        <f>IFERROR(__xludf.DUMMYFUNCTION("""COMPUTED_VALUE"""),84.0)</f>
        <v>84</v>
      </c>
    </row>
    <row r="1954">
      <c r="A1954" s="6">
        <f>IFERROR(__xludf.DUMMYFUNCTION("""COMPUTED_VALUE"""),2022.0)</f>
        <v>2022</v>
      </c>
      <c r="B1954" s="6" t="str">
        <f>IFERROR(__xludf.DUMMYFUNCTION("""COMPUTED_VALUE"""),"Outubro")</f>
        <v>Outubro</v>
      </c>
      <c r="C1954" s="6" t="str">
        <f>IFERROR(__xludf.DUMMYFUNCTION("""COMPUTED_VALUE"""),"ESTUPRO CONSUMADO")</f>
        <v>ESTUPRO CONSUMADO</v>
      </c>
      <c r="D1954" s="6">
        <f>IFERROR(__xludf.DUMMYFUNCTION("""COMPUTED_VALUE"""),10.0)</f>
        <v>10</v>
      </c>
      <c r="E1954" s="6">
        <f>IFERROR(__xludf.DUMMYFUNCTION("""COMPUTED_VALUE"""),7.0)</f>
        <v>7</v>
      </c>
      <c r="F1954" s="6">
        <f>IFERROR(__xludf.DUMMYFUNCTION("""COMPUTED_VALUE"""),19.0)</f>
        <v>19</v>
      </c>
      <c r="G1954" s="6">
        <f>IFERROR(__xludf.DUMMYFUNCTION("""COMPUTED_VALUE"""),36.0)</f>
        <v>36</v>
      </c>
    </row>
    <row r="1955">
      <c r="A1955" s="6">
        <f>IFERROR(__xludf.DUMMYFUNCTION("""COMPUTED_VALUE"""),2022.0)</f>
        <v>2022</v>
      </c>
      <c r="B1955" s="6" t="str">
        <f>IFERROR(__xludf.DUMMYFUNCTION("""COMPUTED_VALUE"""),"Outubro")</f>
        <v>Outubro</v>
      </c>
      <c r="C1955" s="6" t="str">
        <f>IFERROR(__xludf.DUMMYFUNCTION("""COMPUTED_VALUE"""),"ESTUPRO TENTADO")</f>
        <v>ESTUPRO TENTADO</v>
      </c>
      <c r="D1955" s="6">
        <f>IFERROR(__xludf.DUMMYFUNCTION("""COMPUTED_VALUE"""),1.0)</f>
        <v>1</v>
      </c>
      <c r="E1955" s="6">
        <f>IFERROR(__xludf.DUMMYFUNCTION("""COMPUTED_VALUE"""),0.0)</f>
        <v>0</v>
      </c>
      <c r="F1955" s="6">
        <f>IFERROR(__xludf.DUMMYFUNCTION("""COMPUTED_VALUE"""),1.0)</f>
        <v>1</v>
      </c>
      <c r="G1955" s="6">
        <f>IFERROR(__xludf.DUMMYFUNCTION("""COMPUTED_VALUE"""),2.0)</f>
        <v>2</v>
      </c>
    </row>
    <row r="1956">
      <c r="A1956" s="6">
        <f>IFERROR(__xludf.DUMMYFUNCTION("""COMPUTED_VALUE"""),2022.0)</f>
        <v>2022</v>
      </c>
      <c r="B1956" s="6" t="str">
        <f>IFERROR(__xludf.DUMMYFUNCTION("""COMPUTED_VALUE"""),"Outubro")</f>
        <v>Outubro</v>
      </c>
      <c r="C1956" s="6" t="str">
        <f>IFERROR(__xludf.DUMMYFUNCTION("""COMPUTED_VALUE"""),"ESTUPRO DE VULNERÁVEL CONSUMADO")</f>
        <v>ESTUPRO DE VULNERÁVEL CONSUMADO</v>
      </c>
      <c r="D1956" s="6">
        <f>IFERROR(__xludf.DUMMYFUNCTION("""COMPUTED_VALUE"""),3.0)</f>
        <v>3</v>
      </c>
      <c r="E1956" s="6">
        <f>IFERROR(__xludf.DUMMYFUNCTION("""COMPUTED_VALUE"""),4.0)</f>
        <v>4</v>
      </c>
      <c r="F1956" s="6">
        <f>IFERROR(__xludf.DUMMYFUNCTION("""COMPUTED_VALUE"""),18.0)</f>
        <v>18</v>
      </c>
      <c r="G1956" s="6">
        <f>IFERROR(__xludf.DUMMYFUNCTION("""COMPUTED_VALUE"""),25.0)</f>
        <v>25</v>
      </c>
    </row>
    <row r="1957">
      <c r="A1957" s="6">
        <f>IFERROR(__xludf.DUMMYFUNCTION("""COMPUTED_VALUE"""),2022.0)</f>
        <v>2022</v>
      </c>
      <c r="B1957" s="6" t="str">
        <f>IFERROR(__xludf.DUMMYFUNCTION("""COMPUTED_VALUE"""),"Outubro")</f>
        <v>Outubro</v>
      </c>
      <c r="C1957" s="6" t="str">
        <f>IFERROR(__xludf.DUMMYFUNCTION("""COMPUTED_VALUE"""),"OUTROS C/C/ DIGNIDADE SEXUAL")</f>
        <v>OUTROS C/C/ DIGNIDADE SEXUAL</v>
      </c>
      <c r="D1957" s="6">
        <f>IFERROR(__xludf.DUMMYFUNCTION("""COMPUTED_VALUE"""),0.0)</f>
        <v>0</v>
      </c>
      <c r="E1957" s="6">
        <f>IFERROR(__xludf.DUMMYFUNCTION("""COMPUTED_VALUE"""),1.0)</f>
        <v>1</v>
      </c>
      <c r="F1957" s="6">
        <f>IFERROR(__xludf.DUMMYFUNCTION("""COMPUTED_VALUE"""),2.0)</f>
        <v>2</v>
      </c>
      <c r="G1957" s="6">
        <f>IFERROR(__xludf.DUMMYFUNCTION("""COMPUTED_VALUE"""),3.0)</f>
        <v>3</v>
      </c>
    </row>
    <row r="1958">
      <c r="A1958" s="6">
        <f>IFERROR(__xludf.DUMMYFUNCTION("""COMPUTED_VALUE"""),2022.0)</f>
        <v>2022</v>
      </c>
      <c r="B1958" s="6" t="str">
        <f>IFERROR(__xludf.DUMMYFUNCTION("""COMPUTED_VALUE"""),"Novembro")</f>
        <v>Novembro</v>
      </c>
      <c r="C1958" s="6" t="str">
        <f>IFERROR(__xludf.DUMMYFUNCTION("""COMPUTED_VALUE"""),"HOMICÍDIO DOLOSO (exclui FEMINICÍDIO)")</f>
        <v>HOMICÍDIO DOLOSO (exclui FEMINICÍDIO)</v>
      </c>
      <c r="D1958" s="6">
        <f>IFERROR(__xludf.DUMMYFUNCTION("""COMPUTED_VALUE"""),1.0)</f>
        <v>1</v>
      </c>
      <c r="E1958" s="6">
        <f>IFERROR(__xludf.DUMMYFUNCTION("""COMPUTED_VALUE"""),0.0)</f>
        <v>0</v>
      </c>
      <c r="F1958" s="6">
        <f>IFERROR(__xludf.DUMMYFUNCTION("""COMPUTED_VALUE"""),2.0)</f>
        <v>2</v>
      </c>
      <c r="G1958" s="6">
        <f>IFERROR(__xludf.DUMMYFUNCTION("""COMPUTED_VALUE"""),3.0)</f>
        <v>3</v>
      </c>
    </row>
    <row r="1959">
      <c r="A1959" s="6">
        <f>IFERROR(__xludf.DUMMYFUNCTION("""COMPUTED_VALUE"""),2022.0)</f>
        <v>2022</v>
      </c>
      <c r="B1959" s="6" t="str">
        <f>IFERROR(__xludf.DUMMYFUNCTION("""COMPUTED_VALUE"""),"Novembro")</f>
        <v>Novembro</v>
      </c>
      <c r="C1959" s="6" t="str">
        <f>IFERROR(__xludf.DUMMYFUNCTION("""COMPUTED_VALUE"""),"FEMINICÍDIO")</f>
        <v>FEMINICÍDIO</v>
      </c>
      <c r="D1959" s="6">
        <f>IFERROR(__xludf.DUMMYFUNCTION("""COMPUTED_VALUE"""),3.0)</f>
        <v>3</v>
      </c>
      <c r="E1959" s="6">
        <f>IFERROR(__xludf.DUMMYFUNCTION("""COMPUTED_VALUE"""),3.0)</f>
        <v>3</v>
      </c>
      <c r="F1959" s="6">
        <f>IFERROR(__xludf.DUMMYFUNCTION("""COMPUTED_VALUE"""),6.0)</f>
        <v>6</v>
      </c>
      <c r="G1959" s="6">
        <f>IFERROR(__xludf.DUMMYFUNCTION("""COMPUTED_VALUE"""),12.0)</f>
        <v>12</v>
      </c>
    </row>
    <row r="1960">
      <c r="A1960" s="6">
        <f>IFERROR(__xludf.DUMMYFUNCTION("""COMPUTED_VALUE"""),2022.0)</f>
        <v>2022</v>
      </c>
      <c r="B1960" s="6" t="str">
        <f>IFERROR(__xludf.DUMMYFUNCTION("""COMPUTED_VALUE"""),"Novembro")</f>
        <v>Novembro</v>
      </c>
      <c r="C1960" s="6" t="str">
        <f>IFERROR(__xludf.DUMMYFUNCTION("""COMPUTED_VALUE"""),"HOMICÍDIO CULPOSO")</f>
        <v>HOMICÍDIO CULPOSO</v>
      </c>
      <c r="D1960" s="6">
        <f>IFERROR(__xludf.DUMMYFUNCTION("""COMPUTED_VALUE"""),0.0)</f>
        <v>0</v>
      </c>
      <c r="E1960" s="6">
        <f>IFERROR(__xludf.DUMMYFUNCTION("""COMPUTED_VALUE"""),0.0)</f>
        <v>0</v>
      </c>
      <c r="F1960" s="6">
        <f>IFERROR(__xludf.DUMMYFUNCTION("""COMPUTED_VALUE"""),0.0)</f>
        <v>0</v>
      </c>
      <c r="G1960" s="6">
        <f>IFERROR(__xludf.DUMMYFUNCTION("""COMPUTED_VALUE"""),0.0)</f>
        <v>0</v>
      </c>
    </row>
    <row r="1961">
      <c r="A1961" s="6">
        <f>IFERROR(__xludf.DUMMYFUNCTION("""COMPUTED_VALUE"""),2022.0)</f>
        <v>2022</v>
      </c>
      <c r="B1961" s="6" t="str">
        <f>IFERROR(__xludf.DUMMYFUNCTION("""COMPUTED_VALUE"""),"Novembro")</f>
        <v>Novembro</v>
      </c>
      <c r="C1961" s="6" t="str">
        <f>IFERROR(__xludf.DUMMYFUNCTION("""COMPUTED_VALUE"""),"TENTATIVA DE HOMICÍDIO")</f>
        <v>TENTATIVA DE HOMICÍDIO</v>
      </c>
      <c r="D1961" s="6">
        <f>IFERROR(__xludf.DUMMYFUNCTION("""COMPUTED_VALUE"""),1.0)</f>
        <v>1</v>
      </c>
      <c r="E1961" s="6">
        <f>IFERROR(__xludf.DUMMYFUNCTION("""COMPUTED_VALUE"""),1.0)</f>
        <v>1</v>
      </c>
      <c r="F1961" s="6">
        <f>IFERROR(__xludf.DUMMYFUNCTION("""COMPUTED_VALUE"""),11.0)</f>
        <v>11</v>
      </c>
      <c r="G1961" s="6">
        <f>IFERROR(__xludf.DUMMYFUNCTION("""COMPUTED_VALUE"""),13.0)</f>
        <v>13</v>
      </c>
    </row>
    <row r="1962">
      <c r="A1962" s="6">
        <f>IFERROR(__xludf.DUMMYFUNCTION("""COMPUTED_VALUE"""),2022.0)</f>
        <v>2022</v>
      </c>
      <c r="B1962" s="6" t="str">
        <f>IFERROR(__xludf.DUMMYFUNCTION("""COMPUTED_VALUE"""),"Novembro")</f>
        <v>Novembro</v>
      </c>
      <c r="C1962" s="6" t="str">
        <f>IFERROR(__xludf.DUMMYFUNCTION("""COMPUTED_VALUE"""),"LESÃO CORPORAL DOLOSA")</f>
        <v>LESÃO CORPORAL DOLOSA</v>
      </c>
      <c r="D1962" s="6">
        <f>IFERROR(__xludf.DUMMYFUNCTION("""COMPUTED_VALUE"""),912.0)</f>
        <v>912</v>
      </c>
      <c r="E1962" s="6">
        <f>IFERROR(__xludf.DUMMYFUNCTION("""COMPUTED_VALUE"""),784.0)</f>
        <v>784</v>
      </c>
      <c r="F1962" s="6">
        <f>IFERROR(__xludf.DUMMYFUNCTION("""COMPUTED_VALUE"""),2814.0)</f>
        <v>2814</v>
      </c>
      <c r="G1962" s="6">
        <f>IFERROR(__xludf.DUMMYFUNCTION("""COMPUTED_VALUE"""),4510.0)</f>
        <v>4510</v>
      </c>
    </row>
    <row r="1963">
      <c r="A1963" s="6">
        <f>IFERROR(__xludf.DUMMYFUNCTION("""COMPUTED_VALUE"""),2022.0)</f>
        <v>2022</v>
      </c>
      <c r="B1963" s="6" t="str">
        <f>IFERROR(__xludf.DUMMYFUNCTION("""COMPUTED_VALUE"""),"Novembro")</f>
        <v>Novembro</v>
      </c>
      <c r="C1963" s="6" t="str">
        <f>IFERROR(__xludf.DUMMYFUNCTION("""COMPUTED_VALUE"""),"MAUS TRATOS")</f>
        <v>MAUS TRATOS</v>
      </c>
      <c r="D1963" s="6">
        <f>IFERROR(__xludf.DUMMYFUNCTION("""COMPUTED_VALUE"""),2.0)</f>
        <v>2</v>
      </c>
      <c r="E1963" s="6">
        <f>IFERROR(__xludf.DUMMYFUNCTION("""COMPUTED_VALUE"""),2.0)</f>
        <v>2</v>
      </c>
      <c r="F1963" s="6">
        <f>IFERROR(__xludf.DUMMYFUNCTION("""COMPUTED_VALUE"""),14.0)</f>
        <v>14</v>
      </c>
      <c r="G1963" s="6">
        <f>IFERROR(__xludf.DUMMYFUNCTION("""COMPUTED_VALUE"""),18.0)</f>
        <v>18</v>
      </c>
    </row>
    <row r="1964">
      <c r="A1964" s="6">
        <f>IFERROR(__xludf.DUMMYFUNCTION("""COMPUTED_VALUE"""),2022.0)</f>
        <v>2022</v>
      </c>
      <c r="B1964" s="6" t="str">
        <f>IFERROR(__xludf.DUMMYFUNCTION("""COMPUTED_VALUE"""),"Novembro")</f>
        <v>Novembro</v>
      </c>
      <c r="C1964" s="6" t="str">
        <f>IFERROR(__xludf.DUMMYFUNCTION("""COMPUTED_VALUE"""),"CALÚNIA - DIFAMAÇÃO - INJÚRIA")</f>
        <v>CALÚNIA - DIFAMAÇÃO - INJÚRIA</v>
      </c>
      <c r="D1964" s="6">
        <f>IFERROR(__xludf.DUMMYFUNCTION("""COMPUTED_VALUE"""),178.0)</f>
        <v>178</v>
      </c>
      <c r="E1964" s="6">
        <f>IFERROR(__xludf.DUMMYFUNCTION("""COMPUTED_VALUE"""),151.0)</f>
        <v>151</v>
      </c>
      <c r="F1964" s="6">
        <f>IFERROR(__xludf.DUMMYFUNCTION("""COMPUTED_VALUE"""),654.0)</f>
        <v>654</v>
      </c>
      <c r="G1964" s="6">
        <f>IFERROR(__xludf.DUMMYFUNCTION("""COMPUTED_VALUE"""),983.0)</f>
        <v>983</v>
      </c>
    </row>
    <row r="1965">
      <c r="A1965" s="6">
        <f>IFERROR(__xludf.DUMMYFUNCTION("""COMPUTED_VALUE"""),2022.0)</f>
        <v>2022</v>
      </c>
      <c r="B1965" s="6" t="str">
        <f>IFERROR(__xludf.DUMMYFUNCTION("""COMPUTED_VALUE"""),"Novembro")</f>
        <v>Novembro</v>
      </c>
      <c r="C1965" s="6" t="str">
        <f>IFERROR(__xludf.DUMMYFUNCTION("""COMPUTED_VALUE"""),"CONSTRANGIMENTO ILEGAL")</f>
        <v>CONSTRANGIMENTO ILEGAL</v>
      </c>
      <c r="D1965" s="6">
        <f>IFERROR(__xludf.DUMMYFUNCTION("""COMPUTED_VALUE"""),1.0)</f>
        <v>1</v>
      </c>
      <c r="E1965" s="6">
        <f>IFERROR(__xludf.DUMMYFUNCTION("""COMPUTED_VALUE"""),0.0)</f>
        <v>0</v>
      </c>
      <c r="F1965" s="6">
        <f>IFERROR(__xludf.DUMMYFUNCTION("""COMPUTED_VALUE"""),5.0)</f>
        <v>5</v>
      </c>
      <c r="G1965" s="6">
        <f>IFERROR(__xludf.DUMMYFUNCTION("""COMPUTED_VALUE"""),6.0)</f>
        <v>6</v>
      </c>
    </row>
    <row r="1966">
      <c r="A1966" s="6">
        <f>IFERROR(__xludf.DUMMYFUNCTION("""COMPUTED_VALUE"""),2022.0)</f>
        <v>2022</v>
      </c>
      <c r="B1966" s="6" t="str">
        <f>IFERROR(__xludf.DUMMYFUNCTION("""COMPUTED_VALUE"""),"Novembro")</f>
        <v>Novembro</v>
      </c>
      <c r="C1966" s="6" t="str">
        <f>IFERROR(__xludf.DUMMYFUNCTION("""COMPUTED_VALUE"""),"AMEAÇA")</f>
        <v>AMEAÇA</v>
      </c>
      <c r="D1966" s="6">
        <f>IFERROR(__xludf.DUMMYFUNCTION("""COMPUTED_VALUE"""),842.0)</f>
        <v>842</v>
      </c>
      <c r="E1966" s="6">
        <f>IFERROR(__xludf.DUMMYFUNCTION("""COMPUTED_VALUE"""),771.0)</f>
        <v>771</v>
      </c>
      <c r="F1966" s="6">
        <f>IFERROR(__xludf.DUMMYFUNCTION("""COMPUTED_VALUE"""),2884.0)</f>
        <v>2884</v>
      </c>
      <c r="G1966" s="6">
        <f>IFERROR(__xludf.DUMMYFUNCTION("""COMPUTED_VALUE"""),4497.0)</f>
        <v>4497</v>
      </c>
    </row>
    <row r="1967">
      <c r="A1967" s="6">
        <f>IFERROR(__xludf.DUMMYFUNCTION("""COMPUTED_VALUE"""),2022.0)</f>
        <v>2022</v>
      </c>
      <c r="B1967" s="6" t="str">
        <f>IFERROR(__xludf.DUMMYFUNCTION("""COMPUTED_VALUE"""),"Novembro")</f>
        <v>Novembro</v>
      </c>
      <c r="C1967" s="6" t="str">
        <f>IFERROR(__xludf.DUMMYFUNCTION("""COMPUTED_VALUE"""),"INVASÃO DE DOMICÍLIO")</f>
        <v>INVASÃO DE DOMICÍLIO</v>
      </c>
      <c r="D1967" s="6">
        <f>IFERROR(__xludf.DUMMYFUNCTION("""COMPUTED_VALUE"""),1.0)</f>
        <v>1</v>
      </c>
      <c r="E1967" s="6">
        <f>IFERROR(__xludf.DUMMYFUNCTION("""COMPUTED_VALUE"""),1.0)</f>
        <v>1</v>
      </c>
      <c r="F1967" s="6">
        <f>IFERROR(__xludf.DUMMYFUNCTION("""COMPUTED_VALUE"""),11.0)</f>
        <v>11</v>
      </c>
      <c r="G1967" s="6">
        <f>IFERROR(__xludf.DUMMYFUNCTION("""COMPUTED_VALUE"""),13.0)</f>
        <v>13</v>
      </c>
    </row>
    <row r="1968">
      <c r="A1968" s="6">
        <f>IFERROR(__xludf.DUMMYFUNCTION("""COMPUTED_VALUE"""),2022.0)</f>
        <v>2022</v>
      </c>
      <c r="B1968" s="6" t="str">
        <f>IFERROR(__xludf.DUMMYFUNCTION("""COMPUTED_VALUE"""),"Novembro")</f>
        <v>Novembro</v>
      </c>
      <c r="C1968" s="6" t="str">
        <f>IFERROR(__xludf.DUMMYFUNCTION("""COMPUTED_VALUE"""),"DANO")</f>
        <v>DANO</v>
      </c>
      <c r="D1968" s="6">
        <f>IFERROR(__xludf.DUMMYFUNCTION("""COMPUTED_VALUE"""),9.0)</f>
        <v>9</v>
      </c>
      <c r="E1968" s="6">
        <f>IFERROR(__xludf.DUMMYFUNCTION("""COMPUTED_VALUE"""),9.0)</f>
        <v>9</v>
      </c>
      <c r="F1968" s="6">
        <f>IFERROR(__xludf.DUMMYFUNCTION("""COMPUTED_VALUE"""),51.0)</f>
        <v>51</v>
      </c>
      <c r="G1968" s="6">
        <f>IFERROR(__xludf.DUMMYFUNCTION("""COMPUTED_VALUE"""),69.0)</f>
        <v>69</v>
      </c>
    </row>
    <row r="1969">
      <c r="A1969" s="6">
        <f>IFERROR(__xludf.DUMMYFUNCTION("""COMPUTED_VALUE"""),2022.0)</f>
        <v>2022</v>
      </c>
      <c r="B1969" s="6" t="str">
        <f>IFERROR(__xludf.DUMMYFUNCTION("""COMPUTED_VALUE"""),"Novembro")</f>
        <v>Novembro</v>
      </c>
      <c r="C1969" s="6" t="str">
        <f>IFERROR(__xludf.DUMMYFUNCTION("""COMPUTED_VALUE"""),"ESTUPRO CONSUMADO")</f>
        <v>ESTUPRO CONSUMADO</v>
      </c>
      <c r="D1969" s="6">
        <f>IFERROR(__xludf.DUMMYFUNCTION("""COMPUTED_VALUE"""),9.0)</f>
        <v>9</v>
      </c>
      <c r="E1969" s="6">
        <f>IFERROR(__xludf.DUMMYFUNCTION("""COMPUTED_VALUE"""),6.0)</f>
        <v>6</v>
      </c>
      <c r="F1969" s="6">
        <f>IFERROR(__xludf.DUMMYFUNCTION("""COMPUTED_VALUE"""),16.0)</f>
        <v>16</v>
      </c>
      <c r="G1969" s="6">
        <f>IFERROR(__xludf.DUMMYFUNCTION("""COMPUTED_VALUE"""),31.0)</f>
        <v>31</v>
      </c>
    </row>
    <row r="1970">
      <c r="A1970" s="6">
        <f>IFERROR(__xludf.DUMMYFUNCTION("""COMPUTED_VALUE"""),2022.0)</f>
        <v>2022</v>
      </c>
      <c r="B1970" s="6" t="str">
        <f>IFERROR(__xludf.DUMMYFUNCTION("""COMPUTED_VALUE"""),"Novembro")</f>
        <v>Novembro</v>
      </c>
      <c r="C1970" s="6" t="str">
        <f>IFERROR(__xludf.DUMMYFUNCTION("""COMPUTED_VALUE"""),"ESTUPRO TENTADO")</f>
        <v>ESTUPRO TENTADO</v>
      </c>
      <c r="D1970" s="6">
        <f>IFERROR(__xludf.DUMMYFUNCTION("""COMPUTED_VALUE"""),0.0)</f>
        <v>0</v>
      </c>
      <c r="E1970" s="6">
        <f>IFERROR(__xludf.DUMMYFUNCTION("""COMPUTED_VALUE"""),0.0)</f>
        <v>0</v>
      </c>
      <c r="F1970" s="6">
        <f>IFERROR(__xludf.DUMMYFUNCTION("""COMPUTED_VALUE"""),1.0)</f>
        <v>1</v>
      </c>
      <c r="G1970" s="6">
        <f>IFERROR(__xludf.DUMMYFUNCTION("""COMPUTED_VALUE"""),1.0)</f>
        <v>1</v>
      </c>
    </row>
    <row r="1971">
      <c r="A1971" s="6">
        <f>IFERROR(__xludf.DUMMYFUNCTION("""COMPUTED_VALUE"""),2022.0)</f>
        <v>2022</v>
      </c>
      <c r="B1971" s="6" t="str">
        <f>IFERROR(__xludf.DUMMYFUNCTION("""COMPUTED_VALUE"""),"Novembro")</f>
        <v>Novembro</v>
      </c>
      <c r="C1971" s="6" t="str">
        <f>IFERROR(__xludf.DUMMYFUNCTION("""COMPUTED_VALUE"""),"ESTUPRO DE VULNERÁVEL CONSUMADO")</f>
        <v>ESTUPRO DE VULNERÁVEL CONSUMADO</v>
      </c>
      <c r="D1971" s="6">
        <f>IFERROR(__xludf.DUMMYFUNCTION("""COMPUTED_VALUE"""),2.0)</f>
        <v>2</v>
      </c>
      <c r="E1971" s="6">
        <f>IFERROR(__xludf.DUMMYFUNCTION("""COMPUTED_VALUE"""),3.0)</f>
        <v>3</v>
      </c>
      <c r="F1971" s="6">
        <f>IFERROR(__xludf.DUMMYFUNCTION("""COMPUTED_VALUE"""),15.0)</f>
        <v>15</v>
      </c>
      <c r="G1971" s="6">
        <f>IFERROR(__xludf.DUMMYFUNCTION("""COMPUTED_VALUE"""),20.0)</f>
        <v>20</v>
      </c>
    </row>
    <row r="1972">
      <c r="A1972" s="6">
        <f>IFERROR(__xludf.DUMMYFUNCTION("""COMPUTED_VALUE"""),2022.0)</f>
        <v>2022</v>
      </c>
      <c r="B1972" s="6" t="str">
        <f>IFERROR(__xludf.DUMMYFUNCTION("""COMPUTED_VALUE"""),"Novembro")</f>
        <v>Novembro</v>
      </c>
      <c r="C1972" s="6" t="str">
        <f>IFERROR(__xludf.DUMMYFUNCTION("""COMPUTED_VALUE"""),"OUTROS C/C/ DIGNIDADE SEXUAL")</f>
        <v>OUTROS C/C/ DIGNIDADE SEXUAL</v>
      </c>
      <c r="D1972" s="6">
        <f>IFERROR(__xludf.DUMMYFUNCTION("""COMPUTED_VALUE"""),0.0)</f>
        <v>0</v>
      </c>
      <c r="E1972" s="6">
        <f>IFERROR(__xludf.DUMMYFUNCTION("""COMPUTED_VALUE"""),0.0)</f>
        <v>0</v>
      </c>
      <c r="F1972" s="6">
        <f>IFERROR(__xludf.DUMMYFUNCTION("""COMPUTED_VALUE"""),1.0)</f>
        <v>1</v>
      </c>
      <c r="G1972" s="6">
        <f>IFERROR(__xludf.DUMMYFUNCTION("""COMPUTED_VALUE"""),1.0)</f>
        <v>1</v>
      </c>
    </row>
    <row r="1973">
      <c r="A1973" s="6">
        <f>IFERROR(__xludf.DUMMYFUNCTION("""COMPUTED_VALUE"""),2022.0)</f>
        <v>2022</v>
      </c>
      <c r="B1973" s="6" t="str">
        <f>IFERROR(__xludf.DUMMYFUNCTION("""COMPUTED_VALUE"""),"Dezembro")</f>
        <v>Dezembro</v>
      </c>
      <c r="C1973" s="6" t="str">
        <f>IFERROR(__xludf.DUMMYFUNCTION("""COMPUTED_VALUE"""),"HOMICÍDIO DOLOSO (exclui FEMINICÍDIO)")</f>
        <v>HOMICÍDIO DOLOSO (exclui FEMINICÍDIO)</v>
      </c>
      <c r="D1973" s="6">
        <f>IFERROR(__xludf.DUMMYFUNCTION("""COMPUTED_VALUE"""),1.0)</f>
        <v>1</v>
      </c>
      <c r="E1973" s="6">
        <f>IFERROR(__xludf.DUMMYFUNCTION("""COMPUTED_VALUE"""),0.0)</f>
        <v>0</v>
      </c>
      <c r="F1973" s="6">
        <f>IFERROR(__xludf.DUMMYFUNCTION("""COMPUTED_VALUE"""),2.0)</f>
        <v>2</v>
      </c>
      <c r="G1973" s="6">
        <f>IFERROR(__xludf.DUMMYFUNCTION("""COMPUTED_VALUE"""),3.0)</f>
        <v>3</v>
      </c>
    </row>
    <row r="1974">
      <c r="A1974" s="6">
        <f>IFERROR(__xludf.DUMMYFUNCTION("""COMPUTED_VALUE"""),2022.0)</f>
        <v>2022</v>
      </c>
      <c r="B1974" s="6" t="str">
        <f>IFERROR(__xludf.DUMMYFUNCTION("""COMPUTED_VALUE"""),"Dezembro")</f>
        <v>Dezembro</v>
      </c>
      <c r="C1974" s="6" t="str">
        <f>IFERROR(__xludf.DUMMYFUNCTION("""COMPUTED_VALUE"""),"FEMINICÍDIO")</f>
        <v>FEMINICÍDIO</v>
      </c>
      <c r="D1974" s="6">
        <f>IFERROR(__xludf.DUMMYFUNCTION("""COMPUTED_VALUE"""),4.0)</f>
        <v>4</v>
      </c>
      <c r="E1974" s="6">
        <f>IFERROR(__xludf.DUMMYFUNCTION("""COMPUTED_VALUE"""),4.0)</f>
        <v>4</v>
      </c>
      <c r="F1974" s="6">
        <f>IFERROR(__xludf.DUMMYFUNCTION("""COMPUTED_VALUE"""),8.0)</f>
        <v>8</v>
      </c>
      <c r="G1974" s="6">
        <f>IFERROR(__xludf.DUMMYFUNCTION("""COMPUTED_VALUE"""),16.0)</f>
        <v>16</v>
      </c>
    </row>
    <row r="1975">
      <c r="A1975" s="6">
        <f>IFERROR(__xludf.DUMMYFUNCTION("""COMPUTED_VALUE"""),2022.0)</f>
        <v>2022</v>
      </c>
      <c r="B1975" s="6" t="str">
        <f>IFERROR(__xludf.DUMMYFUNCTION("""COMPUTED_VALUE"""),"Dezembro")</f>
        <v>Dezembro</v>
      </c>
      <c r="C1975" s="6" t="str">
        <f>IFERROR(__xludf.DUMMYFUNCTION("""COMPUTED_VALUE"""),"HOMICÍDIO CULPOSO")</f>
        <v>HOMICÍDIO CULPOSO</v>
      </c>
      <c r="D1975" s="6">
        <f>IFERROR(__xludf.DUMMYFUNCTION("""COMPUTED_VALUE"""),0.0)</f>
        <v>0</v>
      </c>
      <c r="E1975" s="6">
        <f>IFERROR(__xludf.DUMMYFUNCTION("""COMPUTED_VALUE"""),0.0)</f>
        <v>0</v>
      </c>
      <c r="F1975" s="6">
        <f>IFERROR(__xludf.DUMMYFUNCTION("""COMPUTED_VALUE"""),0.0)</f>
        <v>0</v>
      </c>
      <c r="G1975" s="6">
        <f>IFERROR(__xludf.DUMMYFUNCTION("""COMPUTED_VALUE"""),0.0)</f>
        <v>0</v>
      </c>
    </row>
    <row r="1976">
      <c r="A1976" s="6">
        <f>IFERROR(__xludf.DUMMYFUNCTION("""COMPUTED_VALUE"""),2022.0)</f>
        <v>2022</v>
      </c>
      <c r="B1976" s="6" t="str">
        <f>IFERROR(__xludf.DUMMYFUNCTION("""COMPUTED_VALUE"""),"Dezembro")</f>
        <v>Dezembro</v>
      </c>
      <c r="C1976" s="6" t="str">
        <f>IFERROR(__xludf.DUMMYFUNCTION("""COMPUTED_VALUE"""),"TENTATIVA DE HOMICÍDIO")</f>
        <v>TENTATIVA DE HOMICÍDIO</v>
      </c>
      <c r="D1976" s="6">
        <f>IFERROR(__xludf.DUMMYFUNCTION("""COMPUTED_VALUE"""),1.0)</f>
        <v>1</v>
      </c>
      <c r="E1976" s="6">
        <f>IFERROR(__xludf.DUMMYFUNCTION("""COMPUTED_VALUE"""),1.0)</f>
        <v>1</v>
      </c>
      <c r="F1976" s="6">
        <f>IFERROR(__xludf.DUMMYFUNCTION("""COMPUTED_VALUE"""),11.0)</f>
        <v>11</v>
      </c>
      <c r="G1976" s="6">
        <f>IFERROR(__xludf.DUMMYFUNCTION("""COMPUTED_VALUE"""),13.0)</f>
        <v>13</v>
      </c>
    </row>
    <row r="1977">
      <c r="A1977" s="6">
        <f>IFERROR(__xludf.DUMMYFUNCTION("""COMPUTED_VALUE"""),2022.0)</f>
        <v>2022</v>
      </c>
      <c r="B1977" s="6" t="str">
        <f>IFERROR(__xludf.DUMMYFUNCTION("""COMPUTED_VALUE"""),"Dezembro")</f>
        <v>Dezembro</v>
      </c>
      <c r="C1977" s="6" t="str">
        <f>IFERROR(__xludf.DUMMYFUNCTION("""COMPUTED_VALUE"""),"LESÃO CORPORAL DOLOSA")</f>
        <v>LESÃO CORPORAL DOLOSA</v>
      </c>
      <c r="D1977" s="6">
        <f>IFERROR(__xludf.DUMMYFUNCTION("""COMPUTED_VALUE"""),912.0)</f>
        <v>912</v>
      </c>
      <c r="E1977" s="6">
        <f>IFERROR(__xludf.DUMMYFUNCTION("""COMPUTED_VALUE"""),784.0)</f>
        <v>784</v>
      </c>
      <c r="F1977" s="6">
        <f>IFERROR(__xludf.DUMMYFUNCTION("""COMPUTED_VALUE"""),2814.0)</f>
        <v>2814</v>
      </c>
      <c r="G1977" s="6">
        <f>IFERROR(__xludf.DUMMYFUNCTION("""COMPUTED_VALUE"""),4510.0)</f>
        <v>4510</v>
      </c>
    </row>
    <row r="1978">
      <c r="A1978" s="6">
        <f>IFERROR(__xludf.DUMMYFUNCTION("""COMPUTED_VALUE"""),2022.0)</f>
        <v>2022</v>
      </c>
      <c r="B1978" s="6" t="str">
        <f>IFERROR(__xludf.DUMMYFUNCTION("""COMPUTED_VALUE"""),"Dezembro")</f>
        <v>Dezembro</v>
      </c>
      <c r="C1978" s="6" t="str">
        <f>IFERROR(__xludf.DUMMYFUNCTION("""COMPUTED_VALUE"""),"MAUS TRATOS")</f>
        <v>MAUS TRATOS</v>
      </c>
      <c r="D1978" s="6">
        <f>IFERROR(__xludf.DUMMYFUNCTION("""COMPUTED_VALUE"""),2.0)</f>
        <v>2</v>
      </c>
      <c r="E1978" s="6">
        <f>IFERROR(__xludf.DUMMYFUNCTION("""COMPUTED_VALUE"""),2.0)</f>
        <v>2</v>
      </c>
      <c r="F1978" s="6">
        <f>IFERROR(__xludf.DUMMYFUNCTION("""COMPUTED_VALUE"""),14.0)</f>
        <v>14</v>
      </c>
      <c r="G1978" s="6">
        <f>IFERROR(__xludf.DUMMYFUNCTION("""COMPUTED_VALUE"""),18.0)</f>
        <v>18</v>
      </c>
    </row>
    <row r="1979">
      <c r="A1979" s="6">
        <f>IFERROR(__xludf.DUMMYFUNCTION("""COMPUTED_VALUE"""),2022.0)</f>
        <v>2022</v>
      </c>
      <c r="B1979" s="6" t="str">
        <f>IFERROR(__xludf.DUMMYFUNCTION("""COMPUTED_VALUE"""),"Dezembro")</f>
        <v>Dezembro</v>
      </c>
      <c r="C1979" s="6" t="str">
        <f>IFERROR(__xludf.DUMMYFUNCTION("""COMPUTED_VALUE"""),"CALÚNIA - DIFAMAÇÃO - INJÚRIA")</f>
        <v>CALÚNIA - DIFAMAÇÃO - INJÚRIA</v>
      </c>
      <c r="D1979" s="6">
        <f>IFERROR(__xludf.DUMMYFUNCTION("""COMPUTED_VALUE"""),178.0)</f>
        <v>178</v>
      </c>
      <c r="E1979" s="6">
        <f>IFERROR(__xludf.DUMMYFUNCTION("""COMPUTED_VALUE"""),151.0)</f>
        <v>151</v>
      </c>
      <c r="F1979" s="6">
        <f>IFERROR(__xludf.DUMMYFUNCTION("""COMPUTED_VALUE"""),654.0)</f>
        <v>654</v>
      </c>
      <c r="G1979" s="6">
        <f>IFERROR(__xludf.DUMMYFUNCTION("""COMPUTED_VALUE"""),983.0)</f>
        <v>983</v>
      </c>
    </row>
    <row r="1980">
      <c r="A1980" s="6">
        <f>IFERROR(__xludf.DUMMYFUNCTION("""COMPUTED_VALUE"""),2022.0)</f>
        <v>2022</v>
      </c>
      <c r="B1980" s="6" t="str">
        <f>IFERROR(__xludf.DUMMYFUNCTION("""COMPUTED_VALUE"""),"Dezembro")</f>
        <v>Dezembro</v>
      </c>
      <c r="C1980" s="6" t="str">
        <f>IFERROR(__xludf.DUMMYFUNCTION("""COMPUTED_VALUE"""),"CONSTRANGIMENTO ILEGAL")</f>
        <v>CONSTRANGIMENTO ILEGAL</v>
      </c>
      <c r="D1980" s="6">
        <f>IFERROR(__xludf.DUMMYFUNCTION("""COMPUTED_VALUE"""),1.0)</f>
        <v>1</v>
      </c>
      <c r="E1980" s="6">
        <f>IFERROR(__xludf.DUMMYFUNCTION("""COMPUTED_VALUE"""),0.0)</f>
        <v>0</v>
      </c>
      <c r="F1980" s="6">
        <f>IFERROR(__xludf.DUMMYFUNCTION("""COMPUTED_VALUE"""),5.0)</f>
        <v>5</v>
      </c>
      <c r="G1980" s="6">
        <f>IFERROR(__xludf.DUMMYFUNCTION("""COMPUTED_VALUE"""),6.0)</f>
        <v>6</v>
      </c>
    </row>
    <row r="1981">
      <c r="A1981" s="6">
        <f>IFERROR(__xludf.DUMMYFUNCTION("""COMPUTED_VALUE"""),2022.0)</f>
        <v>2022</v>
      </c>
      <c r="B1981" s="6" t="str">
        <f>IFERROR(__xludf.DUMMYFUNCTION("""COMPUTED_VALUE"""),"Dezembro")</f>
        <v>Dezembro</v>
      </c>
      <c r="C1981" s="6" t="str">
        <f>IFERROR(__xludf.DUMMYFUNCTION("""COMPUTED_VALUE"""),"AMEAÇA")</f>
        <v>AMEAÇA</v>
      </c>
      <c r="D1981" s="6">
        <f>IFERROR(__xludf.DUMMYFUNCTION("""COMPUTED_VALUE"""),842.0)</f>
        <v>842</v>
      </c>
      <c r="E1981" s="6">
        <f>IFERROR(__xludf.DUMMYFUNCTION("""COMPUTED_VALUE"""),771.0)</f>
        <v>771</v>
      </c>
      <c r="F1981" s="6">
        <f>IFERROR(__xludf.DUMMYFUNCTION("""COMPUTED_VALUE"""),2884.0)</f>
        <v>2884</v>
      </c>
      <c r="G1981" s="6">
        <f>IFERROR(__xludf.DUMMYFUNCTION("""COMPUTED_VALUE"""),4497.0)</f>
        <v>4497</v>
      </c>
    </row>
    <row r="1982">
      <c r="A1982" s="6">
        <f>IFERROR(__xludf.DUMMYFUNCTION("""COMPUTED_VALUE"""),2022.0)</f>
        <v>2022</v>
      </c>
      <c r="B1982" s="6" t="str">
        <f>IFERROR(__xludf.DUMMYFUNCTION("""COMPUTED_VALUE"""),"Dezembro")</f>
        <v>Dezembro</v>
      </c>
      <c r="C1982" s="6" t="str">
        <f>IFERROR(__xludf.DUMMYFUNCTION("""COMPUTED_VALUE"""),"INVASÃO DE DOMICÍLIO")</f>
        <v>INVASÃO DE DOMICÍLIO</v>
      </c>
      <c r="D1982" s="6">
        <f>IFERROR(__xludf.DUMMYFUNCTION("""COMPUTED_VALUE"""),1.0)</f>
        <v>1</v>
      </c>
      <c r="E1982" s="6">
        <f>IFERROR(__xludf.DUMMYFUNCTION("""COMPUTED_VALUE"""),1.0)</f>
        <v>1</v>
      </c>
      <c r="F1982" s="6">
        <f>IFERROR(__xludf.DUMMYFUNCTION("""COMPUTED_VALUE"""),11.0)</f>
        <v>11</v>
      </c>
      <c r="G1982" s="6">
        <f>IFERROR(__xludf.DUMMYFUNCTION("""COMPUTED_VALUE"""),13.0)</f>
        <v>13</v>
      </c>
    </row>
    <row r="1983">
      <c r="A1983" s="6">
        <f>IFERROR(__xludf.DUMMYFUNCTION("""COMPUTED_VALUE"""),2022.0)</f>
        <v>2022</v>
      </c>
      <c r="B1983" s="6" t="str">
        <f>IFERROR(__xludf.DUMMYFUNCTION("""COMPUTED_VALUE"""),"Dezembro")</f>
        <v>Dezembro</v>
      </c>
      <c r="C1983" s="6" t="str">
        <f>IFERROR(__xludf.DUMMYFUNCTION("""COMPUTED_VALUE"""),"DANO")</f>
        <v>DANO</v>
      </c>
      <c r="D1983" s="6">
        <f>IFERROR(__xludf.DUMMYFUNCTION("""COMPUTED_VALUE"""),9.0)</f>
        <v>9</v>
      </c>
      <c r="E1983" s="6">
        <f>IFERROR(__xludf.DUMMYFUNCTION("""COMPUTED_VALUE"""),9.0)</f>
        <v>9</v>
      </c>
      <c r="F1983" s="6">
        <f>IFERROR(__xludf.DUMMYFUNCTION("""COMPUTED_VALUE"""),51.0)</f>
        <v>51</v>
      </c>
      <c r="G1983" s="6">
        <f>IFERROR(__xludf.DUMMYFUNCTION("""COMPUTED_VALUE"""),69.0)</f>
        <v>69</v>
      </c>
    </row>
    <row r="1984">
      <c r="A1984" s="6">
        <f>IFERROR(__xludf.DUMMYFUNCTION("""COMPUTED_VALUE"""),2022.0)</f>
        <v>2022</v>
      </c>
      <c r="B1984" s="6" t="str">
        <f>IFERROR(__xludf.DUMMYFUNCTION("""COMPUTED_VALUE"""),"Dezembro")</f>
        <v>Dezembro</v>
      </c>
      <c r="C1984" s="6" t="str">
        <f>IFERROR(__xludf.DUMMYFUNCTION("""COMPUTED_VALUE"""),"ESTUPRO CONSUMADO")</f>
        <v>ESTUPRO CONSUMADO</v>
      </c>
      <c r="D1984" s="6">
        <f>IFERROR(__xludf.DUMMYFUNCTION("""COMPUTED_VALUE"""),9.0)</f>
        <v>9</v>
      </c>
      <c r="E1984" s="6">
        <f>IFERROR(__xludf.DUMMYFUNCTION("""COMPUTED_VALUE"""),6.0)</f>
        <v>6</v>
      </c>
      <c r="F1984" s="6">
        <f>IFERROR(__xludf.DUMMYFUNCTION("""COMPUTED_VALUE"""),16.0)</f>
        <v>16</v>
      </c>
      <c r="G1984" s="6">
        <f>IFERROR(__xludf.DUMMYFUNCTION("""COMPUTED_VALUE"""),31.0)</f>
        <v>31</v>
      </c>
    </row>
    <row r="1985">
      <c r="A1985" s="6">
        <f>IFERROR(__xludf.DUMMYFUNCTION("""COMPUTED_VALUE"""),2022.0)</f>
        <v>2022</v>
      </c>
      <c r="B1985" s="6" t="str">
        <f>IFERROR(__xludf.DUMMYFUNCTION("""COMPUTED_VALUE"""),"Dezembro")</f>
        <v>Dezembro</v>
      </c>
      <c r="C1985" s="6" t="str">
        <f>IFERROR(__xludf.DUMMYFUNCTION("""COMPUTED_VALUE"""),"ESTUPRO TENTADO")</f>
        <v>ESTUPRO TENTADO</v>
      </c>
      <c r="D1985" s="6">
        <f>IFERROR(__xludf.DUMMYFUNCTION("""COMPUTED_VALUE"""),0.0)</f>
        <v>0</v>
      </c>
      <c r="E1985" s="6">
        <f>IFERROR(__xludf.DUMMYFUNCTION("""COMPUTED_VALUE"""),0.0)</f>
        <v>0</v>
      </c>
      <c r="F1985" s="6">
        <f>IFERROR(__xludf.DUMMYFUNCTION("""COMPUTED_VALUE"""),1.0)</f>
        <v>1</v>
      </c>
      <c r="G1985" s="6">
        <f>IFERROR(__xludf.DUMMYFUNCTION("""COMPUTED_VALUE"""),1.0)</f>
        <v>1</v>
      </c>
    </row>
    <row r="1986">
      <c r="A1986" s="6">
        <f>IFERROR(__xludf.DUMMYFUNCTION("""COMPUTED_VALUE"""),2022.0)</f>
        <v>2022</v>
      </c>
      <c r="B1986" s="6" t="str">
        <f>IFERROR(__xludf.DUMMYFUNCTION("""COMPUTED_VALUE"""),"Dezembro")</f>
        <v>Dezembro</v>
      </c>
      <c r="C1986" s="6" t="str">
        <f>IFERROR(__xludf.DUMMYFUNCTION("""COMPUTED_VALUE"""),"ESTUPRO DE VULNERÁVEL CONSUMADO")</f>
        <v>ESTUPRO DE VULNERÁVEL CONSUMADO</v>
      </c>
      <c r="D1986" s="6">
        <f>IFERROR(__xludf.DUMMYFUNCTION("""COMPUTED_VALUE"""),2.0)</f>
        <v>2</v>
      </c>
      <c r="E1986" s="6">
        <f>IFERROR(__xludf.DUMMYFUNCTION("""COMPUTED_VALUE"""),3.0)</f>
        <v>3</v>
      </c>
      <c r="F1986" s="6">
        <f>IFERROR(__xludf.DUMMYFUNCTION("""COMPUTED_VALUE"""),15.0)</f>
        <v>15</v>
      </c>
      <c r="G1986" s="6">
        <f>IFERROR(__xludf.DUMMYFUNCTION("""COMPUTED_VALUE"""),20.0)</f>
        <v>20</v>
      </c>
    </row>
    <row r="1987">
      <c r="A1987" s="6">
        <f>IFERROR(__xludf.DUMMYFUNCTION("""COMPUTED_VALUE"""),2022.0)</f>
        <v>2022</v>
      </c>
      <c r="B1987" s="6" t="str">
        <f>IFERROR(__xludf.DUMMYFUNCTION("""COMPUTED_VALUE"""),"Dezembro")</f>
        <v>Dezembro</v>
      </c>
      <c r="C1987" s="6" t="str">
        <f>IFERROR(__xludf.DUMMYFUNCTION("""COMPUTED_VALUE"""),"OUTROS C/C/ DIGNIDADE SEXUAL")</f>
        <v>OUTROS C/C/ DIGNIDADE SEXUAL</v>
      </c>
      <c r="D1987" s="6">
        <f>IFERROR(__xludf.DUMMYFUNCTION("""COMPUTED_VALUE"""),0.0)</f>
        <v>0</v>
      </c>
      <c r="E1987" s="6">
        <f>IFERROR(__xludf.DUMMYFUNCTION("""COMPUTED_VALUE"""),0.0)</f>
        <v>0</v>
      </c>
      <c r="F1987" s="6">
        <f>IFERROR(__xludf.DUMMYFUNCTION("""COMPUTED_VALUE"""),1.0)</f>
        <v>1</v>
      </c>
      <c r="G1987" s="6">
        <f>IFERROR(__xludf.DUMMYFUNCTION("""COMPUTED_VALUE"""),1.0)</f>
        <v>1</v>
      </c>
    </row>
    <row r="1988">
      <c r="A1988" s="6">
        <f>IFERROR(__xludf.DUMMYFUNCTION("""COMPUTED_VALUE"""),2023.0)</f>
        <v>2023</v>
      </c>
      <c r="B1988" s="6" t="str">
        <f>IFERROR(__xludf.DUMMYFUNCTION("""COMPUTED_VALUE"""),"Janeiro")</f>
        <v>Janeiro</v>
      </c>
      <c r="C1988" s="6" t="str">
        <f>IFERROR(__xludf.DUMMYFUNCTION("""COMPUTED_VALUE"""),"HOMICÍDIO DOLOSO (exclui FEMINICÍDIO)")</f>
        <v>HOMICÍDIO DOLOSO (exclui FEMINICÍDIO)</v>
      </c>
      <c r="D1988" s="6">
        <f>IFERROR(__xludf.DUMMYFUNCTION("""COMPUTED_VALUE"""),1.0)</f>
        <v>1</v>
      </c>
      <c r="E1988" s="6">
        <f>IFERROR(__xludf.DUMMYFUNCTION("""COMPUTED_VALUE"""),0.0)</f>
        <v>0</v>
      </c>
      <c r="F1988" s="6">
        <f>IFERROR(__xludf.DUMMYFUNCTION("""COMPUTED_VALUE"""),2.0)</f>
        <v>2</v>
      </c>
      <c r="G1988" s="6">
        <f>IFERROR(__xludf.DUMMYFUNCTION("""COMPUTED_VALUE"""),3.0)</f>
        <v>3</v>
      </c>
    </row>
    <row r="1989">
      <c r="A1989" s="6">
        <f>IFERROR(__xludf.DUMMYFUNCTION("""COMPUTED_VALUE"""),2023.0)</f>
        <v>2023</v>
      </c>
      <c r="B1989" s="6" t="str">
        <f>IFERROR(__xludf.DUMMYFUNCTION("""COMPUTED_VALUE"""),"Janeiro")</f>
        <v>Janeiro</v>
      </c>
      <c r="C1989" s="6" t="str">
        <f>IFERROR(__xludf.DUMMYFUNCTION("""COMPUTED_VALUE"""),"FEMINICÍDIO")</f>
        <v>FEMINICÍDIO</v>
      </c>
      <c r="D1989" s="6">
        <f>IFERROR(__xludf.DUMMYFUNCTION("""COMPUTED_VALUE"""),4.0)</f>
        <v>4</v>
      </c>
      <c r="E1989" s="6">
        <f>IFERROR(__xludf.DUMMYFUNCTION("""COMPUTED_VALUE"""),4.0)</f>
        <v>4</v>
      </c>
      <c r="F1989" s="6">
        <f>IFERROR(__xludf.DUMMYFUNCTION("""COMPUTED_VALUE"""),8.0)</f>
        <v>8</v>
      </c>
      <c r="G1989" s="6">
        <f>IFERROR(__xludf.DUMMYFUNCTION("""COMPUTED_VALUE"""),16.0)</f>
        <v>16</v>
      </c>
    </row>
    <row r="1990">
      <c r="A1990" s="6">
        <f>IFERROR(__xludf.DUMMYFUNCTION("""COMPUTED_VALUE"""),2023.0)</f>
        <v>2023</v>
      </c>
      <c r="B1990" s="6" t="str">
        <f>IFERROR(__xludf.DUMMYFUNCTION("""COMPUTED_VALUE"""),"Janeiro")</f>
        <v>Janeiro</v>
      </c>
      <c r="C1990" s="6" t="str">
        <f>IFERROR(__xludf.DUMMYFUNCTION("""COMPUTED_VALUE"""),"HOMICÍDIO CULPOSO")</f>
        <v>HOMICÍDIO CULPOSO</v>
      </c>
      <c r="D1990" s="6">
        <f>IFERROR(__xludf.DUMMYFUNCTION("""COMPUTED_VALUE"""),0.0)</f>
        <v>0</v>
      </c>
      <c r="E1990" s="6">
        <f>IFERROR(__xludf.DUMMYFUNCTION("""COMPUTED_VALUE"""),0.0)</f>
        <v>0</v>
      </c>
      <c r="F1990" s="6">
        <f>IFERROR(__xludf.DUMMYFUNCTION("""COMPUTED_VALUE"""),0.0)</f>
        <v>0</v>
      </c>
      <c r="G1990" s="6">
        <f>IFERROR(__xludf.DUMMYFUNCTION("""COMPUTED_VALUE"""),0.0)</f>
        <v>0</v>
      </c>
    </row>
    <row r="1991">
      <c r="A1991" s="6">
        <f>IFERROR(__xludf.DUMMYFUNCTION("""COMPUTED_VALUE"""),2023.0)</f>
        <v>2023</v>
      </c>
      <c r="B1991" s="6" t="str">
        <f>IFERROR(__xludf.DUMMYFUNCTION("""COMPUTED_VALUE"""),"Janeiro")</f>
        <v>Janeiro</v>
      </c>
      <c r="C1991" s="6" t="str">
        <f>IFERROR(__xludf.DUMMYFUNCTION("""COMPUTED_VALUE"""),"TENTATIVA DE HOMICÍDIO")</f>
        <v>TENTATIVA DE HOMICÍDIO</v>
      </c>
      <c r="D1991" s="6">
        <f>IFERROR(__xludf.DUMMYFUNCTION("""COMPUTED_VALUE"""),2.0)</f>
        <v>2</v>
      </c>
      <c r="E1991" s="6">
        <f>IFERROR(__xludf.DUMMYFUNCTION("""COMPUTED_VALUE"""),2.0)</f>
        <v>2</v>
      </c>
      <c r="F1991" s="6">
        <f>IFERROR(__xludf.DUMMYFUNCTION("""COMPUTED_VALUE"""),12.0)</f>
        <v>12</v>
      </c>
      <c r="G1991" s="6">
        <f>IFERROR(__xludf.DUMMYFUNCTION("""COMPUTED_VALUE"""),16.0)</f>
        <v>16</v>
      </c>
    </row>
    <row r="1992">
      <c r="A1992" s="6">
        <f>IFERROR(__xludf.DUMMYFUNCTION("""COMPUTED_VALUE"""),2023.0)</f>
        <v>2023</v>
      </c>
      <c r="B1992" s="6" t="str">
        <f>IFERROR(__xludf.DUMMYFUNCTION("""COMPUTED_VALUE"""),"Janeiro")</f>
        <v>Janeiro</v>
      </c>
      <c r="C1992" s="6" t="str">
        <f>IFERROR(__xludf.DUMMYFUNCTION("""COMPUTED_VALUE"""),"LESÃO CORPORAL DOLOSA")</f>
        <v>LESÃO CORPORAL DOLOSA</v>
      </c>
      <c r="D1992" s="6">
        <f>IFERROR(__xludf.DUMMYFUNCTION("""COMPUTED_VALUE"""),948.0)</f>
        <v>948</v>
      </c>
      <c r="E1992" s="6">
        <f>IFERROR(__xludf.DUMMYFUNCTION("""COMPUTED_VALUE"""),812.0)</f>
        <v>812</v>
      </c>
      <c r="F1992" s="6">
        <f>IFERROR(__xludf.DUMMYFUNCTION("""COMPUTED_VALUE"""),2914.0)</f>
        <v>2914</v>
      </c>
      <c r="G1992" s="6">
        <f>IFERROR(__xludf.DUMMYFUNCTION("""COMPUTED_VALUE"""),4674.0)</f>
        <v>4674</v>
      </c>
    </row>
    <row r="1993">
      <c r="A1993" s="6">
        <f>IFERROR(__xludf.DUMMYFUNCTION("""COMPUTED_VALUE"""),2023.0)</f>
        <v>2023</v>
      </c>
      <c r="B1993" s="6" t="str">
        <f>IFERROR(__xludf.DUMMYFUNCTION("""COMPUTED_VALUE"""),"Janeiro")</f>
        <v>Janeiro</v>
      </c>
      <c r="C1993" s="6" t="str">
        <f>IFERROR(__xludf.DUMMYFUNCTION("""COMPUTED_VALUE"""),"MAUS TRATOS")</f>
        <v>MAUS TRATOS</v>
      </c>
      <c r="D1993" s="6">
        <f>IFERROR(__xludf.DUMMYFUNCTION("""COMPUTED_VALUE"""),3.0)</f>
        <v>3</v>
      </c>
      <c r="E1993" s="6">
        <f>IFERROR(__xludf.DUMMYFUNCTION("""COMPUTED_VALUE"""),2.0)</f>
        <v>2</v>
      </c>
      <c r="F1993" s="6">
        <f>IFERROR(__xludf.DUMMYFUNCTION("""COMPUTED_VALUE"""),16.0)</f>
        <v>16</v>
      </c>
      <c r="G1993" s="6">
        <f>IFERROR(__xludf.DUMMYFUNCTION("""COMPUTED_VALUE"""),21.0)</f>
        <v>21</v>
      </c>
    </row>
    <row r="1994">
      <c r="A1994" s="6">
        <f>IFERROR(__xludf.DUMMYFUNCTION("""COMPUTED_VALUE"""),2023.0)</f>
        <v>2023</v>
      </c>
      <c r="B1994" s="6" t="str">
        <f>IFERROR(__xludf.DUMMYFUNCTION("""COMPUTED_VALUE"""),"Janeiro")</f>
        <v>Janeiro</v>
      </c>
      <c r="C1994" s="6" t="str">
        <f>IFERROR(__xludf.DUMMYFUNCTION("""COMPUTED_VALUE"""),"CALÚNIA - DIFAMAÇÃO - INJÚRIA")</f>
        <v>CALÚNIA - DIFAMAÇÃO - INJÚRIA</v>
      </c>
      <c r="D1994" s="6">
        <f>IFERROR(__xludf.DUMMYFUNCTION("""COMPUTED_VALUE"""),187.0)</f>
        <v>187</v>
      </c>
      <c r="E1994" s="6">
        <f>IFERROR(__xludf.DUMMYFUNCTION("""COMPUTED_VALUE"""),159.0)</f>
        <v>159</v>
      </c>
      <c r="F1994" s="6">
        <f>IFERROR(__xludf.DUMMYFUNCTION("""COMPUTED_VALUE"""),694.0)</f>
        <v>694</v>
      </c>
      <c r="G1994" s="6">
        <f>IFERROR(__xludf.DUMMYFUNCTION("""COMPUTED_VALUE"""),1040.0)</f>
        <v>1040</v>
      </c>
    </row>
    <row r="1995">
      <c r="A1995" s="6">
        <f>IFERROR(__xludf.DUMMYFUNCTION("""COMPUTED_VALUE"""),2023.0)</f>
        <v>2023</v>
      </c>
      <c r="B1995" s="6" t="str">
        <f>IFERROR(__xludf.DUMMYFUNCTION("""COMPUTED_VALUE"""),"Janeiro")</f>
        <v>Janeiro</v>
      </c>
      <c r="C1995" s="6" t="str">
        <f>IFERROR(__xludf.DUMMYFUNCTION("""COMPUTED_VALUE"""),"CONSTRANGIMENTO ILEGAL")</f>
        <v>CONSTRANGIMENTO ILEGAL</v>
      </c>
      <c r="D1995" s="6">
        <f>IFERROR(__xludf.DUMMYFUNCTION("""COMPUTED_VALUE"""),1.0)</f>
        <v>1</v>
      </c>
      <c r="E1995" s="6">
        <f>IFERROR(__xludf.DUMMYFUNCTION("""COMPUTED_VALUE"""),0.0)</f>
        <v>0</v>
      </c>
      <c r="F1995" s="6">
        <f>IFERROR(__xludf.DUMMYFUNCTION("""COMPUTED_VALUE"""),6.0)</f>
        <v>6</v>
      </c>
      <c r="G1995" s="6">
        <f>IFERROR(__xludf.DUMMYFUNCTION("""COMPUTED_VALUE"""),7.0)</f>
        <v>7</v>
      </c>
    </row>
    <row r="1996">
      <c r="A1996" s="6">
        <f>IFERROR(__xludf.DUMMYFUNCTION("""COMPUTED_VALUE"""),2023.0)</f>
        <v>2023</v>
      </c>
      <c r="B1996" s="6" t="str">
        <f>IFERROR(__xludf.DUMMYFUNCTION("""COMPUTED_VALUE"""),"Janeiro")</f>
        <v>Janeiro</v>
      </c>
      <c r="C1996" s="6" t="str">
        <f>IFERROR(__xludf.DUMMYFUNCTION("""COMPUTED_VALUE"""),"AMEAÇA")</f>
        <v>AMEAÇA</v>
      </c>
      <c r="D1996" s="6">
        <f>IFERROR(__xludf.DUMMYFUNCTION("""COMPUTED_VALUE"""),872.0)</f>
        <v>872</v>
      </c>
      <c r="E1996" s="6">
        <f>IFERROR(__xludf.DUMMYFUNCTION("""COMPUTED_VALUE"""),804.0)</f>
        <v>804</v>
      </c>
      <c r="F1996" s="6">
        <f>IFERROR(__xludf.DUMMYFUNCTION("""COMPUTED_VALUE"""),2984.0)</f>
        <v>2984</v>
      </c>
      <c r="G1996" s="6">
        <f>IFERROR(__xludf.DUMMYFUNCTION("""COMPUTED_VALUE"""),4660.0)</f>
        <v>4660</v>
      </c>
    </row>
    <row r="1997">
      <c r="A1997" s="6">
        <f>IFERROR(__xludf.DUMMYFUNCTION("""COMPUTED_VALUE"""),2023.0)</f>
        <v>2023</v>
      </c>
      <c r="B1997" s="6" t="str">
        <f>IFERROR(__xludf.DUMMYFUNCTION("""COMPUTED_VALUE"""),"Janeiro")</f>
        <v>Janeiro</v>
      </c>
      <c r="C1997" s="6" t="str">
        <f>IFERROR(__xludf.DUMMYFUNCTION("""COMPUTED_VALUE"""),"INVASÃO DE DOMICÍLIO")</f>
        <v>INVASÃO DE DOMICÍLIO</v>
      </c>
      <c r="D1997" s="6">
        <f>IFERROR(__xludf.DUMMYFUNCTION("""COMPUTED_VALUE"""),1.0)</f>
        <v>1</v>
      </c>
      <c r="E1997" s="6">
        <f>IFERROR(__xludf.DUMMYFUNCTION("""COMPUTED_VALUE"""),2.0)</f>
        <v>2</v>
      </c>
      <c r="F1997" s="6">
        <f>IFERROR(__xludf.DUMMYFUNCTION("""COMPUTED_VALUE"""),13.0)</f>
        <v>13</v>
      </c>
      <c r="G1997" s="6">
        <f>IFERROR(__xludf.DUMMYFUNCTION("""COMPUTED_VALUE"""),16.0)</f>
        <v>16</v>
      </c>
    </row>
    <row r="1998">
      <c r="A1998" s="6">
        <f>IFERROR(__xludf.DUMMYFUNCTION("""COMPUTED_VALUE"""),2023.0)</f>
        <v>2023</v>
      </c>
      <c r="B1998" s="6" t="str">
        <f>IFERROR(__xludf.DUMMYFUNCTION("""COMPUTED_VALUE"""),"Janeiro")</f>
        <v>Janeiro</v>
      </c>
      <c r="C1998" s="6" t="str">
        <f>IFERROR(__xludf.DUMMYFUNCTION("""COMPUTED_VALUE"""),"DANO")</f>
        <v>DANO</v>
      </c>
      <c r="D1998" s="6">
        <f>IFERROR(__xludf.DUMMYFUNCTION("""COMPUTED_VALUE"""),11.0)</f>
        <v>11</v>
      </c>
      <c r="E1998" s="6">
        <f>IFERROR(__xludf.DUMMYFUNCTION("""COMPUTED_VALUE"""),10.0)</f>
        <v>10</v>
      </c>
      <c r="F1998" s="6">
        <f>IFERROR(__xludf.DUMMYFUNCTION("""COMPUTED_VALUE"""),54.0)</f>
        <v>54</v>
      </c>
      <c r="G1998" s="6">
        <f>IFERROR(__xludf.DUMMYFUNCTION("""COMPUTED_VALUE"""),75.0)</f>
        <v>75</v>
      </c>
    </row>
    <row r="1999">
      <c r="A1999" s="6">
        <f>IFERROR(__xludf.DUMMYFUNCTION("""COMPUTED_VALUE"""),2023.0)</f>
        <v>2023</v>
      </c>
      <c r="B1999" s="6" t="str">
        <f>IFERROR(__xludf.DUMMYFUNCTION("""COMPUTED_VALUE"""),"Janeiro")</f>
        <v>Janeiro</v>
      </c>
      <c r="C1999" s="6" t="str">
        <f>IFERROR(__xludf.DUMMYFUNCTION("""COMPUTED_VALUE"""),"ESTUPRO CONSUMADO")</f>
        <v>ESTUPRO CONSUMADO</v>
      </c>
      <c r="D1999" s="6">
        <f>IFERROR(__xludf.DUMMYFUNCTION("""COMPUTED_VALUE"""),10.0)</f>
        <v>10</v>
      </c>
      <c r="E1999" s="6">
        <f>IFERROR(__xludf.DUMMYFUNCTION("""COMPUTED_VALUE"""),7.0)</f>
        <v>7</v>
      </c>
      <c r="F1999" s="6">
        <f>IFERROR(__xludf.DUMMYFUNCTION("""COMPUTED_VALUE"""),17.0)</f>
        <v>17</v>
      </c>
      <c r="G1999" s="6">
        <f>IFERROR(__xludf.DUMMYFUNCTION("""COMPUTED_VALUE"""),34.0)</f>
        <v>34</v>
      </c>
    </row>
    <row r="2000">
      <c r="A2000" s="6">
        <f>IFERROR(__xludf.DUMMYFUNCTION("""COMPUTED_VALUE"""),2023.0)</f>
        <v>2023</v>
      </c>
      <c r="B2000" s="6" t="str">
        <f>IFERROR(__xludf.DUMMYFUNCTION("""COMPUTED_VALUE"""),"Janeiro")</f>
        <v>Janeiro</v>
      </c>
      <c r="C2000" s="6" t="str">
        <f>IFERROR(__xludf.DUMMYFUNCTION("""COMPUTED_VALUE"""),"ESTUPRO TENTADO")</f>
        <v>ESTUPRO TENTADO</v>
      </c>
      <c r="D2000" s="6">
        <f>IFERROR(__xludf.DUMMYFUNCTION("""COMPUTED_VALUE"""),0.0)</f>
        <v>0</v>
      </c>
      <c r="E2000" s="6">
        <f>IFERROR(__xludf.DUMMYFUNCTION("""COMPUTED_VALUE"""),0.0)</f>
        <v>0</v>
      </c>
      <c r="F2000" s="6">
        <f>IFERROR(__xludf.DUMMYFUNCTION("""COMPUTED_VALUE"""),1.0)</f>
        <v>1</v>
      </c>
      <c r="G2000" s="6">
        <f>IFERROR(__xludf.DUMMYFUNCTION("""COMPUTED_VALUE"""),1.0)</f>
        <v>1</v>
      </c>
    </row>
    <row r="2001">
      <c r="A2001" s="6">
        <f>IFERROR(__xludf.DUMMYFUNCTION("""COMPUTED_VALUE"""),2023.0)</f>
        <v>2023</v>
      </c>
      <c r="B2001" s="6" t="str">
        <f>IFERROR(__xludf.DUMMYFUNCTION("""COMPUTED_VALUE"""),"Janeiro")</f>
        <v>Janeiro</v>
      </c>
      <c r="C2001" s="6" t="str">
        <f>IFERROR(__xludf.DUMMYFUNCTION("""COMPUTED_VALUE"""),"ESTUPRO DE VULNERÁVEL CONSUMADO")</f>
        <v>ESTUPRO DE VULNERÁVEL CONSUMADO</v>
      </c>
      <c r="D2001" s="6">
        <f>IFERROR(__xludf.DUMMYFUNCTION("""COMPUTED_VALUE"""),3.0)</f>
        <v>3</v>
      </c>
      <c r="E2001" s="6">
        <f>IFERROR(__xludf.DUMMYFUNCTION("""COMPUTED_VALUE"""),4.0)</f>
        <v>4</v>
      </c>
      <c r="F2001" s="6">
        <f>IFERROR(__xludf.DUMMYFUNCTION("""COMPUTED_VALUE"""),17.0)</f>
        <v>17</v>
      </c>
      <c r="G2001" s="6">
        <f>IFERROR(__xludf.DUMMYFUNCTION("""COMPUTED_VALUE"""),24.0)</f>
        <v>24</v>
      </c>
    </row>
    <row r="2002">
      <c r="A2002" s="6">
        <f>IFERROR(__xludf.DUMMYFUNCTION("""COMPUTED_VALUE"""),2023.0)</f>
        <v>2023</v>
      </c>
      <c r="B2002" s="6" t="str">
        <f>IFERROR(__xludf.DUMMYFUNCTION("""COMPUTED_VALUE"""),"Janeiro")</f>
        <v>Janeiro</v>
      </c>
      <c r="C2002" s="6" t="str">
        <f>IFERROR(__xludf.DUMMYFUNCTION("""COMPUTED_VALUE"""),"OUTROS C/C/ DIGNIDADE SEXUAL")</f>
        <v>OUTROS C/C/ DIGNIDADE SEXUAL</v>
      </c>
      <c r="D2002" s="6">
        <f>IFERROR(__xludf.DUMMYFUNCTION("""COMPUTED_VALUE"""),0.0)</f>
        <v>0</v>
      </c>
      <c r="E2002" s="6">
        <f>IFERROR(__xludf.DUMMYFUNCTION("""COMPUTED_VALUE"""),0.0)</f>
        <v>0</v>
      </c>
      <c r="F2002" s="6">
        <f>IFERROR(__xludf.DUMMYFUNCTION("""COMPUTED_VALUE"""),2.0)</f>
        <v>2</v>
      </c>
      <c r="G2002" s="6">
        <f>IFERROR(__xludf.DUMMYFUNCTION("""COMPUTED_VALUE"""),2.0)</f>
        <v>2</v>
      </c>
    </row>
    <row r="2003">
      <c r="A2003" s="6">
        <f>IFERROR(__xludf.DUMMYFUNCTION("""COMPUTED_VALUE"""),2023.0)</f>
        <v>2023</v>
      </c>
      <c r="B2003" s="6" t="str">
        <f>IFERROR(__xludf.DUMMYFUNCTION("""COMPUTED_VALUE"""),"Fevereiro")</f>
        <v>Fevereiro</v>
      </c>
      <c r="C2003" s="6" t="str">
        <f>IFERROR(__xludf.DUMMYFUNCTION("""COMPUTED_VALUE"""),"HOMICÍDIO DOLOSO (exclui FEMINICÍDIO)")</f>
        <v>HOMICÍDIO DOLOSO (exclui FEMINICÍDIO)</v>
      </c>
      <c r="D2003" s="6">
        <f>IFERROR(__xludf.DUMMYFUNCTION("""COMPUTED_VALUE"""),1.0)</f>
        <v>1</v>
      </c>
      <c r="E2003" s="6">
        <f>IFERROR(__xludf.DUMMYFUNCTION("""COMPUTED_VALUE"""),0.0)</f>
        <v>0</v>
      </c>
      <c r="F2003" s="6">
        <f>IFERROR(__xludf.DUMMYFUNCTION("""COMPUTED_VALUE"""),2.0)</f>
        <v>2</v>
      </c>
      <c r="G2003" s="6">
        <f>IFERROR(__xludf.DUMMYFUNCTION("""COMPUTED_VALUE"""),3.0)</f>
        <v>3</v>
      </c>
    </row>
    <row r="2004">
      <c r="A2004" s="6">
        <f>IFERROR(__xludf.DUMMYFUNCTION("""COMPUTED_VALUE"""),2023.0)</f>
        <v>2023</v>
      </c>
      <c r="B2004" s="6" t="str">
        <f>IFERROR(__xludf.DUMMYFUNCTION("""COMPUTED_VALUE"""),"Fevereiro")</f>
        <v>Fevereiro</v>
      </c>
      <c r="C2004" s="6" t="str">
        <f>IFERROR(__xludf.DUMMYFUNCTION("""COMPUTED_VALUE"""),"FEMINICÍDIO")</f>
        <v>FEMINICÍDIO</v>
      </c>
      <c r="D2004" s="6">
        <f>IFERROR(__xludf.DUMMYFUNCTION("""COMPUTED_VALUE"""),3.0)</f>
        <v>3</v>
      </c>
      <c r="E2004" s="6">
        <f>IFERROR(__xludf.DUMMYFUNCTION("""COMPUTED_VALUE"""),4.0)</f>
        <v>4</v>
      </c>
      <c r="F2004" s="6">
        <f>IFERROR(__xludf.DUMMYFUNCTION("""COMPUTED_VALUE"""),7.0)</f>
        <v>7</v>
      </c>
      <c r="G2004" s="6">
        <f>IFERROR(__xludf.DUMMYFUNCTION("""COMPUTED_VALUE"""),14.0)</f>
        <v>14</v>
      </c>
    </row>
    <row r="2005">
      <c r="A2005" s="6">
        <f>IFERROR(__xludf.DUMMYFUNCTION("""COMPUTED_VALUE"""),2023.0)</f>
        <v>2023</v>
      </c>
      <c r="B2005" s="6" t="str">
        <f>IFERROR(__xludf.DUMMYFUNCTION("""COMPUTED_VALUE"""),"Fevereiro")</f>
        <v>Fevereiro</v>
      </c>
      <c r="C2005" s="6" t="str">
        <f>IFERROR(__xludf.DUMMYFUNCTION("""COMPUTED_VALUE"""),"HOMICÍDIO CULPOSO")</f>
        <v>HOMICÍDIO CULPOSO</v>
      </c>
      <c r="D2005" s="6">
        <f>IFERROR(__xludf.DUMMYFUNCTION("""COMPUTED_VALUE"""),0.0)</f>
        <v>0</v>
      </c>
      <c r="E2005" s="6">
        <f>IFERROR(__xludf.DUMMYFUNCTION("""COMPUTED_VALUE"""),0.0)</f>
        <v>0</v>
      </c>
      <c r="F2005" s="6">
        <f>IFERROR(__xludf.DUMMYFUNCTION("""COMPUTED_VALUE"""),0.0)</f>
        <v>0</v>
      </c>
      <c r="G2005" s="6">
        <f>IFERROR(__xludf.DUMMYFUNCTION("""COMPUTED_VALUE"""),0.0)</f>
        <v>0</v>
      </c>
    </row>
    <row r="2006">
      <c r="A2006" s="6">
        <f>IFERROR(__xludf.DUMMYFUNCTION("""COMPUTED_VALUE"""),2023.0)</f>
        <v>2023</v>
      </c>
      <c r="B2006" s="6" t="str">
        <f>IFERROR(__xludf.DUMMYFUNCTION("""COMPUTED_VALUE"""),"Fevereiro")</f>
        <v>Fevereiro</v>
      </c>
      <c r="C2006" s="6" t="str">
        <f>IFERROR(__xludf.DUMMYFUNCTION("""COMPUTED_VALUE"""),"TENTATIVA DE HOMICÍDIO")</f>
        <v>TENTATIVA DE HOMICÍDIO</v>
      </c>
      <c r="D2006" s="6">
        <f>IFERROR(__xludf.DUMMYFUNCTION("""COMPUTED_VALUE"""),2.0)</f>
        <v>2</v>
      </c>
      <c r="E2006" s="6">
        <f>IFERROR(__xludf.DUMMYFUNCTION("""COMPUTED_VALUE"""),2.0)</f>
        <v>2</v>
      </c>
      <c r="F2006" s="6">
        <f>IFERROR(__xludf.DUMMYFUNCTION("""COMPUTED_VALUE"""),12.0)</f>
        <v>12</v>
      </c>
      <c r="G2006" s="6">
        <f>IFERROR(__xludf.DUMMYFUNCTION("""COMPUTED_VALUE"""),16.0)</f>
        <v>16</v>
      </c>
    </row>
    <row r="2007">
      <c r="A2007" s="6">
        <f>IFERROR(__xludf.DUMMYFUNCTION("""COMPUTED_VALUE"""),2023.0)</f>
        <v>2023</v>
      </c>
      <c r="B2007" s="6" t="str">
        <f>IFERROR(__xludf.DUMMYFUNCTION("""COMPUTED_VALUE"""),"Fevereiro")</f>
        <v>Fevereiro</v>
      </c>
      <c r="C2007" s="6" t="str">
        <f>IFERROR(__xludf.DUMMYFUNCTION("""COMPUTED_VALUE"""),"LESÃO CORPORAL DOLOSA")</f>
        <v>LESÃO CORPORAL DOLOSA</v>
      </c>
      <c r="D2007" s="6">
        <f>IFERROR(__xludf.DUMMYFUNCTION("""COMPUTED_VALUE"""),948.0)</f>
        <v>948</v>
      </c>
      <c r="E2007" s="6">
        <f>IFERROR(__xludf.DUMMYFUNCTION("""COMPUTED_VALUE"""),812.0)</f>
        <v>812</v>
      </c>
      <c r="F2007" s="6">
        <f>IFERROR(__xludf.DUMMYFUNCTION("""COMPUTED_VALUE"""),2914.0)</f>
        <v>2914</v>
      </c>
      <c r="G2007" s="6">
        <f>IFERROR(__xludf.DUMMYFUNCTION("""COMPUTED_VALUE"""),4674.0)</f>
        <v>4674</v>
      </c>
    </row>
    <row r="2008">
      <c r="A2008" s="6">
        <f>IFERROR(__xludf.DUMMYFUNCTION("""COMPUTED_VALUE"""),2023.0)</f>
        <v>2023</v>
      </c>
      <c r="B2008" s="6" t="str">
        <f>IFERROR(__xludf.DUMMYFUNCTION("""COMPUTED_VALUE"""),"Fevereiro")</f>
        <v>Fevereiro</v>
      </c>
      <c r="C2008" s="6" t="str">
        <f>IFERROR(__xludf.DUMMYFUNCTION("""COMPUTED_VALUE"""),"MAUS TRATOS")</f>
        <v>MAUS TRATOS</v>
      </c>
      <c r="D2008" s="6">
        <f>IFERROR(__xludf.DUMMYFUNCTION("""COMPUTED_VALUE"""),3.0)</f>
        <v>3</v>
      </c>
      <c r="E2008" s="6">
        <f>IFERROR(__xludf.DUMMYFUNCTION("""COMPUTED_VALUE"""),2.0)</f>
        <v>2</v>
      </c>
      <c r="F2008" s="6">
        <f>IFERROR(__xludf.DUMMYFUNCTION("""COMPUTED_VALUE"""),16.0)</f>
        <v>16</v>
      </c>
      <c r="G2008" s="6">
        <f>IFERROR(__xludf.DUMMYFUNCTION("""COMPUTED_VALUE"""),21.0)</f>
        <v>21</v>
      </c>
    </row>
    <row r="2009">
      <c r="A2009" s="6">
        <f>IFERROR(__xludf.DUMMYFUNCTION("""COMPUTED_VALUE"""),2023.0)</f>
        <v>2023</v>
      </c>
      <c r="B2009" s="6" t="str">
        <f>IFERROR(__xludf.DUMMYFUNCTION("""COMPUTED_VALUE"""),"Fevereiro")</f>
        <v>Fevereiro</v>
      </c>
      <c r="C2009" s="6" t="str">
        <f>IFERROR(__xludf.DUMMYFUNCTION("""COMPUTED_VALUE"""),"CALÚNIA - DIFAMAÇÃO - INJÚRIA")</f>
        <v>CALÚNIA - DIFAMAÇÃO - INJÚRIA</v>
      </c>
      <c r="D2009" s="6">
        <f>IFERROR(__xludf.DUMMYFUNCTION("""COMPUTED_VALUE"""),187.0)</f>
        <v>187</v>
      </c>
      <c r="E2009" s="6">
        <f>IFERROR(__xludf.DUMMYFUNCTION("""COMPUTED_VALUE"""),159.0)</f>
        <v>159</v>
      </c>
      <c r="F2009" s="6">
        <f>IFERROR(__xludf.DUMMYFUNCTION("""COMPUTED_VALUE"""),694.0)</f>
        <v>694</v>
      </c>
      <c r="G2009" s="6">
        <f>IFERROR(__xludf.DUMMYFUNCTION("""COMPUTED_VALUE"""),1040.0)</f>
        <v>1040</v>
      </c>
    </row>
    <row r="2010">
      <c r="A2010" s="6">
        <f>IFERROR(__xludf.DUMMYFUNCTION("""COMPUTED_VALUE"""),2023.0)</f>
        <v>2023</v>
      </c>
      <c r="B2010" s="6" t="str">
        <f>IFERROR(__xludf.DUMMYFUNCTION("""COMPUTED_VALUE"""),"Fevereiro")</f>
        <v>Fevereiro</v>
      </c>
      <c r="C2010" s="6" t="str">
        <f>IFERROR(__xludf.DUMMYFUNCTION("""COMPUTED_VALUE"""),"CONSTRANGIMENTO ILEGAL")</f>
        <v>CONSTRANGIMENTO ILEGAL</v>
      </c>
      <c r="D2010" s="6">
        <f>IFERROR(__xludf.DUMMYFUNCTION("""COMPUTED_VALUE"""),1.0)</f>
        <v>1</v>
      </c>
      <c r="E2010" s="6">
        <f>IFERROR(__xludf.DUMMYFUNCTION("""COMPUTED_VALUE"""),0.0)</f>
        <v>0</v>
      </c>
      <c r="F2010" s="6">
        <f>IFERROR(__xludf.DUMMYFUNCTION("""COMPUTED_VALUE"""),6.0)</f>
        <v>6</v>
      </c>
      <c r="G2010" s="6">
        <f>IFERROR(__xludf.DUMMYFUNCTION("""COMPUTED_VALUE"""),7.0)</f>
        <v>7</v>
      </c>
    </row>
    <row r="2011">
      <c r="A2011" s="6">
        <f>IFERROR(__xludf.DUMMYFUNCTION("""COMPUTED_VALUE"""),2023.0)</f>
        <v>2023</v>
      </c>
      <c r="B2011" s="6" t="str">
        <f>IFERROR(__xludf.DUMMYFUNCTION("""COMPUTED_VALUE"""),"Fevereiro")</f>
        <v>Fevereiro</v>
      </c>
      <c r="C2011" s="6" t="str">
        <f>IFERROR(__xludf.DUMMYFUNCTION("""COMPUTED_VALUE"""),"AMEAÇA")</f>
        <v>AMEAÇA</v>
      </c>
      <c r="D2011" s="6">
        <f>IFERROR(__xludf.DUMMYFUNCTION("""COMPUTED_VALUE"""),872.0)</f>
        <v>872</v>
      </c>
      <c r="E2011" s="6">
        <f>IFERROR(__xludf.DUMMYFUNCTION("""COMPUTED_VALUE"""),804.0)</f>
        <v>804</v>
      </c>
      <c r="F2011" s="6">
        <f>IFERROR(__xludf.DUMMYFUNCTION("""COMPUTED_VALUE"""),2984.0)</f>
        <v>2984</v>
      </c>
      <c r="G2011" s="6">
        <f>IFERROR(__xludf.DUMMYFUNCTION("""COMPUTED_VALUE"""),4660.0)</f>
        <v>4660</v>
      </c>
    </row>
    <row r="2012">
      <c r="A2012" s="6">
        <f>IFERROR(__xludf.DUMMYFUNCTION("""COMPUTED_VALUE"""),2023.0)</f>
        <v>2023</v>
      </c>
      <c r="B2012" s="6" t="str">
        <f>IFERROR(__xludf.DUMMYFUNCTION("""COMPUTED_VALUE"""),"Fevereiro")</f>
        <v>Fevereiro</v>
      </c>
      <c r="C2012" s="6" t="str">
        <f>IFERROR(__xludf.DUMMYFUNCTION("""COMPUTED_VALUE"""),"INVASÃO DE DOMICÍLIO")</f>
        <v>INVASÃO DE DOMICÍLIO</v>
      </c>
      <c r="D2012" s="6">
        <f>IFERROR(__xludf.DUMMYFUNCTION("""COMPUTED_VALUE"""),1.0)</f>
        <v>1</v>
      </c>
      <c r="E2012" s="6">
        <f>IFERROR(__xludf.DUMMYFUNCTION("""COMPUTED_VALUE"""),2.0)</f>
        <v>2</v>
      </c>
      <c r="F2012" s="6">
        <f>IFERROR(__xludf.DUMMYFUNCTION("""COMPUTED_VALUE"""),13.0)</f>
        <v>13</v>
      </c>
      <c r="G2012" s="6">
        <f>IFERROR(__xludf.DUMMYFUNCTION("""COMPUTED_VALUE"""),16.0)</f>
        <v>16</v>
      </c>
    </row>
    <row r="2013">
      <c r="A2013" s="6">
        <f>IFERROR(__xludf.DUMMYFUNCTION("""COMPUTED_VALUE"""),2023.0)</f>
        <v>2023</v>
      </c>
      <c r="B2013" s="6" t="str">
        <f>IFERROR(__xludf.DUMMYFUNCTION("""COMPUTED_VALUE"""),"Fevereiro")</f>
        <v>Fevereiro</v>
      </c>
      <c r="C2013" s="6" t="str">
        <f>IFERROR(__xludf.DUMMYFUNCTION("""COMPUTED_VALUE"""),"DANO")</f>
        <v>DANO</v>
      </c>
      <c r="D2013" s="6">
        <f>IFERROR(__xludf.DUMMYFUNCTION("""COMPUTED_VALUE"""),11.0)</f>
        <v>11</v>
      </c>
      <c r="E2013" s="6">
        <f>IFERROR(__xludf.DUMMYFUNCTION("""COMPUTED_VALUE"""),10.0)</f>
        <v>10</v>
      </c>
      <c r="F2013" s="6">
        <f>IFERROR(__xludf.DUMMYFUNCTION("""COMPUTED_VALUE"""),54.0)</f>
        <v>54</v>
      </c>
      <c r="G2013" s="6">
        <f>IFERROR(__xludf.DUMMYFUNCTION("""COMPUTED_VALUE"""),75.0)</f>
        <v>75</v>
      </c>
    </row>
    <row r="2014">
      <c r="A2014" s="6">
        <f>IFERROR(__xludf.DUMMYFUNCTION("""COMPUTED_VALUE"""),2023.0)</f>
        <v>2023</v>
      </c>
      <c r="B2014" s="6" t="str">
        <f>IFERROR(__xludf.DUMMYFUNCTION("""COMPUTED_VALUE"""),"Fevereiro")</f>
        <v>Fevereiro</v>
      </c>
      <c r="C2014" s="6" t="str">
        <f>IFERROR(__xludf.DUMMYFUNCTION("""COMPUTED_VALUE"""),"ESTUPRO CONSUMADO")</f>
        <v>ESTUPRO CONSUMADO</v>
      </c>
      <c r="D2014" s="6">
        <f>IFERROR(__xludf.DUMMYFUNCTION("""COMPUTED_VALUE"""),10.0)</f>
        <v>10</v>
      </c>
      <c r="E2014" s="6">
        <f>IFERROR(__xludf.DUMMYFUNCTION("""COMPUTED_VALUE"""),7.0)</f>
        <v>7</v>
      </c>
      <c r="F2014" s="6">
        <f>IFERROR(__xludf.DUMMYFUNCTION("""COMPUTED_VALUE"""),17.0)</f>
        <v>17</v>
      </c>
      <c r="G2014" s="6">
        <f>IFERROR(__xludf.DUMMYFUNCTION("""COMPUTED_VALUE"""),34.0)</f>
        <v>34</v>
      </c>
    </row>
    <row r="2015">
      <c r="A2015" s="6">
        <f>IFERROR(__xludf.DUMMYFUNCTION("""COMPUTED_VALUE"""),2023.0)</f>
        <v>2023</v>
      </c>
      <c r="B2015" s="6" t="str">
        <f>IFERROR(__xludf.DUMMYFUNCTION("""COMPUTED_VALUE"""),"Fevereiro")</f>
        <v>Fevereiro</v>
      </c>
      <c r="C2015" s="6" t="str">
        <f>IFERROR(__xludf.DUMMYFUNCTION("""COMPUTED_VALUE"""),"ESTUPRO TENTADO")</f>
        <v>ESTUPRO TENTADO</v>
      </c>
      <c r="D2015" s="6">
        <f>IFERROR(__xludf.DUMMYFUNCTION("""COMPUTED_VALUE"""),0.0)</f>
        <v>0</v>
      </c>
      <c r="E2015" s="6">
        <f>IFERROR(__xludf.DUMMYFUNCTION("""COMPUTED_VALUE"""),0.0)</f>
        <v>0</v>
      </c>
      <c r="F2015" s="6">
        <f>IFERROR(__xludf.DUMMYFUNCTION("""COMPUTED_VALUE"""),1.0)</f>
        <v>1</v>
      </c>
      <c r="G2015" s="6">
        <f>IFERROR(__xludf.DUMMYFUNCTION("""COMPUTED_VALUE"""),1.0)</f>
        <v>1</v>
      </c>
    </row>
    <row r="2016">
      <c r="A2016" s="6">
        <f>IFERROR(__xludf.DUMMYFUNCTION("""COMPUTED_VALUE"""),2023.0)</f>
        <v>2023</v>
      </c>
      <c r="B2016" s="6" t="str">
        <f>IFERROR(__xludf.DUMMYFUNCTION("""COMPUTED_VALUE"""),"Fevereiro")</f>
        <v>Fevereiro</v>
      </c>
      <c r="C2016" s="6" t="str">
        <f>IFERROR(__xludf.DUMMYFUNCTION("""COMPUTED_VALUE"""),"ESTUPRO DE VULNERÁVEL CONSUMADO")</f>
        <v>ESTUPRO DE VULNERÁVEL CONSUMADO</v>
      </c>
      <c r="D2016" s="6">
        <f>IFERROR(__xludf.DUMMYFUNCTION("""COMPUTED_VALUE"""),3.0)</f>
        <v>3</v>
      </c>
      <c r="E2016" s="6">
        <f>IFERROR(__xludf.DUMMYFUNCTION("""COMPUTED_VALUE"""),4.0)</f>
        <v>4</v>
      </c>
      <c r="F2016" s="6">
        <f>IFERROR(__xludf.DUMMYFUNCTION("""COMPUTED_VALUE"""),17.0)</f>
        <v>17</v>
      </c>
      <c r="G2016" s="6">
        <f>IFERROR(__xludf.DUMMYFUNCTION("""COMPUTED_VALUE"""),24.0)</f>
        <v>24</v>
      </c>
    </row>
    <row r="2017">
      <c r="A2017" s="6">
        <f>IFERROR(__xludf.DUMMYFUNCTION("""COMPUTED_VALUE"""),2023.0)</f>
        <v>2023</v>
      </c>
      <c r="B2017" s="6" t="str">
        <f>IFERROR(__xludf.DUMMYFUNCTION("""COMPUTED_VALUE"""),"Fevereiro")</f>
        <v>Fevereiro</v>
      </c>
      <c r="C2017" s="6" t="str">
        <f>IFERROR(__xludf.DUMMYFUNCTION("""COMPUTED_VALUE"""),"OUTROS C/C/ DIGNIDADE SEXUAL")</f>
        <v>OUTROS C/C/ DIGNIDADE SEXUAL</v>
      </c>
      <c r="D2017" s="6">
        <f>IFERROR(__xludf.DUMMYFUNCTION("""COMPUTED_VALUE"""),0.0)</f>
        <v>0</v>
      </c>
      <c r="E2017" s="6">
        <f>IFERROR(__xludf.DUMMYFUNCTION("""COMPUTED_VALUE"""),0.0)</f>
        <v>0</v>
      </c>
      <c r="F2017" s="6">
        <f>IFERROR(__xludf.DUMMYFUNCTION("""COMPUTED_VALUE"""),2.0)</f>
        <v>2</v>
      </c>
      <c r="G2017" s="6">
        <f>IFERROR(__xludf.DUMMYFUNCTION("""COMPUTED_VALUE"""),2.0)</f>
        <v>2</v>
      </c>
    </row>
    <row r="2018">
      <c r="A2018" s="6">
        <f>IFERROR(__xludf.DUMMYFUNCTION("""COMPUTED_VALUE"""),2023.0)</f>
        <v>2023</v>
      </c>
      <c r="B2018" s="6" t="str">
        <f>IFERROR(__xludf.DUMMYFUNCTION("""COMPUTED_VALUE"""),"Março")</f>
        <v>Março</v>
      </c>
      <c r="C2018" s="6" t="str">
        <f>IFERROR(__xludf.DUMMYFUNCTION("""COMPUTED_VALUE"""),"HOMICÍDIO DOLOSO (exclui FEMINICÍDIO)")</f>
        <v>HOMICÍDIO DOLOSO (exclui FEMINICÍDIO)</v>
      </c>
      <c r="D2018" s="6">
        <f>IFERROR(__xludf.DUMMYFUNCTION("""COMPUTED_VALUE"""),1.0)</f>
        <v>1</v>
      </c>
      <c r="E2018" s="6">
        <f>IFERROR(__xludf.DUMMYFUNCTION("""COMPUTED_VALUE"""),0.0)</f>
        <v>0</v>
      </c>
      <c r="F2018" s="6">
        <f>IFERROR(__xludf.DUMMYFUNCTION("""COMPUTED_VALUE"""),2.0)</f>
        <v>2</v>
      </c>
      <c r="G2018" s="6">
        <f>IFERROR(__xludf.DUMMYFUNCTION("""COMPUTED_VALUE"""),3.0)</f>
        <v>3</v>
      </c>
    </row>
    <row r="2019">
      <c r="A2019" s="6">
        <f>IFERROR(__xludf.DUMMYFUNCTION("""COMPUTED_VALUE"""),2023.0)</f>
        <v>2023</v>
      </c>
      <c r="B2019" s="6" t="str">
        <f>IFERROR(__xludf.DUMMYFUNCTION("""COMPUTED_VALUE"""),"Março")</f>
        <v>Março</v>
      </c>
      <c r="C2019" s="6" t="str">
        <f>IFERROR(__xludf.DUMMYFUNCTION("""COMPUTED_VALUE"""),"FEMINICÍDIO")</f>
        <v>FEMINICÍDIO</v>
      </c>
      <c r="D2019" s="6">
        <f>IFERROR(__xludf.DUMMYFUNCTION("""COMPUTED_VALUE"""),4.0)</f>
        <v>4</v>
      </c>
      <c r="E2019" s="6">
        <f>IFERROR(__xludf.DUMMYFUNCTION("""COMPUTED_VALUE"""),4.0)</f>
        <v>4</v>
      </c>
      <c r="F2019" s="6">
        <f>IFERROR(__xludf.DUMMYFUNCTION("""COMPUTED_VALUE"""),9.0)</f>
        <v>9</v>
      </c>
      <c r="G2019" s="6">
        <f>IFERROR(__xludf.DUMMYFUNCTION("""COMPUTED_VALUE"""),17.0)</f>
        <v>17</v>
      </c>
    </row>
    <row r="2020">
      <c r="A2020" s="6">
        <f>IFERROR(__xludf.DUMMYFUNCTION("""COMPUTED_VALUE"""),2023.0)</f>
        <v>2023</v>
      </c>
      <c r="B2020" s="6" t="str">
        <f>IFERROR(__xludf.DUMMYFUNCTION("""COMPUTED_VALUE"""),"Março")</f>
        <v>Março</v>
      </c>
      <c r="C2020" s="6" t="str">
        <f>IFERROR(__xludf.DUMMYFUNCTION("""COMPUTED_VALUE"""),"HOMICÍDIO CULPOSO")</f>
        <v>HOMICÍDIO CULPOSO</v>
      </c>
      <c r="D2020" s="6">
        <f>IFERROR(__xludf.DUMMYFUNCTION("""COMPUTED_VALUE"""),0.0)</f>
        <v>0</v>
      </c>
      <c r="E2020" s="6">
        <f>IFERROR(__xludf.DUMMYFUNCTION("""COMPUTED_VALUE"""),0.0)</f>
        <v>0</v>
      </c>
      <c r="F2020" s="6">
        <f>IFERROR(__xludf.DUMMYFUNCTION("""COMPUTED_VALUE"""),0.0)</f>
        <v>0</v>
      </c>
      <c r="G2020" s="6">
        <f>IFERROR(__xludf.DUMMYFUNCTION("""COMPUTED_VALUE"""),0.0)</f>
        <v>0</v>
      </c>
    </row>
    <row r="2021">
      <c r="A2021" s="6">
        <f>IFERROR(__xludf.DUMMYFUNCTION("""COMPUTED_VALUE"""),2023.0)</f>
        <v>2023</v>
      </c>
      <c r="B2021" s="6" t="str">
        <f>IFERROR(__xludf.DUMMYFUNCTION("""COMPUTED_VALUE"""),"Março")</f>
        <v>Março</v>
      </c>
      <c r="C2021" s="6" t="str">
        <f>IFERROR(__xludf.DUMMYFUNCTION("""COMPUTED_VALUE"""),"TENTATIVA DE HOMICÍDIO")</f>
        <v>TENTATIVA DE HOMICÍDIO</v>
      </c>
      <c r="D2021" s="6">
        <f>IFERROR(__xludf.DUMMYFUNCTION("""COMPUTED_VALUE"""),2.0)</f>
        <v>2</v>
      </c>
      <c r="E2021" s="6">
        <f>IFERROR(__xludf.DUMMYFUNCTION("""COMPUTED_VALUE"""),2.0)</f>
        <v>2</v>
      </c>
      <c r="F2021" s="6">
        <f>IFERROR(__xludf.DUMMYFUNCTION("""COMPUTED_VALUE"""),12.0)</f>
        <v>12</v>
      </c>
      <c r="G2021" s="6">
        <f>IFERROR(__xludf.DUMMYFUNCTION("""COMPUTED_VALUE"""),16.0)</f>
        <v>16</v>
      </c>
    </row>
    <row r="2022">
      <c r="A2022" s="6">
        <f>IFERROR(__xludf.DUMMYFUNCTION("""COMPUTED_VALUE"""),2023.0)</f>
        <v>2023</v>
      </c>
      <c r="B2022" s="6" t="str">
        <f>IFERROR(__xludf.DUMMYFUNCTION("""COMPUTED_VALUE"""),"Março")</f>
        <v>Março</v>
      </c>
      <c r="C2022" s="6" t="str">
        <f>IFERROR(__xludf.DUMMYFUNCTION("""COMPUTED_VALUE"""),"LESÃO CORPORAL DOLOSA")</f>
        <v>LESÃO CORPORAL DOLOSA</v>
      </c>
      <c r="D2022" s="6">
        <f>IFERROR(__xludf.DUMMYFUNCTION("""COMPUTED_VALUE"""),948.0)</f>
        <v>948</v>
      </c>
      <c r="E2022" s="6">
        <f>IFERROR(__xludf.DUMMYFUNCTION("""COMPUTED_VALUE"""),812.0)</f>
        <v>812</v>
      </c>
      <c r="F2022" s="6">
        <f>IFERROR(__xludf.DUMMYFUNCTION("""COMPUTED_VALUE"""),2914.0)</f>
        <v>2914</v>
      </c>
      <c r="G2022" s="6">
        <f>IFERROR(__xludf.DUMMYFUNCTION("""COMPUTED_VALUE"""),4674.0)</f>
        <v>4674</v>
      </c>
    </row>
    <row r="2023">
      <c r="A2023" s="6">
        <f>IFERROR(__xludf.DUMMYFUNCTION("""COMPUTED_VALUE"""),2023.0)</f>
        <v>2023</v>
      </c>
      <c r="B2023" s="6" t="str">
        <f>IFERROR(__xludf.DUMMYFUNCTION("""COMPUTED_VALUE"""),"Março")</f>
        <v>Março</v>
      </c>
      <c r="C2023" s="6" t="str">
        <f>IFERROR(__xludf.DUMMYFUNCTION("""COMPUTED_VALUE"""),"MAUS TRATOS")</f>
        <v>MAUS TRATOS</v>
      </c>
      <c r="D2023" s="6">
        <f>IFERROR(__xludf.DUMMYFUNCTION("""COMPUTED_VALUE"""),3.0)</f>
        <v>3</v>
      </c>
      <c r="E2023" s="6">
        <f>IFERROR(__xludf.DUMMYFUNCTION("""COMPUTED_VALUE"""),2.0)</f>
        <v>2</v>
      </c>
      <c r="F2023" s="6">
        <f>IFERROR(__xludf.DUMMYFUNCTION("""COMPUTED_VALUE"""),16.0)</f>
        <v>16</v>
      </c>
      <c r="G2023" s="6">
        <f>IFERROR(__xludf.DUMMYFUNCTION("""COMPUTED_VALUE"""),21.0)</f>
        <v>21</v>
      </c>
    </row>
    <row r="2024">
      <c r="A2024" s="6">
        <f>IFERROR(__xludf.DUMMYFUNCTION("""COMPUTED_VALUE"""),2023.0)</f>
        <v>2023</v>
      </c>
      <c r="B2024" s="6" t="str">
        <f>IFERROR(__xludf.DUMMYFUNCTION("""COMPUTED_VALUE"""),"Março")</f>
        <v>Março</v>
      </c>
      <c r="C2024" s="6" t="str">
        <f>IFERROR(__xludf.DUMMYFUNCTION("""COMPUTED_VALUE"""),"CALÚNIA - DIFAMAÇÃO - INJÚRIA")</f>
        <v>CALÚNIA - DIFAMAÇÃO - INJÚRIA</v>
      </c>
      <c r="D2024" s="6">
        <f>IFERROR(__xludf.DUMMYFUNCTION("""COMPUTED_VALUE"""),187.0)</f>
        <v>187</v>
      </c>
      <c r="E2024" s="6">
        <f>IFERROR(__xludf.DUMMYFUNCTION("""COMPUTED_VALUE"""),159.0)</f>
        <v>159</v>
      </c>
      <c r="F2024" s="6">
        <f>IFERROR(__xludf.DUMMYFUNCTION("""COMPUTED_VALUE"""),694.0)</f>
        <v>694</v>
      </c>
      <c r="G2024" s="6">
        <f>IFERROR(__xludf.DUMMYFUNCTION("""COMPUTED_VALUE"""),1040.0)</f>
        <v>1040</v>
      </c>
    </row>
    <row r="2025">
      <c r="A2025" s="6">
        <f>IFERROR(__xludf.DUMMYFUNCTION("""COMPUTED_VALUE"""),2023.0)</f>
        <v>2023</v>
      </c>
      <c r="B2025" s="6" t="str">
        <f>IFERROR(__xludf.DUMMYFUNCTION("""COMPUTED_VALUE"""),"Março")</f>
        <v>Março</v>
      </c>
      <c r="C2025" s="6" t="str">
        <f>IFERROR(__xludf.DUMMYFUNCTION("""COMPUTED_VALUE"""),"CONSTRANGIMENTO ILEGAL")</f>
        <v>CONSTRANGIMENTO ILEGAL</v>
      </c>
      <c r="D2025" s="6">
        <f>IFERROR(__xludf.DUMMYFUNCTION("""COMPUTED_VALUE"""),1.0)</f>
        <v>1</v>
      </c>
      <c r="E2025" s="6">
        <f>IFERROR(__xludf.DUMMYFUNCTION("""COMPUTED_VALUE"""),0.0)</f>
        <v>0</v>
      </c>
      <c r="F2025" s="6">
        <f>IFERROR(__xludf.DUMMYFUNCTION("""COMPUTED_VALUE"""),6.0)</f>
        <v>6</v>
      </c>
      <c r="G2025" s="6">
        <f>IFERROR(__xludf.DUMMYFUNCTION("""COMPUTED_VALUE"""),7.0)</f>
        <v>7</v>
      </c>
    </row>
    <row r="2026">
      <c r="A2026" s="6">
        <f>IFERROR(__xludf.DUMMYFUNCTION("""COMPUTED_VALUE"""),2023.0)</f>
        <v>2023</v>
      </c>
      <c r="B2026" s="6" t="str">
        <f>IFERROR(__xludf.DUMMYFUNCTION("""COMPUTED_VALUE"""),"Março")</f>
        <v>Março</v>
      </c>
      <c r="C2026" s="6" t="str">
        <f>IFERROR(__xludf.DUMMYFUNCTION("""COMPUTED_VALUE"""),"AMEAÇA")</f>
        <v>AMEAÇA</v>
      </c>
      <c r="D2026" s="6">
        <f>IFERROR(__xludf.DUMMYFUNCTION("""COMPUTED_VALUE"""),872.0)</f>
        <v>872</v>
      </c>
      <c r="E2026" s="6">
        <f>IFERROR(__xludf.DUMMYFUNCTION("""COMPUTED_VALUE"""),804.0)</f>
        <v>804</v>
      </c>
      <c r="F2026" s="6">
        <f>IFERROR(__xludf.DUMMYFUNCTION("""COMPUTED_VALUE"""),2984.0)</f>
        <v>2984</v>
      </c>
      <c r="G2026" s="6">
        <f>IFERROR(__xludf.DUMMYFUNCTION("""COMPUTED_VALUE"""),4660.0)</f>
        <v>4660</v>
      </c>
    </row>
    <row r="2027">
      <c r="A2027" s="6">
        <f>IFERROR(__xludf.DUMMYFUNCTION("""COMPUTED_VALUE"""),2023.0)</f>
        <v>2023</v>
      </c>
      <c r="B2027" s="6" t="str">
        <f>IFERROR(__xludf.DUMMYFUNCTION("""COMPUTED_VALUE"""),"Março")</f>
        <v>Março</v>
      </c>
      <c r="C2027" s="6" t="str">
        <f>IFERROR(__xludf.DUMMYFUNCTION("""COMPUTED_VALUE"""),"INVASÃO DE DOMICÍLIO")</f>
        <v>INVASÃO DE DOMICÍLIO</v>
      </c>
      <c r="D2027" s="6">
        <f>IFERROR(__xludf.DUMMYFUNCTION("""COMPUTED_VALUE"""),1.0)</f>
        <v>1</v>
      </c>
      <c r="E2027" s="6">
        <f>IFERROR(__xludf.DUMMYFUNCTION("""COMPUTED_VALUE"""),2.0)</f>
        <v>2</v>
      </c>
      <c r="F2027" s="6">
        <f>IFERROR(__xludf.DUMMYFUNCTION("""COMPUTED_VALUE"""),13.0)</f>
        <v>13</v>
      </c>
      <c r="G2027" s="6">
        <f>IFERROR(__xludf.DUMMYFUNCTION("""COMPUTED_VALUE"""),16.0)</f>
        <v>16</v>
      </c>
    </row>
    <row r="2028">
      <c r="A2028" s="6">
        <f>IFERROR(__xludf.DUMMYFUNCTION("""COMPUTED_VALUE"""),2023.0)</f>
        <v>2023</v>
      </c>
      <c r="B2028" s="6" t="str">
        <f>IFERROR(__xludf.DUMMYFUNCTION("""COMPUTED_VALUE"""),"Março")</f>
        <v>Março</v>
      </c>
      <c r="C2028" s="6" t="str">
        <f>IFERROR(__xludf.DUMMYFUNCTION("""COMPUTED_VALUE"""),"DANO")</f>
        <v>DANO</v>
      </c>
      <c r="D2028" s="6">
        <f>IFERROR(__xludf.DUMMYFUNCTION("""COMPUTED_VALUE"""),11.0)</f>
        <v>11</v>
      </c>
      <c r="E2028" s="6">
        <f>IFERROR(__xludf.DUMMYFUNCTION("""COMPUTED_VALUE"""),10.0)</f>
        <v>10</v>
      </c>
      <c r="F2028" s="6">
        <f>IFERROR(__xludf.DUMMYFUNCTION("""COMPUTED_VALUE"""),54.0)</f>
        <v>54</v>
      </c>
      <c r="G2028" s="6">
        <f>IFERROR(__xludf.DUMMYFUNCTION("""COMPUTED_VALUE"""),75.0)</f>
        <v>75</v>
      </c>
    </row>
    <row r="2029">
      <c r="A2029" s="6">
        <f>IFERROR(__xludf.DUMMYFUNCTION("""COMPUTED_VALUE"""),2023.0)</f>
        <v>2023</v>
      </c>
      <c r="B2029" s="6" t="str">
        <f>IFERROR(__xludf.DUMMYFUNCTION("""COMPUTED_VALUE"""),"Março")</f>
        <v>Março</v>
      </c>
      <c r="C2029" s="6" t="str">
        <f>IFERROR(__xludf.DUMMYFUNCTION("""COMPUTED_VALUE"""),"ESTUPRO CONSUMADO")</f>
        <v>ESTUPRO CONSUMADO</v>
      </c>
      <c r="D2029" s="6">
        <f>IFERROR(__xludf.DUMMYFUNCTION("""COMPUTED_VALUE"""),10.0)</f>
        <v>10</v>
      </c>
      <c r="E2029" s="6">
        <f>IFERROR(__xludf.DUMMYFUNCTION("""COMPUTED_VALUE"""),7.0)</f>
        <v>7</v>
      </c>
      <c r="F2029" s="6">
        <f>IFERROR(__xludf.DUMMYFUNCTION("""COMPUTED_VALUE"""),17.0)</f>
        <v>17</v>
      </c>
      <c r="G2029" s="6">
        <f>IFERROR(__xludf.DUMMYFUNCTION("""COMPUTED_VALUE"""),34.0)</f>
        <v>34</v>
      </c>
    </row>
    <row r="2030">
      <c r="A2030" s="6">
        <f>IFERROR(__xludf.DUMMYFUNCTION("""COMPUTED_VALUE"""),2023.0)</f>
        <v>2023</v>
      </c>
      <c r="B2030" s="6" t="str">
        <f>IFERROR(__xludf.DUMMYFUNCTION("""COMPUTED_VALUE"""),"Março")</f>
        <v>Março</v>
      </c>
      <c r="C2030" s="6" t="str">
        <f>IFERROR(__xludf.DUMMYFUNCTION("""COMPUTED_VALUE"""),"ESTUPRO TENTADO")</f>
        <v>ESTUPRO TENTADO</v>
      </c>
      <c r="D2030" s="6">
        <f>IFERROR(__xludf.DUMMYFUNCTION("""COMPUTED_VALUE"""),0.0)</f>
        <v>0</v>
      </c>
      <c r="E2030" s="6">
        <f>IFERROR(__xludf.DUMMYFUNCTION("""COMPUTED_VALUE"""),0.0)</f>
        <v>0</v>
      </c>
      <c r="F2030" s="6">
        <f>IFERROR(__xludf.DUMMYFUNCTION("""COMPUTED_VALUE"""),1.0)</f>
        <v>1</v>
      </c>
      <c r="G2030" s="6">
        <f>IFERROR(__xludf.DUMMYFUNCTION("""COMPUTED_VALUE"""),1.0)</f>
        <v>1</v>
      </c>
    </row>
    <row r="2031">
      <c r="A2031" s="6">
        <f>IFERROR(__xludf.DUMMYFUNCTION("""COMPUTED_VALUE"""),2023.0)</f>
        <v>2023</v>
      </c>
      <c r="B2031" s="6" t="str">
        <f>IFERROR(__xludf.DUMMYFUNCTION("""COMPUTED_VALUE"""),"Março")</f>
        <v>Março</v>
      </c>
      <c r="C2031" s="6" t="str">
        <f>IFERROR(__xludf.DUMMYFUNCTION("""COMPUTED_VALUE"""),"ESTUPRO DE VULNERÁVEL CONSUMADO")</f>
        <v>ESTUPRO DE VULNERÁVEL CONSUMADO</v>
      </c>
      <c r="D2031" s="6">
        <f>IFERROR(__xludf.DUMMYFUNCTION("""COMPUTED_VALUE"""),3.0)</f>
        <v>3</v>
      </c>
      <c r="E2031" s="6">
        <f>IFERROR(__xludf.DUMMYFUNCTION("""COMPUTED_VALUE"""),4.0)</f>
        <v>4</v>
      </c>
      <c r="F2031" s="6">
        <f>IFERROR(__xludf.DUMMYFUNCTION("""COMPUTED_VALUE"""),17.0)</f>
        <v>17</v>
      </c>
      <c r="G2031" s="6">
        <f>IFERROR(__xludf.DUMMYFUNCTION("""COMPUTED_VALUE"""),24.0)</f>
        <v>24</v>
      </c>
    </row>
    <row r="2032">
      <c r="A2032" s="6">
        <f>IFERROR(__xludf.DUMMYFUNCTION("""COMPUTED_VALUE"""),2023.0)</f>
        <v>2023</v>
      </c>
      <c r="B2032" s="6" t="str">
        <f>IFERROR(__xludf.DUMMYFUNCTION("""COMPUTED_VALUE"""),"Março")</f>
        <v>Março</v>
      </c>
      <c r="C2032" s="6" t="str">
        <f>IFERROR(__xludf.DUMMYFUNCTION("""COMPUTED_VALUE"""),"OUTROS C/C/ DIGNIDADE SEXUAL")</f>
        <v>OUTROS C/C/ DIGNIDADE SEXUAL</v>
      </c>
      <c r="D2032" s="6">
        <f>IFERROR(__xludf.DUMMYFUNCTION("""COMPUTED_VALUE"""),0.0)</f>
        <v>0</v>
      </c>
      <c r="E2032" s="6">
        <f>IFERROR(__xludf.DUMMYFUNCTION("""COMPUTED_VALUE"""),0.0)</f>
        <v>0</v>
      </c>
      <c r="F2032" s="6">
        <f>IFERROR(__xludf.DUMMYFUNCTION("""COMPUTED_VALUE"""),2.0)</f>
        <v>2</v>
      </c>
      <c r="G2032" s="6">
        <f>IFERROR(__xludf.DUMMYFUNCTION("""COMPUTED_VALUE"""),2.0)</f>
        <v>2</v>
      </c>
    </row>
    <row r="2033">
      <c r="A2033" s="6">
        <f>IFERROR(__xludf.DUMMYFUNCTION("""COMPUTED_VALUE"""),2023.0)</f>
        <v>2023</v>
      </c>
      <c r="B2033" s="6" t="str">
        <f>IFERROR(__xludf.DUMMYFUNCTION("""COMPUTED_VALUE"""),"Abril")</f>
        <v>Abril</v>
      </c>
      <c r="C2033" s="6" t="str">
        <f>IFERROR(__xludf.DUMMYFUNCTION("""COMPUTED_VALUE"""),"HOMICÍDIO DOLOSO (exclui FEMINICÍDIO)")</f>
        <v>HOMICÍDIO DOLOSO (exclui FEMINICÍDIO)</v>
      </c>
      <c r="D2033" s="6">
        <f>IFERROR(__xludf.DUMMYFUNCTION("""COMPUTED_VALUE"""),1.0)</f>
        <v>1</v>
      </c>
      <c r="E2033" s="6">
        <f>IFERROR(__xludf.DUMMYFUNCTION("""COMPUTED_VALUE"""),0.0)</f>
        <v>0</v>
      </c>
      <c r="F2033" s="6">
        <f>IFERROR(__xludf.DUMMYFUNCTION("""COMPUTED_VALUE"""),2.0)</f>
        <v>2</v>
      </c>
      <c r="G2033" s="6">
        <f>IFERROR(__xludf.DUMMYFUNCTION("""COMPUTED_VALUE"""),3.0)</f>
        <v>3</v>
      </c>
    </row>
    <row r="2034">
      <c r="A2034" s="6">
        <f>IFERROR(__xludf.DUMMYFUNCTION("""COMPUTED_VALUE"""),2023.0)</f>
        <v>2023</v>
      </c>
      <c r="B2034" s="6" t="str">
        <f>IFERROR(__xludf.DUMMYFUNCTION("""COMPUTED_VALUE"""),"Abril")</f>
        <v>Abril</v>
      </c>
      <c r="C2034" s="6" t="str">
        <f>IFERROR(__xludf.DUMMYFUNCTION("""COMPUTED_VALUE"""),"FEMINICÍDIO")</f>
        <v>FEMINICÍDIO</v>
      </c>
      <c r="D2034" s="6">
        <f>IFERROR(__xludf.DUMMYFUNCTION("""COMPUTED_VALUE"""),3.0)</f>
        <v>3</v>
      </c>
      <c r="E2034" s="6">
        <f>IFERROR(__xludf.DUMMYFUNCTION("""COMPUTED_VALUE"""),3.0)</f>
        <v>3</v>
      </c>
      <c r="F2034" s="6">
        <f>IFERROR(__xludf.DUMMYFUNCTION("""COMPUTED_VALUE"""),6.0)</f>
        <v>6</v>
      </c>
      <c r="G2034" s="6">
        <f>IFERROR(__xludf.DUMMYFUNCTION("""COMPUTED_VALUE"""),12.0)</f>
        <v>12</v>
      </c>
    </row>
    <row r="2035">
      <c r="A2035" s="6">
        <f>IFERROR(__xludf.DUMMYFUNCTION("""COMPUTED_VALUE"""),2023.0)</f>
        <v>2023</v>
      </c>
      <c r="B2035" s="6" t="str">
        <f>IFERROR(__xludf.DUMMYFUNCTION("""COMPUTED_VALUE"""),"Abril")</f>
        <v>Abril</v>
      </c>
      <c r="C2035" s="6" t="str">
        <f>IFERROR(__xludf.DUMMYFUNCTION("""COMPUTED_VALUE"""),"HOMICÍDIO CULPOSO")</f>
        <v>HOMICÍDIO CULPOSO</v>
      </c>
      <c r="D2035" s="6">
        <f>IFERROR(__xludf.DUMMYFUNCTION("""COMPUTED_VALUE"""),0.0)</f>
        <v>0</v>
      </c>
      <c r="E2035" s="6">
        <f>IFERROR(__xludf.DUMMYFUNCTION("""COMPUTED_VALUE"""),0.0)</f>
        <v>0</v>
      </c>
      <c r="F2035" s="6">
        <f>IFERROR(__xludf.DUMMYFUNCTION("""COMPUTED_VALUE"""),0.0)</f>
        <v>0</v>
      </c>
      <c r="G2035" s="6">
        <f>IFERROR(__xludf.DUMMYFUNCTION("""COMPUTED_VALUE"""),0.0)</f>
        <v>0</v>
      </c>
    </row>
    <row r="2036">
      <c r="A2036" s="6">
        <f>IFERROR(__xludf.DUMMYFUNCTION("""COMPUTED_VALUE"""),2023.0)</f>
        <v>2023</v>
      </c>
      <c r="B2036" s="6" t="str">
        <f>IFERROR(__xludf.DUMMYFUNCTION("""COMPUTED_VALUE"""),"Abril")</f>
        <v>Abril</v>
      </c>
      <c r="C2036" s="6" t="str">
        <f>IFERROR(__xludf.DUMMYFUNCTION("""COMPUTED_VALUE"""),"TENTATIVA DE HOMICÍDIO")</f>
        <v>TENTATIVA DE HOMICÍDIO</v>
      </c>
      <c r="D2036" s="6">
        <f>IFERROR(__xludf.DUMMYFUNCTION("""COMPUTED_VALUE"""),1.0)</f>
        <v>1</v>
      </c>
      <c r="E2036" s="6">
        <f>IFERROR(__xludf.DUMMYFUNCTION("""COMPUTED_VALUE"""),1.0)</f>
        <v>1</v>
      </c>
      <c r="F2036" s="6">
        <f>IFERROR(__xludf.DUMMYFUNCTION("""COMPUTED_VALUE"""),11.0)</f>
        <v>11</v>
      </c>
      <c r="G2036" s="6">
        <f>IFERROR(__xludf.DUMMYFUNCTION("""COMPUTED_VALUE"""),13.0)</f>
        <v>13</v>
      </c>
    </row>
    <row r="2037">
      <c r="A2037" s="6">
        <f>IFERROR(__xludf.DUMMYFUNCTION("""COMPUTED_VALUE"""),2023.0)</f>
        <v>2023</v>
      </c>
      <c r="B2037" s="6" t="str">
        <f>IFERROR(__xludf.DUMMYFUNCTION("""COMPUTED_VALUE"""),"Abril")</f>
        <v>Abril</v>
      </c>
      <c r="C2037" s="6" t="str">
        <f>IFERROR(__xludf.DUMMYFUNCTION("""COMPUTED_VALUE"""),"LESÃO CORPORAL DOLOSA")</f>
        <v>LESÃO CORPORAL DOLOSA</v>
      </c>
      <c r="D2037" s="6">
        <f>IFERROR(__xludf.DUMMYFUNCTION("""COMPUTED_VALUE"""),912.0)</f>
        <v>912</v>
      </c>
      <c r="E2037" s="6">
        <f>IFERROR(__xludf.DUMMYFUNCTION("""COMPUTED_VALUE"""),784.0)</f>
        <v>784</v>
      </c>
      <c r="F2037" s="6">
        <f>IFERROR(__xludf.DUMMYFUNCTION("""COMPUTED_VALUE"""),2814.0)</f>
        <v>2814</v>
      </c>
      <c r="G2037" s="6">
        <f>IFERROR(__xludf.DUMMYFUNCTION("""COMPUTED_VALUE"""),4510.0)</f>
        <v>4510</v>
      </c>
    </row>
    <row r="2038">
      <c r="A2038" s="6">
        <f>IFERROR(__xludf.DUMMYFUNCTION("""COMPUTED_VALUE"""),2023.0)</f>
        <v>2023</v>
      </c>
      <c r="B2038" s="6" t="str">
        <f>IFERROR(__xludf.DUMMYFUNCTION("""COMPUTED_VALUE"""),"Abril")</f>
        <v>Abril</v>
      </c>
      <c r="C2038" s="6" t="str">
        <f>IFERROR(__xludf.DUMMYFUNCTION("""COMPUTED_VALUE"""),"MAUS TRATOS")</f>
        <v>MAUS TRATOS</v>
      </c>
      <c r="D2038" s="6">
        <f>IFERROR(__xludf.DUMMYFUNCTION("""COMPUTED_VALUE"""),2.0)</f>
        <v>2</v>
      </c>
      <c r="E2038" s="6">
        <f>IFERROR(__xludf.DUMMYFUNCTION("""COMPUTED_VALUE"""),2.0)</f>
        <v>2</v>
      </c>
      <c r="F2038" s="6">
        <f>IFERROR(__xludf.DUMMYFUNCTION("""COMPUTED_VALUE"""),14.0)</f>
        <v>14</v>
      </c>
      <c r="G2038" s="6">
        <f>IFERROR(__xludf.DUMMYFUNCTION("""COMPUTED_VALUE"""),18.0)</f>
        <v>18</v>
      </c>
    </row>
    <row r="2039">
      <c r="A2039" s="6">
        <f>IFERROR(__xludf.DUMMYFUNCTION("""COMPUTED_VALUE"""),2023.0)</f>
        <v>2023</v>
      </c>
      <c r="B2039" s="6" t="str">
        <f>IFERROR(__xludf.DUMMYFUNCTION("""COMPUTED_VALUE"""),"Abril")</f>
        <v>Abril</v>
      </c>
      <c r="C2039" s="6" t="str">
        <f>IFERROR(__xludf.DUMMYFUNCTION("""COMPUTED_VALUE"""),"CALÚNIA - DIFAMAÇÃO - INJÚRIA")</f>
        <v>CALÚNIA - DIFAMAÇÃO - INJÚRIA</v>
      </c>
      <c r="D2039" s="6">
        <f>IFERROR(__xludf.DUMMYFUNCTION("""COMPUTED_VALUE"""),178.0)</f>
        <v>178</v>
      </c>
      <c r="E2039" s="6">
        <f>IFERROR(__xludf.DUMMYFUNCTION("""COMPUTED_VALUE"""),151.0)</f>
        <v>151</v>
      </c>
      <c r="F2039" s="6">
        <f>IFERROR(__xludf.DUMMYFUNCTION("""COMPUTED_VALUE"""),654.0)</f>
        <v>654</v>
      </c>
      <c r="G2039" s="6">
        <f>IFERROR(__xludf.DUMMYFUNCTION("""COMPUTED_VALUE"""),983.0)</f>
        <v>983</v>
      </c>
    </row>
    <row r="2040">
      <c r="A2040" s="6">
        <f>IFERROR(__xludf.DUMMYFUNCTION("""COMPUTED_VALUE"""),2023.0)</f>
        <v>2023</v>
      </c>
      <c r="B2040" s="6" t="str">
        <f>IFERROR(__xludf.DUMMYFUNCTION("""COMPUTED_VALUE"""),"Abril")</f>
        <v>Abril</v>
      </c>
      <c r="C2040" s="6" t="str">
        <f>IFERROR(__xludf.DUMMYFUNCTION("""COMPUTED_VALUE"""),"CONSTRANGIMENTO ILEGAL")</f>
        <v>CONSTRANGIMENTO ILEGAL</v>
      </c>
      <c r="D2040" s="6">
        <f>IFERROR(__xludf.DUMMYFUNCTION("""COMPUTED_VALUE"""),1.0)</f>
        <v>1</v>
      </c>
      <c r="E2040" s="6">
        <f>IFERROR(__xludf.DUMMYFUNCTION("""COMPUTED_VALUE"""),0.0)</f>
        <v>0</v>
      </c>
      <c r="F2040" s="6">
        <f>IFERROR(__xludf.DUMMYFUNCTION("""COMPUTED_VALUE"""),5.0)</f>
        <v>5</v>
      </c>
      <c r="G2040" s="6">
        <f>IFERROR(__xludf.DUMMYFUNCTION("""COMPUTED_VALUE"""),6.0)</f>
        <v>6</v>
      </c>
    </row>
    <row r="2041">
      <c r="A2041" s="6">
        <f>IFERROR(__xludf.DUMMYFUNCTION("""COMPUTED_VALUE"""),2023.0)</f>
        <v>2023</v>
      </c>
      <c r="B2041" s="6" t="str">
        <f>IFERROR(__xludf.DUMMYFUNCTION("""COMPUTED_VALUE"""),"Abril")</f>
        <v>Abril</v>
      </c>
      <c r="C2041" s="6" t="str">
        <f>IFERROR(__xludf.DUMMYFUNCTION("""COMPUTED_VALUE"""),"AMEAÇA")</f>
        <v>AMEAÇA</v>
      </c>
      <c r="D2041" s="6">
        <f>IFERROR(__xludf.DUMMYFUNCTION("""COMPUTED_VALUE"""),842.0)</f>
        <v>842</v>
      </c>
      <c r="E2041" s="6">
        <f>IFERROR(__xludf.DUMMYFUNCTION("""COMPUTED_VALUE"""),771.0)</f>
        <v>771</v>
      </c>
      <c r="F2041" s="6">
        <f>IFERROR(__xludf.DUMMYFUNCTION("""COMPUTED_VALUE"""),2884.0)</f>
        <v>2884</v>
      </c>
      <c r="G2041" s="6">
        <f>IFERROR(__xludf.DUMMYFUNCTION("""COMPUTED_VALUE"""),4497.0)</f>
        <v>4497</v>
      </c>
    </row>
    <row r="2042">
      <c r="A2042" s="6">
        <f>IFERROR(__xludf.DUMMYFUNCTION("""COMPUTED_VALUE"""),2023.0)</f>
        <v>2023</v>
      </c>
      <c r="B2042" s="6" t="str">
        <f>IFERROR(__xludf.DUMMYFUNCTION("""COMPUTED_VALUE"""),"Abril")</f>
        <v>Abril</v>
      </c>
      <c r="C2042" s="6" t="str">
        <f>IFERROR(__xludf.DUMMYFUNCTION("""COMPUTED_VALUE"""),"INVASÃO DE DOMICÍLIO")</f>
        <v>INVASÃO DE DOMICÍLIO</v>
      </c>
      <c r="D2042" s="6">
        <f>IFERROR(__xludf.DUMMYFUNCTION("""COMPUTED_VALUE"""),1.0)</f>
        <v>1</v>
      </c>
      <c r="E2042" s="6">
        <f>IFERROR(__xludf.DUMMYFUNCTION("""COMPUTED_VALUE"""),1.0)</f>
        <v>1</v>
      </c>
      <c r="F2042" s="6">
        <f>IFERROR(__xludf.DUMMYFUNCTION("""COMPUTED_VALUE"""),11.0)</f>
        <v>11</v>
      </c>
      <c r="G2042" s="6">
        <f>IFERROR(__xludf.DUMMYFUNCTION("""COMPUTED_VALUE"""),13.0)</f>
        <v>13</v>
      </c>
    </row>
    <row r="2043">
      <c r="A2043" s="6">
        <f>IFERROR(__xludf.DUMMYFUNCTION("""COMPUTED_VALUE"""),2023.0)</f>
        <v>2023</v>
      </c>
      <c r="B2043" s="6" t="str">
        <f>IFERROR(__xludf.DUMMYFUNCTION("""COMPUTED_VALUE"""),"Abril")</f>
        <v>Abril</v>
      </c>
      <c r="C2043" s="6" t="str">
        <f>IFERROR(__xludf.DUMMYFUNCTION("""COMPUTED_VALUE"""),"DANO")</f>
        <v>DANO</v>
      </c>
      <c r="D2043" s="6">
        <f>IFERROR(__xludf.DUMMYFUNCTION("""COMPUTED_VALUE"""),9.0)</f>
        <v>9</v>
      </c>
      <c r="E2043" s="6">
        <f>IFERROR(__xludf.DUMMYFUNCTION("""COMPUTED_VALUE"""),9.0)</f>
        <v>9</v>
      </c>
      <c r="F2043" s="6">
        <f>IFERROR(__xludf.DUMMYFUNCTION("""COMPUTED_VALUE"""),51.0)</f>
        <v>51</v>
      </c>
      <c r="G2043" s="6">
        <f>IFERROR(__xludf.DUMMYFUNCTION("""COMPUTED_VALUE"""),69.0)</f>
        <v>69</v>
      </c>
    </row>
    <row r="2044">
      <c r="A2044" s="6">
        <f>IFERROR(__xludf.DUMMYFUNCTION("""COMPUTED_VALUE"""),2023.0)</f>
        <v>2023</v>
      </c>
      <c r="B2044" s="6" t="str">
        <f>IFERROR(__xludf.DUMMYFUNCTION("""COMPUTED_VALUE"""),"Abril")</f>
        <v>Abril</v>
      </c>
      <c r="C2044" s="6" t="str">
        <f>IFERROR(__xludf.DUMMYFUNCTION("""COMPUTED_VALUE"""),"ESTUPRO CONSUMADO")</f>
        <v>ESTUPRO CONSUMADO</v>
      </c>
      <c r="D2044" s="6">
        <f>IFERROR(__xludf.DUMMYFUNCTION("""COMPUTED_VALUE"""),9.0)</f>
        <v>9</v>
      </c>
      <c r="E2044" s="6">
        <f>IFERROR(__xludf.DUMMYFUNCTION("""COMPUTED_VALUE"""),6.0)</f>
        <v>6</v>
      </c>
      <c r="F2044" s="6">
        <f>IFERROR(__xludf.DUMMYFUNCTION("""COMPUTED_VALUE"""),16.0)</f>
        <v>16</v>
      </c>
      <c r="G2044" s="6">
        <f>IFERROR(__xludf.DUMMYFUNCTION("""COMPUTED_VALUE"""),31.0)</f>
        <v>31</v>
      </c>
    </row>
    <row r="2045">
      <c r="A2045" s="6">
        <f>IFERROR(__xludf.DUMMYFUNCTION("""COMPUTED_VALUE"""),2023.0)</f>
        <v>2023</v>
      </c>
      <c r="B2045" s="6" t="str">
        <f>IFERROR(__xludf.DUMMYFUNCTION("""COMPUTED_VALUE"""),"Abril")</f>
        <v>Abril</v>
      </c>
      <c r="C2045" s="6" t="str">
        <f>IFERROR(__xludf.DUMMYFUNCTION("""COMPUTED_VALUE"""),"ESTUPRO TENTADO")</f>
        <v>ESTUPRO TENTADO</v>
      </c>
      <c r="D2045" s="6">
        <f>IFERROR(__xludf.DUMMYFUNCTION("""COMPUTED_VALUE"""),0.0)</f>
        <v>0</v>
      </c>
      <c r="E2045" s="6">
        <f>IFERROR(__xludf.DUMMYFUNCTION("""COMPUTED_VALUE"""),0.0)</f>
        <v>0</v>
      </c>
      <c r="F2045" s="6">
        <f>IFERROR(__xludf.DUMMYFUNCTION("""COMPUTED_VALUE"""),1.0)</f>
        <v>1</v>
      </c>
      <c r="G2045" s="6">
        <f>IFERROR(__xludf.DUMMYFUNCTION("""COMPUTED_VALUE"""),1.0)</f>
        <v>1</v>
      </c>
    </row>
    <row r="2046">
      <c r="A2046" s="6">
        <f>IFERROR(__xludf.DUMMYFUNCTION("""COMPUTED_VALUE"""),2023.0)</f>
        <v>2023</v>
      </c>
      <c r="B2046" s="6" t="str">
        <f>IFERROR(__xludf.DUMMYFUNCTION("""COMPUTED_VALUE"""),"Abril")</f>
        <v>Abril</v>
      </c>
      <c r="C2046" s="6" t="str">
        <f>IFERROR(__xludf.DUMMYFUNCTION("""COMPUTED_VALUE"""),"ESTUPRO DE VULNERÁVEL CONSUMADO")</f>
        <v>ESTUPRO DE VULNERÁVEL CONSUMADO</v>
      </c>
      <c r="D2046" s="6">
        <f>IFERROR(__xludf.DUMMYFUNCTION("""COMPUTED_VALUE"""),2.0)</f>
        <v>2</v>
      </c>
      <c r="E2046" s="6">
        <f>IFERROR(__xludf.DUMMYFUNCTION("""COMPUTED_VALUE"""),3.0)</f>
        <v>3</v>
      </c>
      <c r="F2046" s="6">
        <f>IFERROR(__xludf.DUMMYFUNCTION("""COMPUTED_VALUE"""),15.0)</f>
        <v>15</v>
      </c>
      <c r="G2046" s="6">
        <f>IFERROR(__xludf.DUMMYFUNCTION("""COMPUTED_VALUE"""),20.0)</f>
        <v>20</v>
      </c>
    </row>
    <row r="2047">
      <c r="A2047" s="6">
        <f>IFERROR(__xludf.DUMMYFUNCTION("""COMPUTED_VALUE"""),2023.0)</f>
        <v>2023</v>
      </c>
      <c r="B2047" s="6" t="str">
        <f>IFERROR(__xludf.DUMMYFUNCTION("""COMPUTED_VALUE"""),"Abril")</f>
        <v>Abril</v>
      </c>
      <c r="C2047" s="6" t="str">
        <f>IFERROR(__xludf.DUMMYFUNCTION("""COMPUTED_VALUE"""),"OUTROS C/C/ DIGNIDADE SEXUAL")</f>
        <v>OUTROS C/C/ DIGNIDADE SEXUAL</v>
      </c>
      <c r="D2047" s="6">
        <f>IFERROR(__xludf.DUMMYFUNCTION("""COMPUTED_VALUE"""),0.0)</f>
        <v>0</v>
      </c>
      <c r="E2047" s="6">
        <f>IFERROR(__xludf.DUMMYFUNCTION("""COMPUTED_VALUE"""),0.0)</f>
        <v>0</v>
      </c>
      <c r="F2047" s="6">
        <f>IFERROR(__xludf.DUMMYFUNCTION("""COMPUTED_VALUE"""),1.0)</f>
        <v>1</v>
      </c>
      <c r="G2047" s="6">
        <f>IFERROR(__xludf.DUMMYFUNCTION("""COMPUTED_VALUE"""),1.0)</f>
        <v>1</v>
      </c>
    </row>
    <row r="2048">
      <c r="A2048" s="6">
        <f>IFERROR(__xludf.DUMMYFUNCTION("""COMPUTED_VALUE"""),2023.0)</f>
        <v>2023</v>
      </c>
      <c r="B2048" s="6" t="str">
        <f>IFERROR(__xludf.DUMMYFUNCTION("""COMPUTED_VALUE"""),"Maio")</f>
        <v>Maio</v>
      </c>
      <c r="C2048" s="6" t="str">
        <f>IFERROR(__xludf.DUMMYFUNCTION("""COMPUTED_VALUE"""),"HOMICÍDIO DOLOSO (exclui FEMINICÍDIO)")</f>
        <v>HOMICÍDIO DOLOSO (exclui FEMINICÍDIO)</v>
      </c>
      <c r="D2048" s="6">
        <f>IFERROR(__xludf.DUMMYFUNCTION("""COMPUTED_VALUE"""),2.0)</f>
        <v>2</v>
      </c>
      <c r="E2048" s="6">
        <f>IFERROR(__xludf.DUMMYFUNCTION("""COMPUTED_VALUE"""),1.0)</f>
        <v>1</v>
      </c>
      <c r="F2048" s="6">
        <f>IFERROR(__xludf.DUMMYFUNCTION("""COMPUTED_VALUE"""),3.0)</f>
        <v>3</v>
      </c>
      <c r="G2048" s="6">
        <f>IFERROR(__xludf.DUMMYFUNCTION("""COMPUTED_VALUE"""),6.0)</f>
        <v>6</v>
      </c>
    </row>
    <row r="2049">
      <c r="A2049" s="6">
        <f>IFERROR(__xludf.DUMMYFUNCTION("""COMPUTED_VALUE"""),2023.0)</f>
        <v>2023</v>
      </c>
      <c r="B2049" s="6" t="str">
        <f>IFERROR(__xludf.DUMMYFUNCTION("""COMPUTED_VALUE"""),"Maio")</f>
        <v>Maio</v>
      </c>
      <c r="C2049" s="6" t="str">
        <f>IFERROR(__xludf.DUMMYFUNCTION("""COMPUTED_VALUE"""),"FEMINICÍDIO")</f>
        <v>FEMINICÍDIO</v>
      </c>
      <c r="D2049" s="6">
        <f>IFERROR(__xludf.DUMMYFUNCTION("""COMPUTED_VALUE"""),4.0)</f>
        <v>4</v>
      </c>
      <c r="E2049" s="6">
        <f>IFERROR(__xludf.DUMMYFUNCTION("""COMPUTED_VALUE"""),4.0)</f>
        <v>4</v>
      </c>
      <c r="F2049" s="6">
        <f>IFERROR(__xludf.DUMMYFUNCTION("""COMPUTED_VALUE"""),8.0)</f>
        <v>8</v>
      </c>
      <c r="G2049" s="6">
        <f>IFERROR(__xludf.DUMMYFUNCTION("""COMPUTED_VALUE"""),16.0)</f>
        <v>16</v>
      </c>
    </row>
    <row r="2050">
      <c r="A2050" s="6">
        <f>IFERROR(__xludf.DUMMYFUNCTION("""COMPUTED_VALUE"""),2023.0)</f>
        <v>2023</v>
      </c>
      <c r="B2050" s="6" t="str">
        <f>IFERROR(__xludf.DUMMYFUNCTION("""COMPUTED_VALUE"""),"Maio")</f>
        <v>Maio</v>
      </c>
      <c r="C2050" s="6" t="str">
        <f>IFERROR(__xludf.DUMMYFUNCTION("""COMPUTED_VALUE"""),"HOMICÍDIO CULPOSO")</f>
        <v>HOMICÍDIO CULPOSO</v>
      </c>
      <c r="D2050" s="6">
        <f>IFERROR(__xludf.DUMMYFUNCTION("""COMPUTED_VALUE"""),0.0)</f>
        <v>0</v>
      </c>
      <c r="E2050" s="6">
        <f>IFERROR(__xludf.DUMMYFUNCTION("""COMPUTED_VALUE"""),0.0)</f>
        <v>0</v>
      </c>
      <c r="F2050" s="6">
        <f>IFERROR(__xludf.DUMMYFUNCTION("""COMPUTED_VALUE"""),0.0)</f>
        <v>0</v>
      </c>
      <c r="G2050" s="6">
        <f>IFERROR(__xludf.DUMMYFUNCTION("""COMPUTED_VALUE"""),0.0)</f>
        <v>0</v>
      </c>
    </row>
    <row r="2051">
      <c r="A2051" s="6">
        <f>IFERROR(__xludf.DUMMYFUNCTION("""COMPUTED_VALUE"""),2023.0)</f>
        <v>2023</v>
      </c>
      <c r="B2051" s="6" t="str">
        <f>IFERROR(__xludf.DUMMYFUNCTION("""COMPUTED_VALUE"""),"Maio")</f>
        <v>Maio</v>
      </c>
      <c r="C2051" s="6" t="str">
        <f>IFERROR(__xludf.DUMMYFUNCTION("""COMPUTED_VALUE"""),"TENTATIVA DE HOMICÍDIO")</f>
        <v>TENTATIVA DE HOMICÍDIO</v>
      </c>
      <c r="D2051" s="6">
        <f>IFERROR(__xludf.DUMMYFUNCTION("""COMPUTED_VALUE"""),2.0)</f>
        <v>2</v>
      </c>
      <c r="E2051" s="6">
        <f>IFERROR(__xludf.DUMMYFUNCTION("""COMPUTED_VALUE"""),2.0)</f>
        <v>2</v>
      </c>
      <c r="F2051" s="6">
        <f>IFERROR(__xludf.DUMMYFUNCTION("""COMPUTED_VALUE"""),13.0)</f>
        <v>13</v>
      </c>
      <c r="G2051" s="6">
        <f>IFERROR(__xludf.DUMMYFUNCTION("""COMPUTED_VALUE"""),17.0)</f>
        <v>17</v>
      </c>
    </row>
    <row r="2052">
      <c r="A2052" s="6">
        <f>IFERROR(__xludf.DUMMYFUNCTION("""COMPUTED_VALUE"""),2023.0)</f>
        <v>2023</v>
      </c>
      <c r="B2052" s="6" t="str">
        <f>IFERROR(__xludf.DUMMYFUNCTION("""COMPUTED_VALUE"""),"Maio")</f>
        <v>Maio</v>
      </c>
      <c r="C2052" s="6" t="str">
        <f>IFERROR(__xludf.DUMMYFUNCTION("""COMPUTED_VALUE"""),"LESÃO CORPORAL DOLOSA")</f>
        <v>LESÃO CORPORAL DOLOSA</v>
      </c>
      <c r="D2052" s="6">
        <f>IFERROR(__xludf.DUMMYFUNCTION("""COMPUTED_VALUE"""),1014.0)</f>
        <v>1014</v>
      </c>
      <c r="E2052" s="6">
        <f>IFERROR(__xludf.DUMMYFUNCTION("""COMPUTED_VALUE"""),864.0)</f>
        <v>864</v>
      </c>
      <c r="F2052" s="6">
        <f>IFERROR(__xludf.DUMMYFUNCTION("""COMPUTED_VALUE"""),3118.0)</f>
        <v>3118</v>
      </c>
      <c r="G2052" s="6">
        <f>IFERROR(__xludf.DUMMYFUNCTION("""COMPUTED_VALUE"""),4996.0)</f>
        <v>4996</v>
      </c>
    </row>
    <row r="2053">
      <c r="A2053" s="6">
        <f>IFERROR(__xludf.DUMMYFUNCTION("""COMPUTED_VALUE"""),2023.0)</f>
        <v>2023</v>
      </c>
      <c r="B2053" s="6" t="str">
        <f>IFERROR(__xludf.DUMMYFUNCTION("""COMPUTED_VALUE"""),"Maio")</f>
        <v>Maio</v>
      </c>
      <c r="C2053" s="6" t="str">
        <f>IFERROR(__xludf.DUMMYFUNCTION("""COMPUTED_VALUE"""),"MAUS TRATOS")</f>
        <v>MAUS TRATOS</v>
      </c>
      <c r="D2053" s="6">
        <f>IFERROR(__xludf.DUMMYFUNCTION("""COMPUTED_VALUE"""),3.0)</f>
        <v>3</v>
      </c>
      <c r="E2053" s="6">
        <f>IFERROR(__xludf.DUMMYFUNCTION("""COMPUTED_VALUE"""),2.0)</f>
        <v>2</v>
      </c>
      <c r="F2053" s="6">
        <f>IFERROR(__xludf.DUMMYFUNCTION("""COMPUTED_VALUE"""),18.0)</f>
        <v>18</v>
      </c>
      <c r="G2053" s="6">
        <f>IFERROR(__xludf.DUMMYFUNCTION("""COMPUTED_VALUE"""),23.0)</f>
        <v>23</v>
      </c>
    </row>
    <row r="2054">
      <c r="A2054" s="6">
        <f>IFERROR(__xludf.DUMMYFUNCTION("""COMPUTED_VALUE"""),2023.0)</f>
        <v>2023</v>
      </c>
      <c r="B2054" s="6" t="str">
        <f>IFERROR(__xludf.DUMMYFUNCTION("""COMPUTED_VALUE"""),"Maio")</f>
        <v>Maio</v>
      </c>
      <c r="C2054" s="6" t="str">
        <f>IFERROR(__xludf.DUMMYFUNCTION("""COMPUTED_VALUE"""),"CALÚNIA - DIFAMAÇÃO - INJÚRIA")</f>
        <v>CALÚNIA - DIFAMAÇÃO - INJÚRIA</v>
      </c>
      <c r="D2054" s="6">
        <f>IFERROR(__xludf.DUMMYFUNCTION("""COMPUTED_VALUE"""),198.0)</f>
        <v>198</v>
      </c>
      <c r="E2054" s="6">
        <f>IFERROR(__xludf.DUMMYFUNCTION("""COMPUTED_VALUE"""),168.0)</f>
        <v>168</v>
      </c>
      <c r="F2054" s="6">
        <f>IFERROR(__xludf.DUMMYFUNCTION("""COMPUTED_VALUE"""),724.0)</f>
        <v>724</v>
      </c>
      <c r="G2054" s="6">
        <f>IFERROR(__xludf.DUMMYFUNCTION("""COMPUTED_VALUE"""),1090.0)</f>
        <v>1090</v>
      </c>
    </row>
    <row r="2055">
      <c r="A2055" s="6">
        <f>IFERROR(__xludf.DUMMYFUNCTION("""COMPUTED_VALUE"""),2023.0)</f>
        <v>2023</v>
      </c>
      <c r="B2055" s="6" t="str">
        <f>IFERROR(__xludf.DUMMYFUNCTION("""COMPUTED_VALUE"""),"Maio")</f>
        <v>Maio</v>
      </c>
      <c r="C2055" s="6" t="str">
        <f>IFERROR(__xludf.DUMMYFUNCTION("""COMPUTED_VALUE"""),"CONSTRANGIMENTO ILEGAL")</f>
        <v>CONSTRANGIMENTO ILEGAL</v>
      </c>
      <c r="D2055" s="6">
        <f>IFERROR(__xludf.DUMMYFUNCTION("""COMPUTED_VALUE"""),1.0)</f>
        <v>1</v>
      </c>
      <c r="E2055" s="6">
        <f>IFERROR(__xludf.DUMMYFUNCTION("""COMPUTED_VALUE"""),1.0)</f>
        <v>1</v>
      </c>
      <c r="F2055" s="6">
        <f>IFERROR(__xludf.DUMMYFUNCTION("""COMPUTED_VALUE"""),7.0)</f>
        <v>7</v>
      </c>
      <c r="G2055" s="6">
        <f>IFERROR(__xludf.DUMMYFUNCTION("""COMPUTED_VALUE"""),9.0)</f>
        <v>9</v>
      </c>
    </row>
    <row r="2056">
      <c r="A2056" s="6">
        <f>IFERROR(__xludf.DUMMYFUNCTION("""COMPUTED_VALUE"""),2023.0)</f>
        <v>2023</v>
      </c>
      <c r="B2056" s="6" t="str">
        <f>IFERROR(__xludf.DUMMYFUNCTION("""COMPUTED_VALUE"""),"Maio")</f>
        <v>Maio</v>
      </c>
      <c r="C2056" s="6" t="str">
        <f>IFERROR(__xludf.DUMMYFUNCTION("""COMPUTED_VALUE"""),"AMEAÇA")</f>
        <v>AMEAÇA</v>
      </c>
      <c r="D2056" s="6">
        <f>IFERROR(__xludf.DUMMYFUNCTION("""COMPUTED_VALUE"""),948.0)</f>
        <v>948</v>
      </c>
      <c r="E2056" s="6">
        <f>IFERROR(__xludf.DUMMYFUNCTION("""COMPUTED_VALUE"""),852.0)</f>
        <v>852</v>
      </c>
      <c r="F2056" s="6">
        <f>IFERROR(__xludf.DUMMYFUNCTION("""COMPUTED_VALUE"""),3214.0)</f>
        <v>3214</v>
      </c>
      <c r="G2056" s="6">
        <f>IFERROR(__xludf.DUMMYFUNCTION("""COMPUTED_VALUE"""),5014.0)</f>
        <v>5014</v>
      </c>
    </row>
    <row r="2057">
      <c r="A2057" s="6">
        <f>IFERROR(__xludf.DUMMYFUNCTION("""COMPUTED_VALUE"""),2023.0)</f>
        <v>2023</v>
      </c>
      <c r="B2057" s="6" t="str">
        <f>IFERROR(__xludf.DUMMYFUNCTION("""COMPUTED_VALUE"""),"Maio")</f>
        <v>Maio</v>
      </c>
      <c r="C2057" s="6" t="str">
        <f>IFERROR(__xludf.DUMMYFUNCTION("""COMPUTED_VALUE"""),"INVASÃO DE DOMICÍLIO")</f>
        <v>INVASÃO DE DOMICÍLIO</v>
      </c>
      <c r="D2057" s="6">
        <f>IFERROR(__xludf.DUMMYFUNCTION("""COMPUTED_VALUE"""),1.0)</f>
        <v>1</v>
      </c>
      <c r="E2057" s="6">
        <f>IFERROR(__xludf.DUMMYFUNCTION("""COMPUTED_VALUE"""),2.0)</f>
        <v>2</v>
      </c>
      <c r="F2057" s="6">
        <f>IFERROR(__xludf.DUMMYFUNCTION("""COMPUTED_VALUE"""),13.0)</f>
        <v>13</v>
      </c>
      <c r="G2057" s="6">
        <f>IFERROR(__xludf.DUMMYFUNCTION("""COMPUTED_VALUE"""),16.0)</f>
        <v>16</v>
      </c>
    </row>
    <row r="2058">
      <c r="A2058" s="6">
        <f>IFERROR(__xludf.DUMMYFUNCTION("""COMPUTED_VALUE"""),2023.0)</f>
        <v>2023</v>
      </c>
      <c r="B2058" s="6" t="str">
        <f>IFERROR(__xludf.DUMMYFUNCTION("""COMPUTED_VALUE"""),"Maio")</f>
        <v>Maio</v>
      </c>
      <c r="C2058" s="6" t="str">
        <f>IFERROR(__xludf.DUMMYFUNCTION("""COMPUTED_VALUE"""),"DANO")</f>
        <v>DANO</v>
      </c>
      <c r="D2058" s="6">
        <f>IFERROR(__xludf.DUMMYFUNCTION("""COMPUTED_VALUE"""),11.0)</f>
        <v>11</v>
      </c>
      <c r="E2058" s="6">
        <f>IFERROR(__xludf.DUMMYFUNCTION("""COMPUTED_VALUE"""),11.0)</f>
        <v>11</v>
      </c>
      <c r="F2058" s="6">
        <f>IFERROR(__xludf.DUMMYFUNCTION("""COMPUTED_VALUE"""),62.0)</f>
        <v>62</v>
      </c>
      <c r="G2058" s="6">
        <f>IFERROR(__xludf.DUMMYFUNCTION("""COMPUTED_VALUE"""),84.0)</f>
        <v>84</v>
      </c>
    </row>
    <row r="2059">
      <c r="A2059" s="6">
        <f>IFERROR(__xludf.DUMMYFUNCTION("""COMPUTED_VALUE"""),2023.0)</f>
        <v>2023</v>
      </c>
      <c r="B2059" s="6" t="str">
        <f>IFERROR(__xludf.DUMMYFUNCTION("""COMPUTED_VALUE"""),"Maio")</f>
        <v>Maio</v>
      </c>
      <c r="C2059" s="6" t="str">
        <f>IFERROR(__xludf.DUMMYFUNCTION("""COMPUTED_VALUE"""),"ESTUPRO CONSUMADO")</f>
        <v>ESTUPRO CONSUMADO</v>
      </c>
      <c r="D2059" s="6">
        <f>IFERROR(__xludf.DUMMYFUNCTION("""COMPUTED_VALUE"""),10.0)</f>
        <v>10</v>
      </c>
      <c r="E2059" s="6">
        <f>IFERROR(__xludf.DUMMYFUNCTION("""COMPUTED_VALUE"""),7.0)</f>
        <v>7</v>
      </c>
      <c r="F2059" s="6">
        <f>IFERROR(__xludf.DUMMYFUNCTION("""COMPUTED_VALUE"""),19.0)</f>
        <v>19</v>
      </c>
      <c r="G2059" s="6">
        <f>IFERROR(__xludf.DUMMYFUNCTION("""COMPUTED_VALUE"""),36.0)</f>
        <v>36</v>
      </c>
    </row>
    <row r="2060">
      <c r="A2060" s="6">
        <f>IFERROR(__xludf.DUMMYFUNCTION("""COMPUTED_VALUE"""),2023.0)</f>
        <v>2023</v>
      </c>
      <c r="B2060" s="6" t="str">
        <f>IFERROR(__xludf.DUMMYFUNCTION("""COMPUTED_VALUE"""),"Maio")</f>
        <v>Maio</v>
      </c>
      <c r="C2060" s="6" t="str">
        <f>IFERROR(__xludf.DUMMYFUNCTION("""COMPUTED_VALUE"""),"ESTUPRO TENTADO")</f>
        <v>ESTUPRO TENTADO</v>
      </c>
      <c r="D2060" s="6">
        <f>IFERROR(__xludf.DUMMYFUNCTION("""COMPUTED_VALUE"""),1.0)</f>
        <v>1</v>
      </c>
      <c r="E2060" s="6">
        <f>IFERROR(__xludf.DUMMYFUNCTION("""COMPUTED_VALUE"""),0.0)</f>
        <v>0</v>
      </c>
      <c r="F2060" s="6">
        <f>IFERROR(__xludf.DUMMYFUNCTION("""COMPUTED_VALUE"""),1.0)</f>
        <v>1</v>
      </c>
      <c r="G2060" s="6">
        <f>IFERROR(__xludf.DUMMYFUNCTION("""COMPUTED_VALUE"""),2.0)</f>
        <v>2</v>
      </c>
    </row>
    <row r="2061">
      <c r="A2061" s="6">
        <f>IFERROR(__xludf.DUMMYFUNCTION("""COMPUTED_VALUE"""),2023.0)</f>
        <v>2023</v>
      </c>
      <c r="B2061" s="6" t="str">
        <f>IFERROR(__xludf.DUMMYFUNCTION("""COMPUTED_VALUE"""),"Maio")</f>
        <v>Maio</v>
      </c>
      <c r="C2061" s="6" t="str">
        <f>IFERROR(__xludf.DUMMYFUNCTION("""COMPUTED_VALUE"""),"ESTUPRO DE VULNERÁVEL CONSUMADO")</f>
        <v>ESTUPRO DE VULNERÁVEL CONSUMADO</v>
      </c>
      <c r="D2061" s="6">
        <f>IFERROR(__xludf.DUMMYFUNCTION("""COMPUTED_VALUE"""),3.0)</f>
        <v>3</v>
      </c>
      <c r="E2061" s="6">
        <f>IFERROR(__xludf.DUMMYFUNCTION("""COMPUTED_VALUE"""),4.0)</f>
        <v>4</v>
      </c>
      <c r="F2061" s="6">
        <f>IFERROR(__xludf.DUMMYFUNCTION("""COMPUTED_VALUE"""),18.0)</f>
        <v>18</v>
      </c>
      <c r="G2061" s="6">
        <f>IFERROR(__xludf.DUMMYFUNCTION("""COMPUTED_VALUE"""),25.0)</f>
        <v>25</v>
      </c>
    </row>
    <row r="2062">
      <c r="A2062" s="6">
        <f>IFERROR(__xludf.DUMMYFUNCTION("""COMPUTED_VALUE"""),2023.0)</f>
        <v>2023</v>
      </c>
      <c r="B2062" s="6" t="str">
        <f>IFERROR(__xludf.DUMMYFUNCTION("""COMPUTED_VALUE"""),"Maio")</f>
        <v>Maio</v>
      </c>
      <c r="C2062" s="6" t="str">
        <f>IFERROR(__xludf.DUMMYFUNCTION("""COMPUTED_VALUE"""),"OUTROS C/C/ DIGNIDADE SEXUAL")</f>
        <v>OUTROS C/C/ DIGNIDADE SEXUAL</v>
      </c>
      <c r="D2062" s="6">
        <f>IFERROR(__xludf.DUMMYFUNCTION("""COMPUTED_VALUE"""),0.0)</f>
        <v>0</v>
      </c>
      <c r="E2062" s="6">
        <f>IFERROR(__xludf.DUMMYFUNCTION("""COMPUTED_VALUE"""),1.0)</f>
        <v>1</v>
      </c>
      <c r="F2062" s="6">
        <f>IFERROR(__xludf.DUMMYFUNCTION("""COMPUTED_VALUE"""),2.0)</f>
        <v>2</v>
      </c>
      <c r="G2062" s="6">
        <f>IFERROR(__xludf.DUMMYFUNCTION("""COMPUTED_VALUE"""),3.0)</f>
        <v>3</v>
      </c>
    </row>
    <row r="2063">
      <c r="A2063" s="6">
        <f>IFERROR(__xludf.DUMMYFUNCTION("""COMPUTED_VALUE"""),2023.0)</f>
        <v>2023</v>
      </c>
      <c r="B2063" s="6" t="str">
        <f>IFERROR(__xludf.DUMMYFUNCTION("""COMPUTED_VALUE"""),"Junho")</f>
        <v>Junho</v>
      </c>
      <c r="C2063" s="6" t="str">
        <f>IFERROR(__xludf.DUMMYFUNCTION("""COMPUTED_VALUE"""),"HOMICÍDIO DOLOSO (exclui FEMINICÍDIO)")</f>
        <v>HOMICÍDIO DOLOSO (exclui FEMINICÍDIO)</v>
      </c>
      <c r="D2063" s="6">
        <f>IFERROR(__xludf.DUMMYFUNCTION("""COMPUTED_VALUE"""),1.0)</f>
        <v>1</v>
      </c>
      <c r="E2063" s="6">
        <f>IFERROR(__xludf.DUMMYFUNCTION("""COMPUTED_VALUE"""),0.0)</f>
        <v>0</v>
      </c>
      <c r="F2063" s="6">
        <f>IFERROR(__xludf.DUMMYFUNCTION("""COMPUTED_VALUE"""),2.0)</f>
        <v>2</v>
      </c>
      <c r="G2063" s="6">
        <f>IFERROR(__xludf.DUMMYFUNCTION("""COMPUTED_VALUE"""),3.0)</f>
        <v>3</v>
      </c>
    </row>
    <row r="2064">
      <c r="A2064" s="6">
        <f>IFERROR(__xludf.DUMMYFUNCTION("""COMPUTED_VALUE"""),2023.0)</f>
        <v>2023</v>
      </c>
      <c r="B2064" s="6" t="str">
        <f>IFERROR(__xludf.DUMMYFUNCTION("""COMPUTED_VALUE"""),"Junho")</f>
        <v>Junho</v>
      </c>
      <c r="C2064" s="6" t="str">
        <f>IFERROR(__xludf.DUMMYFUNCTION("""COMPUTED_VALUE"""),"FEMINICÍDIO")</f>
        <v>FEMINICÍDIO</v>
      </c>
      <c r="D2064" s="6">
        <f>IFERROR(__xludf.DUMMYFUNCTION("""COMPUTED_VALUE"""),3.0)</f>
        <v>3</v>
      </c>
      <c r="E2064" s="6">
        <f>IFERROR(__xludf.DUMMYFUNCTION("""COMPUTED_VALUE"""),3.0)</f>
        <v>3</v>
      </c>
      <c r="F2064" s="6">
        <f>IFERROR(__xludf.DUMMYFUNCTION("""COMPUTED_VALUE"""),6.0)</f>
        <v>6</v>
      </c>
      <c r="G2064" s="6">
        <f>IFERROR(__xludf.DUMMYFUNCTION("""COMPUTED_VALUE"""),12.0)</f>
        <v>12</v>
      </c>
    </row>
    <row r="2065">
      <c r="A2065" s="6">
        <f>IFERROR(__xludf.DUMMYFUNCTION("""COMPUTED_VALUE"""),2023.0)</f>
        <v>2023</v>
      </c>
      <c r="B2065" s="6" t="str">
        <f>IFERROR(__xludf.DUMMYFUNCTION("""COMPUTED_VALUE"""),"Junho")</f>
        <v>Junho</v>
      </c>
      <c r="C2065" s="6" t="str">
        <f>IFERROR(__xludf.DUMMYFUNCTION("""COMPUTED_VALUE"""),"HOMICÍDIO CULPOSO")</f>
        <v>HOMICÍDIO CULPOSO</v>
      </c>
      <c r="D2065" s="6">
        <f>IFERROR(__xludf.DUMMYFUNCTION("""COMPUTED_VALUE"""),0.0)</f>
        <v>0</v>
      </c>
      <c r="E2065" s="6">
        <f>IFERROR(__xludf.DUMMYFUNCTION("""COMPUTED_VALUE"""),0.0)</f>
        <v>0</v>
      </c>
      <c r="F2065" s="6">
        <f>IFERROR(__xludf.DUMMYFUNCTION("""COMPUTED_VALUE"""),0.0)</f>
        <v>0</v>
      </c>
      <c r="G2065" s="6">
        <f>IFERROR(__xludf.DUMMYFUNCTION("""COMPUTED_VALUE"""),0.0)</f>
        <v>0</v>
      </c>
    </row>
    <row r="2066">
      <c r="A2066" s="6">
        <f>IFERROR(__xludf.DUMMYFUNCTION("""COMPUTED_VALUE"""),2023.0)</f>
        <v>2023</v>
      </c>
      <c r="B2066" s="6" t="str">
        <f>IFERROR(__xludf.DUMMYFUNCTION("""COMPUTED_VALUE"""),"Junho")</f>
        <v>Junho</v>
      </c>
      <c r="C2066" s="6" t="str">
        <f>IFERROR(__xludf.DUMMYFUNCTION("""COMPUTED_VALUE"""),"TENTATIVA DE HOMICÍDIO")</f>
        <v>TENTATIVA DE HOMICÍDIO</v>
      </c>
      <c r="D2066" s="6">
        <f>IFERROR(__xludf.DUMMYFUNCTION("""COMPUTED_VALUE"""),1.0)</f>
        <v>1</v>
      </c>
      <c r="E2066" s="6">
        <f>IFERROR(__xludf.DUMMYFUNCTION("""COMPUTED_VALUE"""),2.0)</f>
        <v>2</v>
      </c>
      <c r="F2066" s="6">
        <f>IFERROR(__xludf.DUMMYFUNCTION("""COMPUTED_VALUE"""),11.0)</f>
        <v>11</v>
      </c>
      <c r="G2066" s="6">
        <f>IFERROR(__xludf.DUMMYFUNCTION("""COMPUTED_VALUE"""),14.0)</f>
        <v>14</v>
      </c>
    </row>
    <row r="2067">
      <c r="A2067" s="6">
        <f>IFERROR(__xludf.DUMMYFUNCTION("""COMPUTED_VALUE"""),2023.0)</f>
        <v>2023</v>
      </c>
      <c r="B2067" s="6" t="str">
        <f>IFERROR(__xludf.DUMMYFUNCTION("""COMPUTED_VALUE"""),"Junho")</f>
        <v>Junho</v>
      </c>
      <c r="C2067" s="6" t="str">
        <f>IFERROR(__xludf.DUMMYFUNCTION("""COMPUTED_VALUE"""),"LESÃO CORPORAL DOLOSA")</f>
        <v>LESÃO CORPORAL DOLOSA</v>
      </c>
      <c r="D2067" s="6">
        <f>IFERROR(__xludf.DUMMYFUNCTION("""COMPUTED_VALUE"""),842.0)</f>
        <v>842</v>
      </c>
      <c r="E2067" s="6">
        <f>IFERROR(__xludf.DUMMYFUNCTION("""COMPUTED_VALUE"""),741.0)</f>
        <v>741</v>
      </c>
      <c r="F2067" s="6">
        <f>IFERROR(__xludf.DUMMYFUNCTION("""COMPUTED_VALUE"""),2831.0)</f>
        <v>2831</v>
      </c>
      <c r="G2067" s="6">
        <f>IFERROR(__xludf.DUMMYFUNCTION("""COMPUTED_VALUE"""),4414.0)</f>
        <v>4414</v>
      </c>
    </row>
    <row r="2068">
      <c r="A2068" s="6">
        <f>IFERROR(__xludf.DUMMYFUNCTION("""COMPUTED_VALUE"""),2023.0)</f>
        <v>2023</v>
      </c>
      <c r="B2068" s="6" t="str">
        <f>IFERROR(__xludf.DUMMYFUNCTION("""COMPUTED_VALUE"""),"Junho")</f>
        <v>Junho</v>
      </c>
      <c r="C2068" s="6" t="str">
        <f>IFERROR(__xludf.DUMMYFUNCTION("""COMPUTED_VALUE"""),"MAUS TRATOS")</f>
        <v>MAUS TRATOS</v>
      </c>
      <c r="D2068" s="6">
        <f>IFERROR(__xludf.DUMMYFUNCTION("""COMPUTED_VALUE"""),2.0)</f>
        <v>2</v>
      </c>
      <c r="E2068" s="6">
        <f>IFERROR(__xludf.DUMMYFUNCTION("""COMPUTED_VALUE"""),2.0)</f>
        <v>2</v>
      </c>
      <c r="F2068" s="6">
        <f>IFERROR(__xludf.DUMMYFUNCTION("""COMPUTED_VALUE"""),15.0)</f>
        <v>15</v>
      </c>
      <c r="G2068" s="6">
        <f>IFERROR(__xludf.DUMMYFUNCTION("""COMPUTED_VALUE"""),19.0)</f>
        <v>19</v>
      </c>
    </row>
    <row r="2069">
      <c r="A2069" s="6">
        <f>IFERROR(__xludf.DUMMYFUNCTION("""COMPUTED_VALUE"""),2023.0)</f>
        <v>2023</v>
      </c>
      <c r="B2069" s="6" t="str">
        <f>IFERROR(__xludf.DUMMYFUNCTION("""COMPUTED_VALUE"""),"Junho")</f>
        <v>Junho</v>
      </c>
      <c r="C2069" s="6" t="str">
        <f>IFERROR(__xludf.DUMMYFUNCTION("""COMPUTED_VALUE"""),"CALÚNIA - DIFAMAÇÃO - INJÚRIA")</f>
        <v>CALÚNIA - DIFAMAÇÃO - INJÚRIA</v>
      </c>
      <c r="D2069" s="6">
        <f>IFERROR(__xludf.DUMMYFUNCTION("""COMPUTED_VALUE"""),172.0)</f>
        <v>172</v>
      </c>
      <c r="E2069" s="6">
        <f>IFERROR(__xludf.DUMMYFUNCTION("""COMPUTED_VALUE"""),151.0)</f>
        <v>151</v>
      </c>
      <c r="F2069" s="6">
        <f>IFERROR(__xludf.DUMMYFUNCTION("""COMPUTED_VALUE"""),649.0)</f>
        <v>649</v>
      </c>
      <c r="G2069" s="6">
        <f>IFERROR(__xludf.DUMMYFUNCTION("""COMPUTED_VALUE"""),972.0)</f>
        <v>972</v>
      </c>
    </row>
    <row r="2070">
      <c r="A2070" s="6">
        <f>IFERROR(__xludf.DUMMYFUNCTION("""COMPUTED_VALUE"""),2023.0)</f>
        <v>2023</v>
      </c>
      <c r="B2070" s="6" t="str">
        <f>IFERROR(__xludf.DUMMYFUNCTION("""COMPUTED_VALUE"""),"Junho")</f>
        <v>Junho</v>
      </c>
      <c r="C2070" s="6" t="str">
        <f>IFERROR(__xludf.DUMMYFUNCTION("""COMPUTED_VALUE"""),"CONSTRANGIMENTO ILEGAL")</f>
        <v>CONSTRANGIMENTO ILEGAL</v>
      </c>
      <c r="D2070" s="6">
        <f>IFERROR(__xludf.DUMMYFUNCTION("""COMPUTED_VALUE"""),1.0)</f>
        <v>1</v>
      </c>
      <c r="E2070" s="6">
        <f>IFERROR(__xludf.DUMMYFUNCTION("""COMPUTED_VALUE"""),0.0)</f>
        <v>0</v>
      </c>
      <c r="F2070" s="6">
        <f>IFERROR(__xludf.DUMMYFUNCTION("""COMPUTED_VALUE"""),5.0)</f>
        <v>5</v>
      </c>
      <c r="G2070" s="6">
        <f>IFERROR(__xludf.DUMMYFUNCTION("""COMPUTED_VALUE"""),6.0)</f>
        <v>6</v>
      </c>
    </row>
    <row r="2071">
      <c r="A2071" s="6">
        <f>IFERROR(__xludf.DUMMYFUNCTION("""COMPUTED_VALUE"""),2023.0)</f>
        <v>2023</v>
      </c>
      <c r="B2071" s="6" t="str">
        <f>IFERROR(__xludf.DUMMYFUNCTION("""COMPUTED_VALUE"""),"Junho")</f>
        <v>Junho</v>
      </c>
      <c r="C2071" s="6" t="str">
        <f>IFERROR(__xludf.DUMMYFUNCTION("""COMPUTED_VALUE"""),"AMEAÇA")</f>
        <v>AMEAÇA</v>
      </c>
      <c r="D2071" s="6">
        <f>IFERROR(__xludf.DUMMYFUNCTION("""COMPUTED_VALUE"""),811.0)</f>
        <v>811</v>
      </c>
      <c r="E2071" s="6">
        <f>IFERROR(__xludf.DUMMYFUNCTION("""COMPUTED_VALUE"""),743.0)</f>
        <v>743</v>
      </c>
      <c r="F2071" s="6">
        <f>IFERROR(__xludf.DUMMYFUNCTION("""COMPUTED_VALUE"""),2894.0)</f>
        <v>2894</v>
      </c>
      <c r="G2071" s="6">
        <f>IFERROR(__xludf.DUMMYFUNCTION("""COMPUTED_VALUE"""),4448.0)</f>
        <v>4448</v>
      </c>
    </row>
    <row r="2072">
      <c r="A2072" s="6">
        <f>IFERROR(__xludf.DUMMYFUNCTION("""COMPUTED_VALUE"""),2023.0)</f>
        <v>2023</v>
      </c>
      <c r="B2072" s="6" t="str">
        <f>IFERROR(__xludf.DUMMYFUNCTION("""COMPUTED_VALUE"""),"Junho")</f>
        <v>Junho</v>
      </c>
      <c r="C2072" s="6" t="str">
        <f>IFERROR(__xludf.DUMMYFUNCTION("""COMPUTED_VALUE"""),"INVASÃO DE DOMICÍLIO")</f>
        <v>INVASÃO DE DOMICÍLIO</v>
      </c>
      <c r="D2072" s="6">
        <f>IFERROR(__xludf.DUMMYFUNCTION("""COMPUTED_VALUE"""),1.0)</f>
        <v>1</v>
      </c>
      <c r="E2072" s="6">
        <f>IFERROR(__xludf.DUMMYFUNCTION("""COMPUTED_VALUE"""),2.0)</f>
        <v>2</v>
      </c>
      <c r="F2072" s="6">
        <f>IFERROR(__xludf.DUMMYFUNCTION("""COMPUTED_VALUE"""),12.0)</f>
        <v>12</v>
      </c>
      <c r="G2072" s="6">
        <f>IFERROR(__xludf.DUMMYFUNCTION("""COMPUTED_VALUE"""),15.0)</f>
        <v>15</v>
      </c>
    </row>
    <row r="2073">
      <c r="A2073" s="6">
        <f>IFERROR(__xludf.DUMMYFUNCTION("""COMPUTED_VALUE"""),2023.0)</f>
        <v>2023</v>
      </c>
      <c r="B2073" s="6" t="str">
        <f>IFERROR(__xludf.DUMMYFUNCTION("""COMPUTED_VALUE"""),"Junho")</f>
        <v>Junho</v>
      </c>
      <c r="C2073" s="6" t="str">
        <f>IFERROR(__xludf.DUMMYFUNCTION("""COMPUTED_VALUE"""),"DANO")</f>
        <v>DANO</v>
      </c>
      <c r="D2073" s="6">
        <f>IFERROR(__xludf.DUMMYFUNCTION("""COMPUTED_VALUE"""),9.0)</f>
        <v>9</v>
      </c>
      <c r="E2073" s="6">
        <f>IFERROR(__xludf.DUMMYFUNCTION("""COMPUTED_VALUE"""),9.0)</f>
        <v>9</v>
      </c>
      <c r="F2073" s="6">
        <f>IFERROR(__xludf.DUMMYFUNCTION("""COMPUTED_VALUE"""),51.0)</f>
        <v>51</v>
      </c>
      <c r="G2073" s="6">
        <f>IFERROR(__xludf.DUMMYFUNCTION("""COMPUTED_VALUE"""),69.0)</f>
        <v>69</v>
      </c>
    </row>
    <row r="2074">
      <c r="A2074" s="6">
        <f>IFERROR(__xludf.DUMMYFUNCTION("""COMPUTED_VALUE"""),2023.0)</f>
        <v>2023</v>
      </c>
      <c r="B2074" s="6" t="str">
        <f>IFERROR(__xludf.DUMMYFUNCTION("""COMPUTED_VALUE"""),"Junho")</f>
        <v>Junho</v>
      </c>
      <c r="C2074" s="6" t="str">
        <f>IFERROR(__xludf.DUMMYFUNCTION("""COMPUTED_VALUE"""),"ESTUPRO CONSUMADO")</f>
        <v>ESTUPRO CONSUMADO</v>
      </c>
      <c r="D2074" s="6">
        <f>IFERROR(__xludf.DUMMYFUNCTION("""COMPUTED_VALUE"""),9.0)</f>
        <v>9</v>
      </c>
      <c r="E2074" s="6">
        <f>IFERROR(__xludf.DUMMYFUNCTION("""COMPUTED_VALUE"""),6.0)</f>
        <v>6</v>
      </c>
      <c r="F2074" s="6">
        <f>IFERROR(__xludf.DUMMYFUNCTION("""COMPUTED_VALUE"""),17.0)</f>
        <v>17</v>
      </c>
      <c r="G2074" s="6">
        <f>IFERROR(__xludf.DUMMYFUNCTION("""COMPUTED_VALUE"""),32.0)</f>
        <v>32</v>
      </c>
    </row>
    <row r="2075">
      <c r="A2075" s="6">
        <f>IFERROR(__xludf.DUMMYFUNCTION("""COMPUTED_VALUE"""),2023.0)</f>
        <v>2023</v>
      </c>
      <c r="B2075" s="6" t="str">
        <f>IFERROR(__xludf.DUMMYFUNCTION("""COMPUTED_VALUE"""),"Junho")</f>
        <v>Junho</v>
      </c>
      <c r="C2075" s="6" t="str">
        <f>IFERROR(__xludf.DUMMYFUNCTION("""COMPUTED_VALUE"""),"ESTUPRO TENTADO")</f>
        <v>ESTUPRO TENTADO</v>
      </c>
      <c r="D2075" s="6">
        <f>IFERROR(__xludf.DUMMYFUNCTION("""COMPUTED_VALUE"""),0.0)</f>
        <v>0</v>
      </c>
      <c r="E2075" s="6">
        <f>IFERROR(__xludf.DUMMYFUNCTION("""COMPUTED_VALUE"""),0.0)</f>
        <v>0</v>
      </c>
      <c r="F2075" s="6">
        <f>IFERROR(__xludf.DUMMYFUNCTION("""COMPUTED_VALUE"""),1.0)</f>
        <v>1</v>
      </c>
      <c r="G2075" s="6">
        <f>IFERROR(__xludf.DUMMYFUNCTION("""COMPUTED_VALUE"""),1.0)</f>
        <v>1</v>
      </c>
    </row>
    <row r="2076">
      <c r="A2076" s="6">
        <f>IFERROR(__xludf.DUMMYFUNCTION("""COMPUTED_VALUE"""),2023.0)</f>
        <v>2023</v>
      </c>
      <c r="B2076" s="6" t="str">
        <f>IFERROR(__xludf.DUMMYFUNCTION("""COMPUTED_VALUE"""),"Junho")</f>
        <v>Junho</v>
      </c>
      <c r="C2076" s="6" t="str">
        <f>IFERROR(__xludf.DUMMYFUNCTION("""COMPUTED_VALUE"""),"ESTUPRO DE VULNERÁVEL CONSUMADO")</f>
        <v>ESTUPRO DE VULNERÁVEL CONSUMADO</v>
      </c>
      <c r="D2076" s="6">
        <f>IFERROR(__xludf.DUMMYFUNCTION("""COMPUTED_VALUE"""),3.0)</f>
        <v>3</v>
      </c>
      <c r="E2076" s="6">
        <f>IFERROR(__xludf.DUMMYFUNCTION("""COMPUTED_VALUE"""),4.0)</f>
        <v>4</v>
      </c>
      <c r="F2076" s="6">
        <f>IFERROR(__xludf.DUMMYFUNCTION("""COMPUTED_VALUE"""),16.0)</f>
        <v>16</v>
      </c>
      <c r="G2076" s="6">
        <f>IFERROR(__xludf.DUMMYFUNCTION("""COMPUTED_VALUE"""),23.0)</f>
        <v>23</v>
      </c>
    </row>
    <row r="2077">
      <c r="A2077" s="6">
        <f>IFERROR(__xludf.DUMMYFUNCTION("""COMPUTED_VALUE"""),2023.0)</f>
        <v>2023</v>
      </c>
      <c r="B2077" s="6" t="str">
        <f>IFERROR(__xludf.DUMMYFUNCTION("""COMPUTED_VALUE"""),"Junho")</f>
        <v>Junho</v>
      </c>
      <c r="C2077" s="6" t="str">
        <f>IFERROR(__xludf.DUMMYFUNCTION("""COMPUTED_VALUE"""),"OUTROS C/C/ DIGNIDADE SEXUAL")</f>
        <v>OUTROS C/C/ DIGNIDADE SEXUAL</v>
      </c>
      <c r="D2077" s="6">
        <f>IFERROR(__xludf.DUMMYFUNCTION("""COMPUTED_VALUE"""),0.0)</f>
        <v>0</v>
      </c>
      <c r="E2077" s="6">
        <f>IFERROR(__xludf.DUMMYFUNCTION("""COMPUTED_VALUE"""),0.0)</f>
        <v>0</v>
      </c>
      <c r="F2077" s="6">
        <f>IFERROR(__xludf.DUMMYFUNCTION("""COMPUTED_VALUE"""),2.0)</f>
        <v>2</v>
      </c>
      <c r="G2077" s="6">
        <f>IFERROR(__xludf.DUMMYFUNCTION("""COMPUTED_VALUE"""),2.0)</f>
        <v>2</v>
      </c>
    </row>
    <row r="2078">
      <c r="A2078" s="6">
        <f>IFERROR(__xludf.DUMMYFUNCTION("""COMPUTED_VALUE"""),2023.0)</f>
        <v>2023</v>
      </c>
      <c r="B2078" s="6" t="str">
        <f>IFERROR(__xludf.DUMMYFUNCTION("""COMPUTED_VALUE"""),"Julho")</f>
        <v>Julho</v>
      </c>
      <c r="C2078" s="6" t="str">
        <f>IFERROR(__xludf.DUMMYFUNCTION("""COMPUTED_VALUE"""),"HOMICÍDIO DOLOSO (exclui FEMINICÍDIO)")</f>
        <v>HOMICÍDIO DOLOSO (exclui FEMINICÍDIO)</v>
      </c>
      <c r="D2078" s="6">
        <f>IFERROR(__xludf.DUMMYFUNCTION("""COMPUTED_VALUE"""),2.0)</f>
        <v>2</v>
      </c>
      <c r="E2078" s="6">
        <f>IFERROR(__xludf.DUMMYFUNCTION("""COMPUTED_VALUE"""),0.0)</f>
        <v>0</v>
      </c>
      <c r="F2078" s="6">
        <f>IFERROR(__xludf.DUMMYFUNCTION("""COMPUTED_VALUE"""),1.0)</f>
        <v>1</v>
      </c>
      <c r="G2078" s="6">
        <f>IFERROR(__xludf.DUMMYFUNCTION("""COMPUTED_VALUE"""),3.0)</f>
        <v>3</v>
      </c>
    </row>
    <row r="2079">
      <c r="A2079" s="6">
        <f>IFERROR(__xludf.DUMMYFUNCTION("""COMPUTED_VALUE"""),2023.0)</f>
        <v>2023</v>
      </c>
      <c r="B2079" s="6" t="str">
        <f>IFERROR(__xludf.DUMMYFUNCTION("""COMPUTED_VALUE"""),"Julho")</f>
        <v>Julho</v>
      </c>
      <c r="C2079" s="6" t="str">
        <f>IFERROR(__xludf.DUMMYFUNCTION("""COMPUTED_VALUE"""),"FEMINICÍDIO")</f>
        <v>FEMINICÍDIO</v>
      </c>
      <c r="D2079" s="6">
        <f>IFERROR(__xludf.DUMMYFUNCTION("""COMPUTED_VALUE"""),3.0)</f>
        <v>3</v>
      </c>
      <c r="E2079" s="6">
        <f>IFERROR(__xludf.DUMMYFUNCTION("""COMPUTED_VALUE"""),4.0)</f>
        <v>4</v>
      </c>
      <c r="F2079" s="6">
        <f>IFERROR(__xludf.DUMMYFUNCTION("""COMPUTED_VALUE"""),7.0)</f>
        <v>7</v>
      </c>
      <c r="G2079" s="6">
        <f>IFERROR(__xludf.DUMMYFUNCTION("""COMPUTED_VALUE"""),14.0)</f>
        <v>14</v>
      </c>
    </row>
    <row r="2080">
      <c r="A2080" s="6">
        <f>IFERROR(__xludf.DUMMYFUNCTION("""COMPUTED_VALUE"""),2023.0)</f>
        <v>2023</v>
      </c>
      <c r="B2080" s="6" t="str">
        <f>IFERROR(__xludf.DUMMYFUNCTION("""COMPUTED_VALUE"""),"Julho")</f>
        <v>Julho</v>
      </c>
      <c r="C2080" s="6" t="str">
        <f>IFERROR(__xludf.DUMMYFUNCTION("""COMPUTED_VALUE"""),"HOMICÍDIO CULPOSO")</f>
        <v>HOMICÍDIO CULPOSO</v>
      </c>
      <c r="D2080" s="6">
        <f>IFERROR(__xludf.DUMMYFUNCTION("""COMPUTED_VALUE"""),0.0)</f>
        <v>0</v>
      </c>
      <c r="E2080" s="6">
        <f>IFERROR(__xludf.DUMMYFUNCTION("""COMPUTED_VALUE"""),0.0)</f>
        <v>0</v>
      </c>
      <c r="F2080" s="6">
        <f>IFERROR(__xludf.DUMMYFUNCTION("""COMPUTED_VALUE"""),0.0)</f>
        <v>0</v>
      </c>
      <c r="G2080" s="6">
        <f>IFERROR(__xludf.DUMMYFUNCTION("""COMPUTED_VALUE"""),0.0)</f>
        <v>0</v>
      </c>
    </row>
    <row r="2081">
      <c r="A2081" s="6">
        <f>IFERROR(__xludf.DUMMYFUNCTION("""COMPUTED_VALUE"""),2023.0)</f>
        <v>2023</v>
      </c>
      <c r="B2081" s="6" t="str">
        <f>IFERROR(__xludf.DUMMYFUNCTION("""COMPUTED_VALUE"""),"Julho")</f>
        <v>Julho</v>
      </c>
      <c r="C2081" s="6" t="str">
        <f>IFERROR(__xludf.DUMMYFUNCTION("""COMPUTED_VALUE"""),"TENTATIVA DE HOMICÍDIO")</f>
        <v>TENTATIVA DE HOMICÍDIO</v>
      </c>
      <c r="D2081" s="6">
        <f>IFERROR(__xludf.DUMMYFUNCTION("""COMPUTED_VALUE"""),2.0)</f>
        <v>2</v>
      </c>
      <c r="E2081" s="6">
        <f>IFERROR(__xludf.DUMMYFUNCTION("""COMPUTED_VALUE"""),3.0)</f>
        <v>3</v>
      </c>
      <c r="F2081" s="6">
        <f>IFERROR(__xludf.DUMMYFUNCTION("""COMPUTED_VALUE"""),12.0)</f>
        <v>12</v>
      </c>
      <c r="G2081" s="6">
        <f>IFERROR(__xludf.DUMMYFUNCTION("""COMPUTED_VALUE"""),17.0)</f>
        <v>17</v>
      </c>
    </row>
    <row r="2082">
      <c r="A2082" s="6">
        <f>IFERROR(__xludf.DUMMYFUNCTION("""COMPUTED_VALUE"""),2023.0)</f>
        <v>2023</v>
      </c>
      <c r="B2082" s="6" t="str">
        <f>IFERROR(__xludf.DUMMYFUNCTION("""COMPUTED_VALUE"""),"Julho")</f>
        <v>Julho</v>
      </c>
      <c r="C2082" s="6" t="str">
        <f>IFERROR(__xludf.DUMMYFUNCTION("""COMPUTED_VALUE"""),"LESÃO CORPORAL DOLOSA")</f>
        <v>LESÃO CORPORAL DOLOSA</v>
      </c>
      <c r="D2082" s="6">
        <f>IFERROR(__xludf.DUMMYFUNCTION("""COMPUTED_VALUE"""),913.0)</f>
        <v>913</v>
      </c>
      <c r="E2082" s="6">
        <f>IFERROR(__xludf.DUMMYFUNCTION("""COMPUTED_VALUE"""),805.0)</f>
        <v>805</v>
      </c>
      <c r="F2082" s="6">
        <f>IFERROR(__xludf.DUMMYFUNCTION("""COMPUTED_VALUE"""),2914.0)</f>
        <v>2914</v>
      </c>
      <c r="G2082" s="6">
        <f>IFERROR(__xludf.DUMMYFUNCTION("""COMPUTED_VALUE"""),4632.0)</f>
        <v>4632</v>
      </c>
    </row>
    <row r="2083">
      <c r="A2083" s="6">
        <f>IFERROR(__xludf.DUMMYFUNCTION("""COMPUTED_VALUE"""),2023.0)</f>
        <v>2023</v>
      </c>
      <c r="B2083" s="6" t="str">
        <f>IFERROR(__xludf.DUMMYFUNCTION("""COMPUTED_VALUE"""),"Julho")</f>
        <v>Julho</v>
      </c>
      <c r="C2083" s="6" t="str">
        <f>IFERROR(__xludf.DUMMYFUNCTION("""COMPUTED_VALUE"""),"MAUS TRATOS")</f>
        <v>MAUS TRATOS</v>
      </c>
      <c r="D2083" s="6">
        <f>IFERROR(__xludf.DUMMYFUNCTION("""COMPUTED_VALUE"""),3.0)</f>
        <v>3</v>
      </c>
      <c r="E2083" s="6">
        <f>IFERROR(__xludf.DUMMYFUNCTION("""COMPUTED_VALUE"""),2.0)</f>
        <v>2</v>
      </c>
      <c r="F2083" s="6">
        <f>IFERROR(__xludf.DUMMYFUNCTION("""COMPUTED_VALUE"""),17.0)</f>
        <v>17</v>
      </c>
      <c r="G2083" s="6">
        <f>IFERROR(__xludf.DUMMYFUNCTION("""COMPUTED_VALUE"""),22.0)</f>
        <v>22</v>
      </c>
    </row>
    <row r="2084">
      <c r="A2084" s="6">
        <f>IFERROR(__xludf.DUMMYFUNCTION("""COMPUTED_VALUE"""),2023.0)</f>
        <v>2023</v>
      </c>
      <c r="B2084" s="6" t="str">
        <f>IFERROR(__xludf.DUMMYFUNCTION("""COMPUTED_VALUE"""),"Julho")</f>
        <v>Julho</v>
      </c>
      <c r="C2084" s="6" t="str">
        <f>IFERROR(__xludf.DUMMYFUNCTION("""COMPUTED_VALUE"""),"CALÚNIA - DIFAMAÇÃO - INJÚRIA")</f>
        <v>CALÚNIA - DIFAMAÇÃO - INJÚRIA</v>
      </c>
      <c r="D2084" s="6">
        <f>IFERROR(__xludf.DUMMYFUNCTION("""COMPUTED_VALUE"""),191.0)</f>
        <v>191</v>
      </c>
      <c r="E2084" s="6">
        <f>IFERROR(__xludf.DUMMYFUNCTION("""COMPUTED_VALUE"""),168.0)</f>
        <v>168</v>
      </c>
      <c r="F2084" s="6">
        <f>IFERROR(__xludf.DUMMYFUNCTION("""COMPUTED_VALUE"""),702.0)</f>
        <v>702</v>
      </c>
      <c r="G2084" s="6">
        <f>IFERROR(__xludf.DUMMYFUNCTION("""COMPUTED_VALUE"""),1061.0)</f>
        <v>1061</v>
      </c>
    </row>
    <row r="2085">
      <c r="A2085" s="6">
        <f>IFERROR(__xludf.DUMMYFUNCTION("""COMPUTED_VALUE"""),2023.0)</f>
        <v>2023</v>
      </c>
      <c r="B2085" s="6" t="str">
        <f>IFERROR(__xludf.DUMMYFUNCTION("""COMPUTED_VALUE"""),"Julho")</f>
        <v>Julho</v>
      </c>
      <c r="C2085" s="6" t="str">
        <f>IFERROR(__xludf.DUMMYFUNCTION("""COMPUTED_VALUE"""),"CONSTRANGIMENTO ILEGAL")</f>
        <v>CONSTRANGIMENTO ILEGAL</v>
      </c>
      <c r="D2085" s="6">
        <f>IFERROR(__xludf.DUMMYFUNCTION("""COMPUTED_VALUE"""),1.0)</f>
        <v>1</v>
      </c>
      <c r="E2085" s="6">
        <f>IFERROR(__xludf.DUMMYFUNCTION("""COMPUTED_VALUE"""),0.0)</f>
        <v>0</v>
      </c>
      <c r="F2085" s="6">
        <f>IFERROR(__xludf.DUMMYFUNCTION("""COMPUTED_VALUE"""),6.0)</f>
        <v>6</v>
      </c>
      <c r="G2085" s="6">
        <f>IFERROR(__xludf.DUMMYFUNCTION("""COMPUTED_VALUE"""),7.0)</f>
        <v>7</v>
      </c>
    </row>
    <row r="2086">
      <c r="A2086" s="6">
        <f>IFERROR(__xludf.DUMMYFUNCTION("""COMPUTED_VALUE"""),2023.0)</f>
        <v>2023</v>
      </c>
      <c r="B2086" s="6" t="str">
        <f>IFERROR(__xludf.DUMMYFUNCTION("""COMPUTED_VALUE"""),"Julho")</f>
        <v>Julho</v>
      </c>
      <c r="C2086" s="6" t="str">
        <f>IFERROR(__xludf.DUMMYFUNCTION("""COMPUTED_VALUE"""),"AMEAÇA")</f>
        <v>AMEAÇA</v>
      </c>
      <c r="D2086" s="6">
        <f>IFERROR(__xludf.DUMMYFUNCTION("""COMPUTED_VALUE"""),884.0)</f>
        <v>884</v>
      </c>
      <c r="E2086" s="6">
        <f>IFERROR(__xludf.DUMMYFUNCTION("""COMPUTED_VALUE"""),812.0)</f>
        <v>812</v>
      </c>
      <c r="F2086" s="6">
        <f>IFERROR(__xludf.DUMMYFUNCTION("""COMPUTED_VALUE"""),3012.0)</f>
        <v>3012</v>
      </c>
      <c r="G2086" s="6">
        <f>IFERROR(__xludf.DUMMYFUNCTION("""COMPUTED_VALUE"""),4708.0)</f>
        <v>4708</v>
      </c>
    </row>
    <row r="2087">
      <c r="A2087" s="6">
        <f>IFERROR(__xludf.DUMMYFUNCTION("""COMPUTED_VALUE"""),2023.0)</f>
        <v>2023</v>
      </c>
      <c r="B2087" s="6" t="str">
        <f>IFERROR(__xludf.DUMMYFUNCTION("""COMPUTED_VALUE"""),"Julho")</f>
        <v>Julho</v>
      </c>
      <c r="C2087" s="6" t="str">
        <f>IFERROR(__xludf.DUMMYFUNCTION("""COMPUTED_VALUE"""),"INVASÃO DE DOMICÍLIO")</f>
        <v>INVASÃO DE DOMICÍLIO</v>
      </c>
      <c r="D2087" s="6">
        <f>IFERROR(__xludf.DUMMYFUNCTION("""COMPUTED_VALUE"""),1.0)</f>
        <v>1</v>
      </c>
      <c r="E2087" s="6">
        <f>IFERROR(__xludf.DUMMYFUNCTION("""COMPUTED_VALUE"""),2.0)</f>
        <v>2</v>
      </c>
      <c r="F2087" s="6">
        <f>IFERROR(__xludf.DUMMYFUNCTION("""COMPUTED_VALUE"""),13.0)</f>
        <v>13</v>
      </c>
      <c r="G2087" s="6">
        <f>IFERROR(__xludf.DUMMYFUNCTION("""COMPUTED_VALUE"""),16.0)</f>
        <v>16</v>
      </c>
    </row>
    <row r="2088">
      <c r="A2088" s="6">
        <f>IFERROR(__xludf.DUMMYFUNCTION("""COMPUTED_VALUE"""),2023.0)</f>
        <v>2023</v>
      </c>
      <c r="B2088" s="6" t="str">
        <f>IFERROR(__xludf.DUMMYFUNCTION("""COMPUTED_VALUE"""),"Julho")</f>
        <v>Julho</v>
      </c>
      <c r="C2088" s="6" t="str">
        <f>IFERROR(__xludf.DUMMYFUNCTION("""COMPUTED_VALUE"""),"DANO")</f>
        <v>DANO</v>
      </c>
      <c r="D2088" s="6">
        <f>IFERROR(__xludf.DUMMYFUNCTION("""COMPUTED_VALUE"""),11.0)</f>
        <v>11</v>
      </c>
      <c r="E2088" s="6">
        <f>IFERROR(__xludf.DUMMYFUNCTION("""COMPUTED_VALUE"""),10.0)</f>
        <v>10</v>
      </c>
      <c r="F2088" s="6">
        <f>IFERROR(__xludf.DUMMYFUNCTION("""COMPUTED_VALUE"""),56.0)</f>
        <v>56</v>
      </c>
      <c r="G2088" s="6">
        <f>IFERROR(__xludf.DUMMYFUNCTION("""COMPUTED_VALUE"""),77.0)</f>
        <v>77</v>
      </c>
    </row>
    <row r="2089">
      <c r="A2089" s="6">
        <f>IFERROR(__xludf.DUMMYFUNCTION("""COMPUTED_VALUE"""),2023.0)</f>
        <v>2023</v>
      </c>
      <c r="B2089" s="6" t="str">
        <f>IFERROR(__xludf.DUMMYFUNCTION("""COMPUTED_VALUE"""),"Julho")</f>
        <v>Julho</v>
      </c>
      <c r="C2089" s="6" t="str">
        <f>IFERROR(__xludf.DUMMYFUNCTION("""COMPUTED_VALUE"""),"ESTUPRO CONSUMADO")</f>
        <v>ESTUPRO CONSUMADO</v>
      </c>
      <c r="D2089" s="6">
        <f>IFERROR(__xludf.DUMMYFUNCTION("""COMPUTED_VALUE"""),10.0)</f>
        <v>10</v>
      </c>
      <c r="E2089" s="6">
        <f>IFERROR(__xludf.DUMMYFUNCTION("""COMPUTED_VALUE"""),7.0)</f>
        <v>7</v>
      </c>
      <c r="F2089" s="6">
        <f>IFERROR(__xludf.DUMMYFUNCTION("""COMPUTED_VALUE"""),18.0)</f>
        <v>18</v>
      </c>
      <c r="G2089" s="6">
        <f>IFERROR(__xludf.DUMMYFUNCTION("""COMPUTED_VALUE"""),35.0)</f>
        <v>35</v>
      </c>
    </row>
    <row r="2090">
      <c r="A2090" s="6">
        <f>IFERROR(__xludf.DUMMYFUNCTION("""COMPUTED_VALUE"""),2023.0)</f>
        <v>2023</v>
      </c>
      <c r="B2090" s="6" t="str">
        <f>IFERROR(__xludf.DUMMYFUNCTION("""COMPUTED_VALUE"""),"Julho")</f>
        <v>Julho</v>
      </c>
      <c r="C2090" s="6" t="str">
        <f>IFERROR(__xludf.DUMMYFUNCTION("""COMPUTED_VALUE"""),"ESTUPRO TENTADO")</f>
        <v>ESTUPRO TENTADO</v>
      </c>
      <c r="D2090" s="6">
        <f>IFERROR(__xludf.DUMMYFUNCTION("""COMPUTED_VALUE"""),0.0)</f>
        <v>0</v>
      </c>
      <c r="E2090" s="6">
        <f>IFERROR(__xludf.DUMMYFUNCTION("""COMPUTED_VALUE"""),0.0)</f>
        <v>0</v>
      </c>
      <c r="F2090" s="6">
        <f>IFERROR(__xludf.DUMMYFUNCTION("""COMPUTED_VALUE"""),1.0)</f>
        <v>1</v>
      </c>
      <c r="G2090" s="6">
        <f>IFERROR(__xludf.DUMMYFUNCTION("""COMPUTED_VALUE"""),1.0)</f>
        <v>1</v>
      </c>
    </row>
    <row r="2091">
      <c r="A2091" s="6">
        <f>IFERROR(__xludf.DUMMYFUNCTION("""COMPUTED_VALUE"""),2023.0)</f>
        <v>2023</v>
      </c>
      <c r="B2091" s="6" t="str">
        <f>IFERROR(__xludf.DUMMYFUNCTION("""COMPUTED_VALUE"""),"Julho")</f>
        <v>Julho</v>
      </c>
      <c r="C2091" s="6" t="str">
        <f>IFERROR(__xludf.DUMMYFUNCTION("""COMPUTED_VALUE"""),"ESTUPRO DE VULNERÁVEL CONSUMADO")</f>
        <v>ESTUPRO DE VULNERÁVEL CONSUMADO</v>
      </c>
      <c r="D2091" s="6">
        <f>IFERROR(__xludf.DUMMYFUNCTION("""COMPUTED_VALUE"""),3.0)</f>
        <v>3</v>
      </c>
      <c r="E2091" s="6">
        <f>IFERROR(__xludf.DUMMYFUNCTION("""COMPUTED_VALUE"""),4.0)</f>
        <v>4</v>
      </c>
      <c r="F2091" s="6">
        <f>IFERROR(__xludf.DUMMYFUNCTION("""COMPUTED_VALUE"""),18.0)</f>
        <v>18</v>
      </c>
      <c r="G2091" s="6">
        <f>IFERROR(__xludf.DUMMYFUNCTION("""COMPUTED_VALUE"""),25.0)</f>
        <v>25</v>
      </c>
    </row>
    <row r="2092">
      <c r="A2092" s="6">
        <f>IFERROR(__xludf.DUMMYFUNCTION("""COMPUTED_VALUE"""),2023.0)</f>
        <v>2023</v>
      </c>
      <c r="B2092" s="6" t="str">
        <f>IFERROR(__xludf.DUMMYFUNCTION("""COMPUTED_VALUE"""),"Julho")</f>
        <v>Julho</v>
      </c>
      <c r="C2092" s="6" t="str">
        <f>IFERROR(__xludf.DUMMYFUNCTION("""COMPUTED_VALUE"""),"OUTROS C/C/ DIGNIDADE SEXUAL")</f>
        <v>OUTROS C/C/ DIGNIDADE SEXUAL</v>
      </c>
      <c r="D2092" s="6">
        <f>IFERROR(__xludf.DUMMYFUNCTION("""COMPUTED_VALUE"""),0.0)</f>
        <v>0</v>
      </c>
      <c r="E2092" s="6">
        <f>IFERROR(__xludf.DUMMYFUNCTION("""COMPUTED_VALUE"""),0.0)</f>
        <v>0</v>
      </c>
      <c r="F2092" s="6">
        <f>IFERROR(__xludf.DUMMYFUNCTION("""COMPUTED_VALUE"""),2.0)</f>
        <v>2</v>
      </c>
      <c r="G2092" s="6">
        <f>IFERROR(__xludf.DUMMYFUNCTION("""COMPUTED_VALUE"""),2.0)</f>
        <v>2</v>
      </c>
    </row>
    <row r="2093">
      <c r="A2093" s="6">
        <f>IFERROR(__xludf.DUMMYFUNCTION("""COMPUTED_VALUE"""),2023.0)</f>
        <v>2023</v>
      </c>
      <c r="B2093" s="6" t="str">
        <f>IFERROR(__xludf.DUMMYFUNCTION("""COMPUTED_VALUE"""),"Agosto")</f>
        <v>Agosto</v>
      </c>
      <c r="C2093" s="6" t="str">
        <f>IFERROR(__xludf.DUMMYFUNCTION("""COMPUTED_VALUE"""),"HOMICÍDIO DOLOSO (exclui FEMINICÍDIO)")</f>
        <v>HOMICÍDIO DOLOSO (exclui FEMINICÍDIO)</v>
      </c>
      <c r="D2093" s="6">
        <f>IFERROR(__xludf.DUMMYFUNCTION("""COMPUTED_VALUE"""),1.0)</f>
        <v>1</v>
      </c>
      <c r="E2093" s="6">
        <f>IFERROR(__xludf.DUMMYFUNCTION("""COMPUTED_VALUE"""),1.0)</f>
        <v>1</v>
      </c>
      <c r="F2093" s="6">
        <f>IFERROR(__xludf.DUMMYFUNCTION("""COMPUTED_VALUE"""),2.0)</f>
        <v>2</v>
      </c>
      <c r="G2093" s="6">
        <f>IFERROR(__xludf.DUMMYFUNCTION("""COMPUTED_VALUE"""),4.0)</f>
        <v>4</v>
      </c>
    </row>
    <row r="2094">
      <c r="A2094" s="6">
        <f>IFERROR(__xludf.DUMMYFUNCTION("""COMPUTED_VALUE"""),2023.0)</f>
        <v>2023</v>
      </c>
      <c r="B2094" s="6" t="str">
        <f>IFERROR(__xludf.DUMMYFUNCTION("""COMPUTED_VALUE"""),"Agosto")</f>
        <v>Agosto</v>
      </c>
      <c r="C2094" s="6" t="str">
        <f>IFERROR(__xludf.DUMMYFUNCTION("""COMPUTED_VALUE"""),"FEMINICÍDIO")</f>
        <v>FEMINICÍDIO</v>
      </c>
      <c r="D2094" s="6">
        <f>IFERROR(__xludf.DUMMYFUNCTION("""COMPUTED_VALUE"""),3.0)</f>
        <v>3</v>
      </c>
      <c r="E2094" s="6">
        <f>IFERROR(__xludf.DUMMYFUNCTION("""COMPUTED_VALUE"""),3.0)</f>
        <v>3</v>
      </c>
      <c r="F2094" s="6">
        <f>IFERROR(__xludf.DUMMYFUNCTION("""COMPUTED_VALUE"""),6.0)</f>
        <v>6</v>
      </c>
      <c r="G2094" s="6">
        <f>IFERROR(__xludf.DUMMYFUNCTION("""COMPUTED_VALUE"""),12.0)</f>
        <v>12</v>
      </c>
    </row>
    <row r="2095">
      <c r="A2095" s="6">
        <f>IFERROR(__xludf.DUMMYFUNCTION("""COMPUTED_VALUE"""),2023.0)</f>
        <v>2023</v>
      </c>
      <c r="B2095" s="6" t="str">
        <f>IFERROR(__xludf.DUMMYFUNCTION("""COMPUTED_VALUE"""),"Agosto")</f>
        <v>Agosto</v>
      </c>
      <c r="C2095" s="6" t="str">
        <f>IFERROR(__xludf.DUMMYFUNCTION("""COMPUTED_VALUE"""),"HOMICÍDIO CULPOSO")</f>
        <v>HOMICÍDIO CULPOSO</v>
      </c>
      <c r="D2095" s="6">
        <f>IFERROR(__xludf.DUMMYFUNCTION("""COMPUTED_VALUE"""),0.0)</f>
        <v>0</v>
      </c>
      <c r="E2095" s="6">
        <f>IFERROR(__xludf.DUMMYFUNCTION("""COMPUTED_VALUE"""),0.0)</f>
        <v>0</v>
      </c>
      <c r="F2095" s="6">
        <f>IFERROR(__xludf.DUMMYFUNCTION("""COMPUTED_VALUE"""),0.0)</f>
        <v>0</v>
      </c>
      <c r="G2095" s="6">
        <f>IFERROR(__xludf.DUMMYFUNCTION("""COMPUTED_VALUE"""),0.0)</f>
        <v>0</v>
      </c>
    </row>
    <row r="2096">
      <c r="A2096" s="6">
        <f>IFERROR(__xludf.DUMMYFUNCTION("""COMPUTED_VALUE"""),2023.0)</f>
        <v>2023</v>
      </c>
      <c r="B2096" s="6" t="str">
        <f>IFERROR(__xludf.DUMMYFUNCTION("""COMPUTED_VALUE"""),"Agosto")</f>
        <v>Agosto</v>
      </c>
      <c r="C2096" s="6" t="str">
        <f>IFERROR(__xludf.DUMMYFUNCTION("""COMPUTED_VALUE"""),"TENTATIVA DE HOMICÍDIO")</f>
        <v>TENTATIVA DE HOMICÍDIO</v>
      </c>
      <c r="D2096" s="6">
        <f>IFERROR(__xludf.DUMMYFUNCTION("""COMPUTED_VALUE"""),2.0)</f>
        <v>2</v>
      </c>
      <c r="E2096" s="6">
        <f>IFERROR(__xludf.DUMMYFUNCTION("""COMPUTED_VALUE"""),2.0)</f>
        <v>2</v>
      </c>
      <c r="F2096" s="6">
        <f>IFERROR(__xludf.DUMMYFUNCTION("""COMPUTED_VALUE"""),12.0)</f>
        <v>12</v>
      </c>
      <c r="G2096" s="6">
        <f>IFERROR(__xludf.DUMMYFUNCTION("""COMPUTED_VALUE"""),16.0)</f>
        <v>16</v>
      </c>
    </row>
    <row r="2097">
      <c r="A2097" s="6">
        <f>IFERROR(__xludf.DUMMYFUNCTION("""COMPUTED_VALUE"""),2023.0)</f>
        <v>2023</v>
      </c>
      <c r="B2097" s="6" t="str">
        <f>IFERROR(__xludf.DUMMYFUNCTION("""COMPUTED_VALUE"""),"Agosto")</f>
        <v>Agosto</v>
      </c>
      <c r="C2097" s="6" t="str">
        <f>IFERROR(__xludf.DUMMYFUNCTION("""COMPUTED_VALUE"""),"LESÃO CORPORAL DOLOSA")</f>
        <v>LESÃO CORPORAL DOLOSA</v>
      </c>
      <c r="D2097" s="6">
        <f>IFERROR(__xludf.DUMMYFUNCTION("""COMPUTED_VALUE"""),948.0)</f>
        <v>948</v>
      </c>
      <c r="E2097" s="6">
        <f>IFERROR(__xludf.DUMMYFUNCTION("""COMPUTED_VALUE"""),812.0)</f>
        <v>812</v>
      </c>
      <c r="F2097" s="6">
        <f>IFERROR(__xludf.DUMMYFUNCTION("""COMPUTED_VALUE"""),2914.0)</f>
        <v>2914</v>
      </c>
      <c r="G2097" s="6">
        <f>IFERROR(__xludf.DUMMYFUNCTION("""COMPUTED_VALUE"""),4674.0)</f>
        <v>4674</v>
      </c>
    </row>
    <row r="2098">
      <c r="A2098" s="6">
        <f>IFERROR(__xludf.DUMMYFUNCTION("""COMPUTED_VALUE"""),2023.0)</f>
        <v>2023</v>
      </c>
      <c r="B2098" s="6" t="str">
        <f>IFERROR(__xludf.DUMMYFUNCTION("""COMPUTED_VALUE"""),"Agosto")</f>
        <v>Agosto</v>
      </c>
      <c r="C2098" s="6" t="str">
        <f>IFERROR(__xludf.DUMMYFUNCTION("""COMPUTED_VALUE"""),"MAUS TRATOS")</f>
        <v>MAUS TRATOS</v>
      </c>
      <c r="D2098" s="6">
        <f>IFERROR(__xludf.DUMMYFUNCTION("""COMPUTED_VALUE"""),3.0)</f>
        <v>3</v>
      </c>
      <c r="E2098" s="6">
        <f>IFERROR(__xludf.DUMMYFUNCTION("""COMPUTED_VALUE"""),2.0)</f>
        <v>2</v>
      </c>
      <c r="F2098" s="6">
        <f>IFERROR(__xludf.DUMMYFUNCTION("""COMPUTED_VALUE"""),16.0)</f>
        <v>16</v>
      </c>
      <c r="G2098" s="6">
        <f>IFERROR(__xludf.DUMMYFUNCTION("""COMPUTED_VALUE"""),21.0)</f>
        <v>21</v>
      </c>
    </row>
    <row r="2099">
      <c r="A2099" s="6">
        <f>IFERROR(__xludf.DUMMYFUNCTION("""COMPUTED_VALUE"""),2023.0)</f>
        <v>2023</v>
      </c>
      <c r="B2099" s="6" t="str">
        <f>IFERROR(__xludf.DUMMYFUNCTION("""COMPUTED_VALUE"""),"Agosto")</f>
        <v>Agosto</v>
      </c>
      <c r="C2099" s="6" t="str">
        <f>IFERROR(__xludf.DUMMYFUNCTION("""COMPUTED_VALUE"""),"CALÚNIA - DIFAMAÇÃO - INJÚRIA")</f>
        <v>CALÚNIA - DIFAMAÇÃO - INJÚRIA</v>
      </c>
      <c r="D2099" s="6">
        <f>IFERROR(__xludf.DUMMYFUNCTION("""COMPUTED_VALUE"""),187.0)</f>
        <v>187</v>
      </c>
      <c r="E2099" s="6">
        <f>IFERROR(__xludf.DUMMYFUNCTION("""COMPUTED_VALUE"""),159.0)</f>
        <v>159</v>
      </c>
      <c r="F2099" s="6">
        <f>IFERROR(__xludf.DUMMYFUNCTION("""COMPUTED_VALUE"""),694.0)</f>
        <v>694</v>
      </c>
      <c r="G2099" s="6">
        <f>IFERROR(__xludf.DUMMYFUNCTION("""COMPUTED_VALUE"""),1040.0)</f>
        <v>1040</v>
      </c>
    </row>
    <row r="2100">
      <c r="A2100" s="6">
        <f>IFERROR(__xludf.DUMMYFUNCTION("""COMPUTED_VALUE"""),2023.0)</f>
        <v>2023</v>
      </c>
      <c r="B2100" s="6" t="str">
        <f>IFERROR(__xludf.DUMMYFUNCTION("""COMPUTED_VALUE"""),"Agosto")</f>
        <v>Agosto</v>
      </c>
      <c r="C2100" s="6" t="str">
        <f>IFERROR(__xludf.DUMMYFUNCTION("""COMPUTED_VALUE"""),"CONSTRANGIMENTO ILEGAL")</f>
        <v>CONSTRANGIMENTO ILEGAL</v>
      </c>
      <c r="D2100" s="6">
        <f>IFERROR(__xludf.DUMMYFUNCTION("""COMPUTED_VALUE"""),1.0)</f>
        <v>1</v>
      </c>
      <c r="E2100" s="6">
        <f>IFERROR(__xludf.DUMMYFUNCTION("""COMPUTED_VALUE"""),0.0)</f>
        <v>0</v>
      </c>
      <c r="F2100" s="6">
        <f>IFERROR(__xludf.DUMMYFUNCTION("""COMPUTED_VALUE"""),6.0)</f>
        <v>6</v>
      </c>
      <c r="G2100" s="6">
        <f>IFERROR(__xludf.DUMMYFUNCTION("""COMPUTED_VALUE"""),7.0)</f>
        <v>7</v>
      </c>
    </row>
    <row r="2101">
      <c r="A2101" s="6">
        <f>IFERROR(__xludf.DUMMYFUNCTION("""COMPUTED_VALUE"""),2023.0)</f>
        <v>2023</v>
      </c>
      <c r="B2101" s="6" t="str">
        <f>IFERROR(__xludf.DUMMYFUNCTION("""COMPUTED_VALUE"""),"Agosto")</f>
        <v>Agosto</v>
      </c>
      <c r="C2101" s="6" t="str">
        <f>IFERROR(__xludf.DUMMYFUNCTION("""COMPUTED_VALUE"""),"AMEAÇA")</f>
        <v>AMEAÇA</v>
      </c>
      <c r="D2101" s="6">
        <f>IFERROR(__xludf.DUMMYFUNCTION("""COMPUTED_VALUE"""),872.0)</f>
        <v>872</v>
      </c>
      <c r="E2101" s="6">
        <f>IFERROR(__xludf.DUMMYFUNCTION("""COMPUTED_VALUE"""),804.0)</f>
        <v>804</v>
      </c>
      <c r="F2101" s="6">
        <f>IFERROR(__xludf.DUMMYFUNCTION("""COMPUTED_VALUE"""),2984.0)</f>
        <v>2984</v>
      </c>
      <c r="G2101" s="6">
        <f>IFERROR(__xludf.DUMMYFUNCTION("""COMPUTED_VALUE"""),4660.0)</f>
        <v>4660</v>
      </c>
    </row>
    <row r="2102">
      <c r="A2102" s="6">
        <f>IFERROR(__xludf.DUMMYFUNCTION("""COMPUTED_VALUE"""),2023.0)</f>
        <v>2023</v>
      </c>
      <c r="B2102" s="6" t="str">
        <f>IFERROR(__xludf.DUMMYFUNCTION("""COMPUTED_VALUE"""),"Agosto")</f>
        <v>Agosto</v>
      </c>
      <c r="C2102" s="6" t="str">
        <f>IFERROR(__xludf.DUMMYFUNCTION("""COMPUTED_VALUE"""),"INVASÃO DE DOMICÍLIO")</f>
        <v>INVASÃO DE DOMICÍLIO</v>
      </c>
      <c r="D2102" s="6">
        <f>IFERROR(__xludf.DUMMYFUNCTION("""COMPUTED_VALUE"""),1.0)</f>
        <v>1</v>
      </c>
      <c r="E2102" s="6">
        <f>IFERROR(__xludf.DUMMYFUNCTION("""COMPUTED_VALUE"""),2.0)</f>
        <v>2</v>
      </c>
      <c r="F2102" s="6">
        <f>IFERROR(__xludf.DUMMYFUNCTION("""COMPUTED_VALUE"""),13.0)</f>
        <v>13</v>
      </c>
      <c r="G2102" s="6">
        <f>IFERROR(__xludf.DUMMYFUNCTION("""COMPUTED_VALUE"""),16.0)</f>
        <v>16</v>
      </c>
    </row>
    <row r="2103">
      <c r="A2103" s="6">
        <f>IFERROR(__xludf.DUMMYFUNCTION("""COMPUTED_VALUE"""),2023.0)</f>
        <v>2023</v>
      </c>
      <c r="B2103" s="6" t="str">
        <f>IFERROR(__xludf.DUMMYFUNCTION("""COMPUTED_VALUE"""),"Agosto")</f>
        <v>Agosto</v>
      </c>
      <c r="C2103" s="6" t="str">
        <f>IFERROR(__xludf.DUMMYFUNCTION("""COMPUTED_VALUE"""),"DANO")</f>
        <v>DANO</v>
      </c>
      <c r="D2103" s="6">
        <f>IFERROR(__xludf.DUMMYFUNCTION("""COMPUTED_VALUE"""),11.0)</f>
        <v>11</v>
      </c>
      <c r="E2103" s="6">
        <f>IFERROR(__xludf.DUMMYFUNCTION("""COMPUTED_VALUE"""),10.0)</f>
        <v>10</v>
      </c>
      <c r="F2103" s="6">
        <f>IFERROR(__xludf.DUMMYFUNCTION("""COMPUTED_VALUE"""),54.0)</f>
        <v>54</v>
      </c>
      <c r="G2103" s="6">
        <f>IFERROR(__xludf.DUMMYFUNCTION("""COMPUTED_VALUE"""),75.0)</f>
        <v>75</v>
      </c>
    </row>
    <row r="2104">
      <c r="A2104" s="6">
        <f>IFERROR(__xludf.DUMMYFUNCTION("""COMPUTED_VALUE"""),2023.0)</f>
        <v>2023</v>
      </c>
      <c r="B2104" s="6" t="str">
        <f>IFERROR(__xludf.DUMMYFUNCTION("""COMPUTED_VALUE"""),"Agosto")</f>
        <v>Agosto</v>
      </c>
      <c r="C2104" s="6" t="str">
        <f>IFERROR(__xludf.DUMMYFUNCTION("""COMPUTED_VALUE"""),"ESTUPRO CONSUMADO")</f>
        <v>ESTUPRO CONSUMADO</v>
      </c>
      <c r="D2104" s="6">
        <f>IFERROR(__xludf.DUMMYFUNCTION("""COMPUTED_VALUE"""),10.0)</f>
        <v>10</v>
      </c>
      <c r="E2104" s="6">
        <f>IFERROR(__xludf.DUMMYFUNCTION("""COMPUTED_VALUE"""),7.0)</f>
        <v>7</v>
      </c>
      <c r="F2104" s="6">
        <f>IFERROR(__xludf.DUMMYFUNCTION("""COMPUTED_VALUE"""),17.0)</f>
        <v>17</v>
      </c>
      <c r="G2104" s="6">
        <f>IFERROR(__xludf.DUMMYFUNCTION("""COMPUTED_VALUE"""),34.0)</f>
        <v>34</v>
      </c>
    </row>
    <row r="2105">
      <c r="A2105" s="6">
        <f>IFERROR(__xludf.DUMMYFUNCTION("""COMPUTED_VALUE"""),2023.0)</f>
        <v>2023</v>
      </c>
      <c r="B2105" s="6" t="str">
        <f>IFERROR(__xludf.DUMMYFUNCTION("""COMPUTED_VALUE"""),"Agosto")</f>
        <v>Agosto</v>
      </c>
      <c r="C2105" s="6" t="str">
        <f>IFERROR(__xludf.DUMMYFUNCTION("""COMPUTED_VALUE"""),"ESTUPRO TENTADO")</f>
        <v>ESTUPRO TENTADO</v>
      </c>
      <c r="D2105" s="6">
        <f>IFERROR(__xludf.DUMMYFUNCTION("""COMPUTED_VALUE"""),0.0)</f>
        <v>0</v>
      </c>
      <c r="E2105" s="6">
        <f>IFERROR(__xludf.DUMMYFUNCTION("""COMPUTED_VALUE"""),0.0)</f>
        <v>0</v>
      </c>
      <c r="F2105" s="6">
        <f>IFERROR(__xludf.DUMMYFUNCTION("""COMPUTED_VALUE"""),1.0)</f>
        <v>1</v>
      </c>
      <c r="G2105" s="6">
        <f>IFERROR(__xludf.DUMMYFUNCTION("""COMPUTED_VALUE"""),1.0)</f>
        <v>1</v>
      </c>
    </row>
    <row r="2106">
      <c r="A2106" s="6">
        <f>IFERROR(__xludf.DUMMYFUNCTION("""COMPUTED_VALUE"""),2023.0)</f>
        <v>2023</v>
      </c>
      <c r="B2106" s="6" t="str">
        <f>IFERROR(__xludf.DUMMYFUNCTION("""COMPUTED_VALUE"""),"Agosto")</f>
        <v>Agosto</v>
      </c>
      <c r="C2106" s="6" t="str">
        <f>IFERROR(__xludf.DUMMYFUNCTION("""COMPUTED_VALUE"""),"ESTUPRO DE VULNERÁVEL CONSUMADO")</f>
        <v>ESTUPRO DE VULNERÁVEL CONSUMADO</v>
      </c>
      <c r="D2106" s="6">
        <f>IFERROR(__xludf.DUMMYFUNCTION("""COMPUTED_VALUE"""),3.0)</f>
        <v>3</v>
      </c>
      <c r="E2106" s="6">
        <f>IFERROR(__xludf.DUMMYFUNCTION("""COMPUTED_VALUE"""),4.0)</f>
        <v>4</v>
      </c>
      <c r="F2106" s="6">
        <f>IFERROR(__xludf.DUMMYFUNCTION("""COMPUTED_VALUE"""),17.0)</f>
        <v>17</v>
      </c>
      <c r="G2106" s="6">
        <f>IFERROR(__xludf.DUMMYFUNCTION("""COMPUTED_VALUE"""),24.0)</f>
        <v>24</v>
      </c>
    </row>
    <row r="2107">
      <c r="A2107" s="6">
        <f>IFERROR(__xludf.DUMMYFUNCTION("""COMPUTED_VALUE"""),2023.0)</f>
        <v>2023</v>
      </c>
      <c r="B2107" s="6" t="str">
        <f>IFERROR(__xludf.DUMMYFUNCTION("""COMPUTED_VALUE"""),"Agosto")</f>
        <v>Agosto</v>
      </c>
      <c r="C2107" s="6" t="str">
        <f>IFERROR(__xludf.DUMMYFUNCTION("""COMPUTED_VALUE"""),"OUTROS C/C/ DIGNIDADE SEXUAL")</f>
        <v>OUTROS C/C/ DIGNIDADE SEXUAL</v>
      </c>
      <c r="D2107" s="6">
        <f>IFERROR(__xludf.DUMMYFUNCTION("""COMPUTED_VALUE"""),0.0)</f>
        <v>0</v>
      </c>
      <c r="E2107" s="6">
        <f>IFERROR(__xludf.DUMMYFUNCTION("""COMPUTED_VALUE"""),0.0)</f>
        <v>0</v>
      </c>
      <c r="F2107" s="6">
        <f>IFERROR(__xludf.DUMMYFUNCTION("""COMPUTED_VALUE"""),2.0)</f>
        <v>2</v>
      </c>
      <c r="G2107" s="6">
        <f>IFERROR(__xludf.DUMMYFUNCTION("""COMPUTED_VALUE"""),2.0)</f>
        <v>2</v>
      </c>
    </row>
    <row r="2108">
      <c r="A2108" s="6">
        <f>IFERROR(__xludf.DUMMYFUNCTION("""COMPUTED_VALUE"""),2023.0)</f>
        <v>2023</v>
      </c>
      <c r="B2108" s="6" t="str">
        <f>IFERROR(__xludf.DUMMYFUNCTION("""COMPUTED_VALUE"""),"Setembro")</f>
        <v>Setembro</v>
      </c>
      <c r="C2108" s="6" t="str">
        <f>IFERROR(__xludf.DUMMYFUNCTION("""COMPUTED_VALUE"""),"HOMICÍDIO DOLOSO (exclui FEMINICÍDIO)")</f>
        <v>HOMICÍDIO DOLOSO (exclui FEMINICÍDIO)</v>
      </c>
      <c r="D2108" s="6">
        <f>IFERROR(__xludf.DUMMYFUNCTION("""COMPUTED_VALUE"""),1.0)</f>
        <v>1</v>
      </c>
      <c r="E2108" s="6">
        <f>IFERROR(__xludf.DUMMYFUNCTION("""COMPUTED_VALUE"""),0.0)</f>
        <v>0</v>
      </c>
      <c r="F2108" s="6">
        <f>IFERROR(__xludf.DUMMYFUNCTION("""COMPUTED_VALUE"""),2.0)</f>
        <v>2</v>
      </c>
      <c r="G2108" s="6">
        <f>IFERROR(__xludf.DUMMYFUNCTION("""COMPUTED_VALUE"""),3.0)</f>
        <v>3</v>
      </c>
    </row>
    <row r="2109">
      <c r="A2109" s="6">
        <f>IFERROR(__xludf.DUMMYFUNCTION("""COMPUTED_VALUE"""),2023.0)</f>
        <v>2023</v>
      </c>
      <c r="B2109" s="6" t="str">
        <f>IFERROR(__xludf.DUMMYFUNCTION("""COMPUTED_VALUE"""),"Setembro")</f>
        <v>Setembro</v>
      </c>
      <c r="C2109" s="6" t="str">
        <f>IFERROR(__xludf.DUMMYFUNCTION("""COMPUTED_VALUE"""),"FEMINICÍDIO")</f>
        <v>FEMINICÍDIO</v>
      </c>
      <c r="D2109" s="6">
        <f>IFERROR(__xludf.DUMMYFUNCTION("""COMPUTED_VALUE"""),4.0)</f>
        <v>4</v>
      </c>
      <c r="E2109" s="6">
        <f>IFERROR(__xludf.DUMMYFUNCTION("""COMPUTED_VALUE"""),4.0)</f>
        <v>4</v>
      </c>
      <c r="F2109" s="6">
        <f>IFERROR(__xludf.DUMMYFUNCTION("""COMPUTED_VALUE"""),8.0)</f>
        <v>8</v>
      </c>
      <c r="G2109" s="6">
        <f>IFERROR(__xludf.DUMMYFUNCTION("""COMPUTED_VALUE"""),16.0)</f>
        <v>16</v>
      </c>
    </row>
    <row r="2110">
      <c r="A2110" s="6">
        <f>IFERROR(__xludf.DUMMYFUNCTION("""COMPUTED_VALUE"""),2023.0)</f>
        <v>2023</v>
      </c>
      <c r="B2110" s="6" t="str">
        <f>IFERROR(__xludf.DUMMYFUNCTION("""COMPUTED_VALUE"""),"Setembro")</f>
        <v>Setembro</v>
      </c>
      <c r="C2110" s="6" t="str">
        <f>IFERROR(__xludf.DUMMYFUNCTION("""COMPUTED_VALUE"""),"HOMICÍDIO CULPOSO")</f>
        <v>HOMICÍDIO CULPOSO</v>
      </c>
      <c r="D2110" s="6">
        <f>IFERROR(__xludf.DUMMYFUNCTION("""COMPUTED_VALUE"""),0.0)</f>
        <v>0</v>
      </c>
      <c r="E2110" s="6">
        <f>IFERROR(__xludf.DUMMYFUNCTION("""COMPUTED_VALUE"""),0.0)</f>
        <v>0</v>
      </c>
      <c r="F2110" s="6">
        <f>IFERROR(__xludf.DUMMYFUNCTION("""COMPUTED_VALUE"""),0.0)</f>
        <v>0</v>
      </c>
      <c r="G2110" s="6">
        <f>IFERROR(__xludf.DUMMYFUNCTION("""COMPUTED_VALUE"""),0.0)</f>
        <v>0</v>
      </c>
    </row>
    <row r="2111">
      <c r="A2111" s="6">
        <f>IFERROR(__xludf.DUMMYFUNCTION("""COMPUTED_VALUE"""),2023.0)</f>
        <v>2023</v>
      </c>
      <c r="B2111" s="6" t="str">
        <f>IFERROR(__xludf.DUMMYFUNCTION("""COMPUTED_VALUE"""),"Setembro")</f>
        <v>Setembro</v>
      </c>
      <c r="C2111" s="6" t="str">
        <f>IFERROR(__xludf.DUMMYFUNCTION("""COMPUTED_VALUE"""),"TENTATIVA DE HOMICÍDIO")</f>
        <v>TENTATIVA DE HOMICÍDIO</v>
      </c>
      <c r="D2111" s="6">
        <f>IFERROR(__xludf.DUMMYFUNCTION("""COMPUTED_VALUE"""),1.0)</f>
        <v>1</v>
      </c>
      <c r="E2111" s="6">
        <f>IFERROR(__xludf.DUMMYFUNCTION("""COMPUTED_VALUE"""),1.0)</f>
        <v>1</v>
      </c>
      <c r="F2111" s="6">
        <f>IFERROR(__xludf.DUMMYFUNCTION("""COMPUTED_VALUE"""),11.0)</f>
        <v>11</v>
      </c>
      <c r="G2111" s="6">
        <f>IFERROR(__xludf.DUMMYFUNCTION("""COMPUTED_VALUE"""),13.0)</f>
        <v>13</v>
      </c>
    </row>
    <row r="2112">
      <c r="A2112" s="6">
        <f>IFERROR(__xludf.DUMMYFUNCTION("""COMPUTED_VALUE"""),2023.0)</f>
        <v>2023</v>
      </c>
      <c r="B2112" s="6" t="str">
        <f>IFERROR(__xludf.DUMMYFUNCTION("""COMPUTED_VALUE"""),"Setembro")</f>
        <v>Setembro</v>
      </c>
      <c r="C2112" s="6" t="str">
        <f>IFERROR(__xludf.DUMMYFUNCTION("""COMPUTED_VALUE"""),"LESÃO CORPORAL DOLOSA")</f>
        <v>LESÃO CORPORAL DOLOSA</v>
      </c>
      <c r="D2112" s="6">
        <f>IFERROR(__xludf.DUMMYFUNCTION("""COMPUTED_VALUE"""),912.0)</f>
        <v>912</v>
      </c>
      <c r="E2112" s="6">
        <f>IFERROR(__xludf.DUMMYFUNCTION("""COMPUTED_VALUE"""),784.0)</f>
        <v>784</v>
      </c>
      <c r="F2112" s="6">
        <f>IFERROR(__xludf.DUMMYFUNCTION("""COMPUTED_VALUE"""),2814.0)</f>
        <v>2814</v>
      </c>
      <c r="G2112" s="6">
        <f>IFERROR(__xludf.DUMMYFUNCTION("""COMPUTED_VALUE"""),4510.0)</f>
        <v>4510</v>
      </c>
    </row>
    <row r="2113">
      <c r="A2113" s="6">
        <f>IFERROR(__xludf.DUMMYFUNCTION("""COMPUTED_VALUE"""),2023.0)</f>
        <v>2023</v>
      </c>
      <c r="B2113" s="6" t="str">
        <f>IFERROR(__xludf.DUMMYFUNCTION("""COMPUTED_VALUE"""),"Setembro")</f>
        <v>Setembro</v>
      </c>
      <c r="C2113" s="6" t="str">
        <f>IFERROR(__xludf.DUMMYFUNCTION("""COMPUTED_VALUE"""),"MAUS TRATOS")</f>
        <v>MAUS TRATOS</v>
      </c>
      <c r="D2113" s="6">
        <f>IFERROR(__xludf.DUMMYFUNCTION("""COMPUTED_VALUE"""),2.0)</f>
        <v>2</v>
      </c>
      <c r="E2113" s="6">
        <f>IFERROR(__xludf.DUMMYFUNCTION("""COMPUTED_VALUE"""),2.0)</f>
        <v>2</v>
      </c>
      <c r="F2113" s="6">
        <f>IFERROR(__xludf.DUMMYFUNCTION("""COMPUTED_VALUE"""),14.0)</f>
        <v>14</v>
      </c>
      <c r="G2113" s="6">
        <f>IFERROR(__xludf.DUMMYFUNCTION("""COMPUTED_VALUE"""),18.0)</f>
        <v>18</v>
      </c>
    </row>
    <row r="2114">
      <c r="A2114" s="6">
        <f>IFERROR(__xludf.DUMMYFUNCTION("""COMPUTED_VALUE"""),2023.0)</f>
        <v>2023</v>
      </c>
      <c r="B2114" s="6" t="str">
        <f>IFERROR(__xludf.DUMMYFUNCTION("""COMPUTED_VALUE"""),"Setembro")</f>
        <v>Setembro</v>
      </c>
      <c r="C2114" s="6" t="str">
        <f>IFERROR(__xludf.DUMMYFUNCTION("""COMPUTED_VALUE"""),"CALÚNIA - DIFAMAÇÃO - INJÚRIA")</f>
        <v>CALÚNIA - DIFAMAÇÃO - INJÚRIA</v>
      </c>
      <c r="D2114" s="6">
        <f>IFERROR(__xludf.DUMMYFUNCTION("""COMPUTED_VALUE"""),178.0)</f>
        <v>178</v>
      </c>
      <c r="E2114" s="6">
        <f>IFERROR(__xludf.DUMMYFUNCTION("""COMPUTED_VALUE"""),151.0)</f>
        <v>151</v>
      </c>
      <c r="F2114" s="6">
        <f>IFERROR(__xludf.DUMMYFUNCTION("""COMPUTED_VALUE"""),654.0)</f>
        <v>654</v>
      </c>
      <c r="G2114" s="6">
        <f>IFERROR(__xludf.DUMMYFUNCTION("""COMPUTED_VALUE"""),983.0)</f>
        <v>983</v>
      </c>
    </row>
    <row r="2115">
      <c r="A2115" s="6">
        <f>IFERROR(__xludf.DUMMYFUNCTION("""COMPUTED_VALUE"""),2023.0)</f>
        <v>2023</v>
      </c>
      <c r="B2115" s="6" t="str">
        <f>IFERROR(__xludf.DUMMYFUNCTION("""COMPUTED_VALUE"""),"Setembro")</f>
        <v>Setembro</v>
      </c>
      <c r="C2115" s="6" t="str">
        <f>IFERROR(__xludf.DUMMYFUNCTION("""COMPUTED_VALUE"""),"CONSTRANGIMENTO ILEGAL")</f>
        <v>CONSTRANGIMENTO ILEGAL</v>
      </c>
      <c r="D2115" s="6">
        <f>IFERROR(__xludf.DUMMYFUNCTION("""COMPUTED_VALUE"""),1.0)</f>
        <v>1</v>
      </c>
      <c r="E2115" s="6">
        <f>IFERROR(__xludf.DUMMYFUNCTION("""COMPUTED_VALUE"""),0.0)</f>
        <v>0</v>
      </c>
      <c r="F2115" s="6">
        <f>IFERROR(__xludf.DUMMYFUNCTION("""COMPUTED_VALUE"""),5.0)</f>
        <v>5</v>
      </c>
      <c r="G2115" s="6">
        <f>IFERROR(__xludf.DUMMYFUNCTION("""COMPUTED_VALUE"""),6.0)</f>
        <v>6</v>
      </c>
    </row>
    <row r="2116">
      <c r="A2116" s="6">
        <f>IFERROR(__xludf.DUMMYFUNCTION("""COMPUTED_VALUE"""),2023.0)</f>
        <v>2023</v>
      </c>
      <c r="B2116" s="6" t="str">
        <f>IFERROR(__xludf.DUMMYFUNCTION("""COMPUTED_VALUE"""),"Setembro")</f>
        <v>Setembro</v>
      </c>
      <c r="C2116" s="6" t="str">
        <f>IFERROR(__xludf.DUMMYFUNCTION("""COMPUTED_VALUE"""),"AMEAÇA")</f>
        <v>AMEAÇA</v>
      </c>
      <c r="D2116" s="6">
        <f>IFERROR(__xludf.DUMMYFUNCTION("""COMPUTED_VALUE"""),842.0)</f>
        <v>842</v>
      </c>
      <c r="E2116" s="6">
        <f>IFERROR(__xludf.DUMMYFUNCTION("""COMPUTED_VALUE"""),771.0)</f>
        <v>771</v>
      </c>
      <c r="F2116" s="6">
        <f>IFERROR(__xludf.DUMMYFUNCTION("""COMPUTED_VALUE"""),2884.0)</f>
        <v>2884</v>
      </c>
      <c r="G2116" s="6">
        <f>IFERROR(__xludf.DUMMYFUNCTION("""COMPUTED_VALUE"""),4497.0)</f>
        <v>4497</v>
      </c>
    </row>
    <row r="2117">
      <c r="A2117" s="6">
        <f>IFERROR(__xludf.DUMMYFUNCTION("""COMPUTED_VALUE"""),2023.0)</f>
        <v>2023</v>
      </c>
      <c r="B2117" s="6" t="str">
        <f>IFERROR(__xludf.DUMMYFUNCTION("""COMPUTED_VALUE"""),"Setembro")</f>
        <v>Setembro</v>
      </c>
      <c r="C2117" s="6" t="str">
        <f>IFERROR(__xludf.DUMMYFUNCTION("""COMPUTED_VALUE"""),"INVASÃO DE DOMICÍLIO")</f>
        <v>INVASÃO DE DOMICÍLIO</v>
      </c>
      <c r="D2117" s="6">
        <f>IFERROR(__xludf.DUMMYFUNCTION("""COMPUTED_VALUE"""),1.0)</f>
        <v>1</v>
      </c>
      <c r="E2117" s="6">
        <f>IFERROR(__xludf.DUMMYFUNCTION("""COMPUTED_VALUE"""),1.0)</f>
        <v>1</v>
      </c>
      <c r="F2117" s="6">
        <f>IFERROR(__xludf.DUMMYFUNCTION("""COMPUTED_VALUE"""),11.0)</f>
        <v>11</v>
      </c>
      <c r="G2117" s="6">
        <f>IFERROR(__xludf.DUMMYFUNCTION("""COMPUTED_VALUE"""),13.0)</f>
        <v>13</v>
      </c>
    </row>
    <row r="2118">
      <c r="A2118" s="6">
        <f>IFERROR(__xludf.DUMMYFUNCTION("""COMPUTED_VALUE"""),2023.0)</f>
        <v>2023</v>
      </c>
      <c r="B2118" s="6" t="str">
        <f>IFERROR(__xludf.DUMMYFUNCTION("""COMPUTED_VALUE"""),"Setembro")</f>
        <v>Setembro</v>
      </c>
      <c r="C2118" s="6" t="str">
        <f>IFERROR(__xludf.DUMMYFUNCTION("""COMPUTED_VALUE"""),"DANO")</f>
        <v>DANO</v>
      </c>
      <c r="D2118" s="6">
        <f>IFERROR(__xludf.DUMMYFUNCTION("""COMPUTED_VALUE"""),9.0)</f>
        <v>9</v>
      </c>
      <c r="E2118" s="6">
        <f>IFERROR(__xludf.DUMMYFUNCTION("""COMPUTED_VALUE"""),9.0)</f>
        <v>9</v>
      </c>
      <c r="F2118" s="6">
        <f>IFERROR(__xludf.DUMMYFUNCTION("""COMPUTED_VALUE"""),51.0)</f>
        <v>51</v>
      </c>
      <c r="G2118" s="6">
        <f>IFERROR(__xludf.DUMMYFUNCTION("""COMPUTED_VALUE"""),69.0)</f>
        <v>69</v>
      </c>
    </row>
    <row r="2119">
      <c r="A2119" s="6">
        <f>IFERROR(__xludf.DUMMYFUNCTION("""COMPUTED_VALUE"""),2023.0)</f>
        <v>2023</v>
      </c>
      <c r="B2119" s="6" t="str">
        <f>IFERROR(__xludf.DUMMYFUNCTION("""COMPUTED_VALUE"""),"Setembro")</f>
        <v>Setembro</v>
      </c>
      <c r="C2119" s="6" t="str">
        <f>IFERROR(__xludf.DUMMYFUNCTION("""COMPUTED_VALUE"""),"ESTUPRO CONSUMADO")</f>
        <v>ESTUPRO CONSUMADO</v>
      </c>
      <c r="D2119" s="6">
        <f>IFERROR(__xludf.DUMMYFUNCTION("""COMPUTED_VALUE"""),9.0)</f>
        <v>9</v>
      </c>
      <c r="E2119" s="6">
        <f>IFERROR(__xludf.DUMMYFUNCTION("""COMPUTED_VALUE"""),6.0)</f>
        <v>6</v>
      </c>
      <c r="F2119" s="6">
        <f>IFERROR(__xludf.DUMMYFUNCTION("""COMPUTED_VALUE"""),16.0)</f>
        <v>16</v>
      </c>
      <c r="G2119" s="6">
        <f>IFERROR(__xludf.DUMMYFUNCTION("""COMPUTED_VALUE"""),31.0)</f>
        <v>31</v>
      </c>
    </row>
    <row r="2120">
      <c r="A2120" s="6">
        <f>IFERROR(__xludf.DUMMYFUNCTION("""COMPUTED_VALUE"""),2023.0)</f>
        <v>2023</v>
      </c>
      <c r="B2120" s="6" t="str">
        <f>IFERROR(__xludf.DUMMYFUNCTION("""COMPUTED_VALUE"""),"Setembro")</f>
        <v>Setembro</v>
      </c>
      <c r="C2120" s="6" t="str">
        <f>IFERROR(__xludf.DUMMYFUNCTION("""COMPUTED_VALUE"""),"ESTUPRO TENTADO")</f>
        <v>ESTUPRO TENTADO</v>
      </c>
      <c r="D2120" s="6">
        <f>IFERROR(__xludf.DUMMYFUNCTION("""COMPUTED_VALUE"""),0.0)</f>
        <v>0</v>
      </c>
      <c r="E2120" s="6">
        <f>IFERROR(__xludf.DUMMYFUNCTION("""COMPUTED_VALUE"""),0.0)</f>
        <v>0</v>
      </c>
      <c r="F2120" s="6">
        <f>IFERROR(__xludf.DUMMYFUNCTION("""COMPUTED_VALUE"""),1.0)</f>
        <v>1</v>
      </c>
      <c r="G2120" s="6">
        <f>IFERROR(__xludf.DUMMYFUNCTION("""COMPUTED_VALUE"""),1.0)</f>
        <v>1</v>
      </c>
    </row>
    <row r="2121">
      <c r="A2121" s="6">
        <f>IFERROR(__xludf.DUMMYFUNCTION("""COMPUTED_VALUE"""),2023.0)</f>
        <v>2023</v>
      </c>
      <c r="B2121" s="6" t="str">
        <f>IFERROR(__xludf.DUMMYFUNCTION("""COMPUTED_VALUE"""),"Setembro")</f>
        <v>Setembro</v>
      </c>
      <c r="C2121" s="6" t="str">
        <f>IFERROR(__xludf.DUMMYFUNCTION("""COMPUTED_VALUE"""),"ESTUPRO DE VULNERÁVEL CONSUMADO")</f>
        <v>ESTUPRO DE VULNERÁVEL CONSUMADO</v>
      </c>
      <c r="D2121" s="6">
        <f>IFERROR(__xludf.DUMMYFUNCTION("""COMPUTED_VALUE"""),2.0)</f>
        <v>2</v>
      </c>
      <c r="E2121" s="6">
        <f>IFERROR(__xludf.DUMMYFUNCTION("""COMPUTED_VALUE"""),3.0)</f>
        <v>3</v>
      </c>
      <c r="F2121" s="6">
        <f>IFERROR(__xludf.DUMMYFUNCTION("""COMPUTED_VALUE"""),15.0)</f>
        <v>15</v>
      </c>
      <c r="G2121" s="6">
        <f>IFERROR(__xludf.DUMMYFUNCTION("""COMPUTED_VALUE"""),20.0)</f>
        <v>20</v>
      </c>
    </row>
    <row r="2122">
      <c r="A2122" s="6">
        <f>IFERROR(__xludf.DUMMYFUNCTION("""COMPUTED_VALUE"""),2023.0)</f>
        <v>2023</v>
      </c>
      <c r="B2122" s="6" t="str">
        <f>IFERROR(__xludf.DUMMYFUNCTION("""COMPUTED_VALUE"""),"Setembro")</f>
        <v>Setembro</v>
      </c>
      <c r="C2122" s="6" t="str">
        <f>IFERROR(__xludf.DUMMYFUNCTION("""COMPUTED_VALUE"""),"OUTROS C/C/ DIGNIDADE SEXUAL")</f>
        <v>OUTROS C/C/ DIGNIDADE SEXUAL</v>
      </c>
      <c r="D2122" s="6">
        <f>IFERROR(__xludf.DUMMYFUNCTION("""COMPUTED_VALUE"""),0.0)</f>
        <v>0</v>
      </c>
      <c r="E2122" s="6">
        <f>IFERROR(__xludf.DUMMYFUNCTION("""COMPUTED_VALUE"""),0.0)</f>
        <v>0</v>
      </c>
      <c r="F2122" s="6">
        <f>IFERROR(__xludf.DUMMYFUNCTION("""COMPUTED_VALUE"""),1.0)</f>
        <v>1</v>
      </c>
      <c r="G2122" s="6">
        <f>IFERROR(__xludf.DUMMYFUNCTION("""COMPUTED_VALUE"""),1.0)</f>
        <v>1</v>
      </c>
    </row>
    <row r="2123">
      <c r="A2123" s="6">
        <f>IFERROR(__xludf.DUMMYFUNCTION("""COMPUTED_VALUE"""),2023.0)</f>
        <v>2023</v>
      </c>
      <c r="B2123" s="6" t="str">
        <f>IFERROR(__xludf.DUMMYFUNCTION("""COMPUTED_VALUE"""),"Outubro")</f>
        <v>Outubro</v>
      </c>
      <c r="C2123" s="6" t="str">
        <f>IFERROR(__xludf.DUMMYFUNCTION("""COMPUTED_VALUE"""),"HOMICÍDIO DOLOSO (exclui FEMINICÍDIO)")</f>
        <v>HOMICÍDIO DOLOSO (exclui FEMINICÍDIO)</v>
      </c>
      <c r="D2123" s="6">
        <f>IFERROR(__xludf.DUMMYFUNCTION("""COMPUTED_VALUE"""),2.0)</f>
        <v>2</v>
      </c>
      <c r="E2123" s="6">
        <f>IFERROR(__xludf.DUMMYFUNCTION("""COMPUTED_VALUE"""),1.0)</f>
        <v>1</v>
      </c>
      <c r="F2123" s="6">
        <f>IFERROR(__xludf.DUMMYFUNCTION("""COMPUTED_VALUE"""),3.0)</f>
        <v>3</v>
      </c>
      <c r="G2123" s="6">
        <f>IFERROR(__xludf.DUMMYFUNCTION("""COMPUTED_VALUE"""),6.0)</f>
        <v>6</v>
      </c>
    </row>
    <row r="2124">
      <c r="A2124" s="6">
        <f>IFERROR(__xludf.DUMMYFUNCTION("""COMPUTED_VALUE"""),2023.0)</f>
        <v>2023</v>
      </c>
      <c r="B2124" s="6" t="str">
        <f>IFERROR(__xludf.DUMMYFUNCTION("""COMPUTED_VALUE"""),"Outubro")</f>
        <v>Outubro</v>
      </c>
      <c r="C2124" s="6" t="str">
        <f>IFERROR(__xludf.DUMMYFUNCTION("""COMPUTED_VALUE"""),"FEMINICÍDIO")</f>
        <v>FEMINICÍDIO</v>
      </c>
      <c r="D2124" s="6">
        <f>IFERROR(__xludf.DUMMYFUNCTION("""COMPUTED_VALUE"""),4.0)</f>
        <v>4</v>
      </c>
      <c r="E2124" s="6">
        <f>IFERROR(__xludf.DUMMYFUNCTION("""COMPUTED_VALUE"""),4.0)</f>
        <v>4</v>
      </c>
      <c r="F2124" s="6">
        <f>IFERROR(__xludf.DUMMYFUNCTION("""COMPUTED_VALUE"""),8.0)</f>
        <v>8</v>
      </c>
      <c r="G2124" s="6">
        <f>IFERROR(__xludf.DUMMYFUNCTION("""COMPUTED_VALUE"""),16.0)</f>
        <v>16</v>
      </c>
    </row>
    <row r="2125">
      <c r="A2125" s="6">
        <f>IFERROR(__xludf.DUMMYFUNCTION("""COMPUTED_VALUE"""),2023.0)</f>
        <v>2023</v>
      </c>
      <c r="B2125" s="6" t="str">
        <f>IFERROR(__xludf.DUMMYFUNCTION("""COMPUTED_VALUE"""),"Outubro")</f>
        <v>Outubro</v>
      </c>
      <c r="C2125" s="6" t="str">
        <f>IFERROR(__xludf.DUMMYFUNCTION("""COMPUTED_VALUE"""),"HOMICÍDIO CULPOSO")</f>
        <v>HOMICÍDIO CULPOSO</v>
      </c>
      <c r="D2125" s="6">
        <f>IFERROR(__xludf.DUMMYFUNCTION("""COMPUTED_VALUE"""),0.0)</f>
        <v>0</v>
      </c>
      <c r="E2125" s="6">
        <f>IFERROR(__xludf.DUMMYFUNCTION("""COMPUTED_VALUE"""),0.0)</f>
        <v>0</v>
      </c>
      <c r="F2125" s="6">
        <f>IFERROR(__xludf.DUMMYFUNCTION("""COMPUTED_VALUE"""),0.0)</f>
        <v>0</v>
      </c>
      <c r="G2125" s="6">
        <f>IFERROR(__xludf.DUMMYFUNCTION("""COMPUTED_VALUE"""),0.0)</f>
        <v>0</v>
      </c>
    </row>
    <row r="2126">
      <c r="A2126" s="6">
        <f>IFERROR(__xludf.DUMMYFUNCTION("""COMPUTED_VALUE"""),2023.0)</f>
        <v>2023</v>
      </c>
      <c r="B2126" s="6" t="str">
        <f>IFERROR(__xludf.DUMMYFUNCTION("""COMPUTED_VALUE"""),"Outubro")</f>
        <v>Outubro</v>
      </c>
      <c r="C2126" s="6" t="str">
        <f>IFERROR(__xludf.DUMMYFUNCTION("""COMPUTED_VALUE"""),"TENTATIVA DE HOMICÍDIO")</f>
        <v>TENTATIVA DE HOMICÍDIO</v>
      </c>
      <c r="D2126" s="6">
        <f>IFERROR(__xludf.DUMMYFUNCTION("""COMPUTED_VALUE"""),2.0)</f>
        <v>2</v>
      </c>
      <c r="E2126" s="6">
        <f>IFERROR(__xludf.DUMMYFUNCTION("""COMPUTED_VALUE"""),2.0)</f>
        <v>2</v>
      </c>
      <c r="F2126" s="6">
        <f>IFERROR(__xludf.DUMMYFUNCTION("""COMPUTED_VALUE"""),13.0)</f>
        <v>13</v>
      </c>
      <c r="G2126" s="6">
        <f>IFERROR(__xludf.DUMMYFUNCTION("""COMPUTED_VALUE"""),17.0)</f>
        <v>17</v>
      </c>
    </row>
    <row r="2127">
      <c r="A2127" s="6">
        <f>IFERROR(__xludf.DUMMYFUNCTION("""COMPUTED_VALUE"""),2023.0)</f>
        <v>2023</v>
      </c>
      <c r="B2127" s="6" t="str">
        <f>IFERROR(__xludf.DUMMYFUNCTION("""COMPUTED_VALUE"""),"Outubro")</f>
        <v>Outubro</v>
      </c>
      <c r="C2127" s="6" t="str">
        <f>IFERROR(__xludf.DUMMYFUNCTION("""COMPUTED_VALUE"""),"LESÃO CORPORAL DOLOSA")</f>
        <v>LESÃO CORPORAL DOLOSA</v>
      </c>
      <c r="D2127" s="6">
        <f>IFERROR(__xludf.DUMMYFUNCTION("""COMPUTED_VALUE"""),1014.0)</f>
        <v>1014</v>
      </c>
      <c r="E2127" s="6">
        <f>IFERROR(__xludf.DUMMYFUNCTION("""COMPUTED_VALUE"""),864.0)</f>
        <v>864</v>
      </c>
      <c r="F2127" s="6">
        <f>IFERROR(__xludf.DUMMYFUNCTION("""COMPUTED_VALUE"""),3118.0)</f>
        <v>3118</v>
      </c>
      <c r="G2127" s="6">
        <f>IFERROR(__xludf.DUMMYFUNCTION("""COMPUTED_VALUE"""),4996.0)</f>
        <v>4996</v>
      </c>
    </row>
    <row r="2128">
      <c r="A2128" s="6">
        <f>IFERROR(__xludf.DUMMYFUNCTION("""COMPUTED_VALUE"""),2023.0)</f>
        <v>2023</v>
      </c>
      <c r="B2128" s="6" t="str">
        <f>IFERROR(__xludf.DUMMYFUNCTION("""COMPUTED_VALUE"""),"Outubro")</f>
        <v>Outubro</v>
      </c>
      <c r="C2128" s="6" t="str">
        <f>IFERROR(__xludf.DUMMYFUNCTION("""COMPUTED_VALUE"""),"MAUS TRATOS")</f>
        <v>MAUS TRATOS</v>
      </c>
      <c r="D2128" s="6">
        <f>IFERROR(__xludf.DUMMYFUNCTION("""COMPUTED_VALUE"""),3.0)</f>
        <v>3</v>
      </c>
      <c r="E2128" s="6">
        <f>IFERROR(__xludf.DUMMYFUNCTION("""COMPUTED_VALUE"""),2.0)</f>
        <v>2</v>
      </c>
      <c r="F2128" s="6">
        <f>IFERROR(__xludf.DUMMYFUNCTION("""COMPUTED_VALUE"""),18.0)</f>
        <v>18</v>
      </c>
      <c r="G2128" s="6">
        <f>IFERROR(__xludf.DUMMYFUNCTION("""COMPUTED_VALUE"""),23.0)</f>
        <v>23</v>
      </c>
    </row>
    <row r="2129">
      <c r="A2129" s="6">
        <f>IFERROR(__xludf.DUMMYFUNCTION("""COMPUTED_VALUE"""),2023.0)</f>
        <v>2023</v>
      </c>
      <c r="B2129" s="6" t="str">
        <f>IFERROR(__xludf.DUMMYFUNCTION("""COMPUTED_VALUE"""),"Outubro")</f>
        <v>Outubro</v>
      </c>
      <c r="C2129" s="6" t="str">
        <f>IFERROR(__xludf.DUMMYFUNCTION("""COMPUTED_VALUE"""),"CALÚNIA - DIFAMAÇÃO - INJÚRIA")</f>
        <v>CALÚNIA - DIFAMAÇÃO - INJÚRIA</v>
      </c>
      <c r="D2129" s="6">
        <f>IFERROR(__xludf.DUMMYFUNCTION("""COMPUTED_VALUE"""),198.0)</f>
        <v>198</v>
      </c>
      <c r="E2129" s="6">
        <f>IFERROR(__xludf.DUMMYFUNCTION("""COMPUTED_VALUE"""),168.0)</f>
        <v>168</v>
      </c>
      <c r="F2129" s="6">
        <f>IFERROR(__xludf.DUMMYFUNCTION("""COMPUTED_VALUE"""),724.0)</f>
        <v>724</v>
      </c>
      <c r="G2129" s="6">
        <f>IFERROR(__xludf.DUMMYFUNCTION("""COMPUTED_VALUE"""),1090.0)</f>
        <v>1090</v>
      </c>
    </row>
    <row r="2130">
      <c r="A2130" s="6">
        <f>IFERROR(__xludf.DUMMYFUNCTION("""COMPUTED_VALUE"""),2023.0)</f>
        <v>2023</v>
      </c>
      <c r="B2130" s="6" t="str">
        <f>IFERROR(__xludf.DUMMYFUNCTION("""COMPUTED_VALUE"""),"Outubro")</f>
        <v>Outubro</v>
      </c>
      <c r="C2130" s="6" t="str">
        <f>IFERROR(__xludf.DUMMYFUNCTION("""COMPUTED_VALUE"""),"CONSTRANGIMENTO ILEGAL")</f>
        <v>CONSTRANGIMENTO ILEGAL</v>
      </c>
      <c r="D2130" s="6">
        <f>IFERROR(__xludf.DUMMYFUNCTION("""COMPUTED_VALUE"""),1.0)</f>
        <v>1</v>
      </c>
      <c r="E2130" s="6">
        <f>IFERROR(__xludf.DUMMYFUNCTION("""COMPUTED_VALUE"""),1.0)</f>
        <v>1</v>
      </c>
      <c r="F2130" s="6">
        <f>IFERROR(__xludf.DUMMYFUNCTION("""COMPUTED_VALUE"""),7.0)</f>
        <v>7</v>
      </c>
      <c r="G2130" s="6">
        <f>IFERROR(__xludf.DUMMYFUNCTION("""COMPUTED_VALUE"""),9.0)</f>
        <v>9</v>
      </c>
    </row>
    <row r="2131">
      <c r="A2131" s="6">
        <f>IFERROR(__xludf.DUMMYFUNCTION("""COMPUTED_VALUE"""),2023.0)</f>
        <v>2023</v>
      </c>
      <c r="B2131" s="6" t="str">
        <f>IFERROR(__xludf.DUMMYFUNCTION("""COMPUTED_VALUE"""),"Outubro")</f>
        <v>Outubro</v>
      </c>
      <c r="C2131" s="6" t="str">
        <f>IFERROR(__xludf.DUMMYFUNCTION("""COMPUTED_VALUE"""),"AMEAÇA")</f>
        <v>AMEAÇA</v>
      </c>
      <c r="D2131" s="6">
        <f>IFERROR(__xludf.DUMMYFUNCTION("""COMPUTED_VALUE"""),948.0)</f>
        <v>948</v>
      </c>
      <c r="E2131" s="6">
        <f>IFERROR(__xludf.DUMMYFUNCTION("""COMPUTED_VALUE"""),852.0)</f>
        <v>852</v>
      </c>
      <c r="F2131" s="6">
        <f>IFERROR(__xludf.DUMMYFUNCTION("""COMPUTED_VALUE"""),3214.0)</f>
        <v>3214</v>
      </c>
      <c r="G2131" s="6">
        <f>IFERROR(__xludf.DUMMYFUNCTION("""COMPUTED_VALUE"""),5014.0)</f>
        <v>5014</v>
      </c>
    </row>
    <row r="2132">
      <c r="A2132" s="6">
        <f>IFERROR(__xludf.DUMMYFUNCTION("""COMPUTED_VALUE"""),2023.0)</f>
        <v>2023</v>
      </c>
      <c r="B2132" s="6" t="str">
        <f>IFERROR(__xludf.DUMMYFUNCTION("""COMPUTED_VALUE"""),"Outubro")</f>
        <v>Outubro</v>
      </c>
      <c r="C2132" s="6" t="str">
        <f>IFERROR(__xludf.DUMMYFUNCTION("""COMPUTED_VALUE"""),"INVASÃO DE DOMICÍLIO")</f>
        <v>INVASÃO DE DOMICÍLIO</v>
      </c>
      <c r="D2132" s="6">
        <f>IFERROR(__xludf.DUMMYFUNCTION("""COMPUTED_VALUE"""),1.0)</f>
        <v>1</v>
      </c>
      <c r="E2132" s="6">
        <f>IFERROR(__xludf.DUMMYFUNCTION("""COMPUTED_VALUE"""),2.0)</f>
        <v>2</v>
      </c>
      <c r="F2132" s="6">
        <f>IFERROR(__xludf.DUMMYFUNCTION("""COMPUTED_VALUE"""),13.0)</f>
        <v>13</v>
      </c>
      <c r="G2132" s="6">
        <f>IFERROR(__xludf.DUMMYFUNCTION("""COMPUTED_VALUE"""),16.0)</f>
        <v>16</v>
      </c>
    </row>
    <row r="2133">
      <c r="A2133" s="6">
        <f>IFERROR(__xludf.DUMMYFUNCTION("""COMPUTED_VALUE"""),2023.0)</f>
        <v>2023</v>
      </c>
      <c r="B2133" s="6" t="str">
        <f>IFERROR(__xludf.DUMMYFUNCTION("""COMPUTED_VALUE"""),"Outubro")</f>
        <v>Outubro</v>
      </c>
      <c r="C2133" s="6" t="str">
        <f>IFERROR(__xludf.DUMMYFUNCTION("""COMPUTED_VALUE"""),"DANO")</f>
        <v>DANO</v>
      </c>
      <c r="D2133" s="6">
        <f>IFERROR(__xludf.DUMMYFUNCTION("""COMPUTED_VALUE"""),11.0)</f>
        <v>11</v>
      </c>
      <c r="E2133" s="6">
        <f>IFERROR(__xludf.DUMMYFUNCTION("""COMPUTED_VALUE"""),11.0)</f>
        <v>11</v>
      </c>
      <c r="F2133" s="6">
        <f>IFERROR(__xludf.DUMMYFUNCTION("""COMPUTED_VALUE"""),62.0)</f>
        <v>62</v>
      </c>
      <c r="G2133" s="6">
        <f>IFERROR(__xludf.DUMMYFUNCTION("""COMPUTED_VALUE"""),84.0)</f>
        <v>84</v>
      </c>
    </row>
    <row r="2134">
      <c r="A2134" s="6">
        <f>IFERROR(__xludf.DUMMYFUNCTION("""COMPUTED_VALUE"""),2023.0)</f>
        <v>2023</v>
      </c>
      <c r="B2134" s="6" t="str">
        <f>IFERROR(__xludf.DUMMYFUNCTION("""COMPUTED_VALUE"""),"Outubro")</f>
        <v>Outubro</v>
      </c>
      <c r="C2134" s="6" t="str">
        <f>IFERROR(__xludf.DUMMYFUNCTION("""COMPUTED_VALUE"""),"ESTUPRO CONSUMADO")</f>
        <v>ESTUPRO CONSUMADO</v>
      </c>
      <c r="D2134" s="6">
        <f>IFERROR(__xludf.DUMMYFUNCTION("""COMPUTED_VALUE"""),10.0)</f>
        <v>10</v>
      </c>
      <c r="E2134" s="6">
        <f>IFERROR(__xludf.DUMMYFUNCTION("""COMPUTED_VALUE"""),7.0)</f>
        <v>7</v>
      </c>
      <c r="F2134" s="6">
        <f>IFERROR(__xludf.DUMMYFUNCTION("""COMPUTED_VALUE"""),19.0)</f>
        <v>19</v>
      </c>
      <c r="G2134" s="6">
        <f>IFERROR(__xludf.DUMMYFUNCTION("""COMPUTED_VALUE"""),36.0)</f>
        <v>36</v>
      </c>
    </row>
    <row r="2135">
      <c r="A2135" s="6">
        <f>IFERROR(__xludf.DUMMYFUNCTION("""COMPUTED_VALUE"""),2023.0)</f>
        <v>2023</v>
      </c>
      <c r="B2135" s="6" t="str">
        <f>IFERROR(__xludf.DUMMYFUNCTION("""COMPUTED_VALUE"""),"Outubro")</f>
        <v>Outubro</v>
      </c>
      <c r="C2135" s="6" t="str">
        <f>IFERROR(__xludf.DUMMYFUNCTION("""COMPUTED_VALUE"""),"ESTUPRO TENTADO")</f>
        <v>ESTUPRO TENTADO</v>
      </c>
      <c r="D2135" s="6">
        <f>IFERROR(__xludf.DUMMYFUNCTION("""COMPUTED_VALUE"""),1.0)</f>
        <v>1</v>
      </c>
      <c r="E2135" s="6">
        <f>IFERROR(__xludf.DUMMYFUNCTION("""COMPUTED_VALUE"""),0.0)</f>
        <v>0</v>
      </c>
      <c r="F2135" s="6">
        <f>IFERROR(__xludf.DUMMYFUNCTION("""COMPUTED_VALUE"""),1.0)</f>
        <v>1</v>
      </c>
      <c r="G2135" s="6">
        <f>IFERROR(__xludf.DUMMYFUNCTION("""COMPUTED_VALUE"""),2.0)</f>
        <v>2</v>
      </c>
    </row>
    <row r="2136">
      <c r="A2136" s="6">
        <f>IFERROR(__xludf.DUMMYFUNCTION("""COMPUTED_VALUE"""),2023.0)</f>
        <v>2023</v>
      </c>
      <c r="B2136" s="6" t="str">
        <f>IFERROR(__xludf.DUMMYFUNCTION("""COMPUTED_VALUE"""),"Outubro")</f>
        <v>Outubro</v>
      </c>
      <c r="C2136" s="6" t="str">
        <f>IFERROR(__xludf.DUMMYFUNCTION("""COMPUTED_VALUE"""),"ESTUPRO DE VULNERÁVEL CONSUMADO")</f>
        <v>ESTUPRO DE VULNERÁVEL CONSUMADO</v>
      </c>
      <c r="D2136" s="6">
        <f>IFERROR(__xludf.DUMMYFUNCTION("""COMPUTED_VALUE"""),3.0)</f>
        <v>3</v>
      </c>
      <c r="E2136" s="6">
        <f>IFERROR(__xludf.DUMMYFUNCTION("""COMPUTED_VALUE"""),4.0)</f>
        <v>4</v>
      </c>
      <c r="F2136" s="6">
        <f>IFERROR(__xludf.DUMMYFUNCTION("""COMPUTED_VALUE"""),18.0)</f>
        <v>18</v>
      </c>
      <c r="G2136" s="6">
        <f>IFERROR(__xludf.DUMMYFUNCTION("""COMPUTED_VALUE"""),25.0)</f>
        <v>25</v>
      </c>
    </row>
    <row r="2137">
      <c r="A2137" s="6">
        <f>IFERROR(__xludf.DUMMYFUNCTION("""COMPUTED_VALUE"""),2023.0)</f>
        <v>2023</v>
      </c>
      <c r="B2137" s="6" t="str">
        <f>IFERROR(__xludf.DUMMYFUNCTION("""COMPUTED_VALUE"""),"Outubro")</f>
        <v>Outubro</v>
      </c>
      <c r="C2137" s="6" t="str">
        <f>IFERROR(__xludf.DUMMYFUNCTION("""COMPUTED_VALUE"""),"OUTROS C/C/ DIGNIDADE SEXUAL")</f>
        <v>OUTROS C/C/ DIGNIDADE SEXUAL</v>
      </c>
      <c r="D2137" s="6">
        <f>IFERROR(__xludf.DUMMYFUNCTION("""COMPUTED_VALUE"""),0.0)</f>
        <v>0</v>
      </c>
      <c r="E2137" s="6">
        <f>IFERROR(__xludf.DUMMYFUNCTION("""COMPUTED_VALUE"""),1.0)</f>
        <v>1</v>
      </c>
      <c r="F2137" s="6">
        <f>IFERROR(__xludf.DUMMYFUNCTION("""COMPUTED_VALUE"""),2.0)</f>
        <v>2</v>
      </c>
      <c r="G2137" s="6">
        <f>IFERROR(__xludf.DUMMYFUNCTION("""COMPUTED_VALUE"""),3.0)</f>
        <v>3</v>
      </c>
    </row>
    <row r="2138">
      <c r="A2138" s="6">
        <f>IFERROR(__xludf.DUMMYFUNCTION("""COMPUTED_VALUE"""),2023.0)</f>
        <v>2023</v>
      </c>
      <c r="B2138" s="6" t="str">
        <f>IFERROR(__xludf.DUMMYFUNCTION("""COMPUTED_VALUE"""),"Novembro")</f>
        <v>Novembro</v>
      </c>
      <c r="C2138" s="6" t="str">
        <f>IFERROR(__xludf.DUMMYFUNCTION("""COMPUTED_VALUE"""),"HOMICÍDIO DOLOSO (exclui FEMINICÍDIO)")</f>
        <v>HOMICÍDIO DOLOSO (exclui FEMINICÍDIO)</v>
      </c>
      <c r="D2138" s="6">
        <f>IFERROR(__xludf.DUMMYFUNCTION("""COMPUTED_VALUE"""),1.0)</f>
        <v>1</v>
      </c>
      <c r="E2138" s="6">
        <f>IFERROR(__xludf.DUMMYFUNCTION("""COMPUTED_VALUE"""),0.0)</f>
        <v>0</v>
      </c>
      <c r="F2138" s="6">
        <f>IFERROR(__xludf.DUMMYFUNCTION("""COMPUTED_VALUE"""),2.0)</f>
        <v>2</v>
      </c>
      <c r="G2138" s="6">
        <f>IFERROR(__xludf.DUMMYFUNCTION("""COMPUTED_VALUE"""),3.0)</f>
        <v>3</v>
      </c>
    </row>
    <row r="2139">
      <c r="A2139" s="6">
        <f>IFERROR(__xludf.DUMMYFUNCTION("""COMPUTED_VALUE"""),2023.0)</f>
        <v>2023</v>
      </c>
      <c r="B2139" s="6" t="str">
        <f>IFERROR(__xludf.DUMMYFUNCTION("""COMPUTED_VALUE"""),"Novembro")</f>
        <v>Novembro</v>
      </c>
      <c r="C2139" s="6" t="str">
        <f>IFERROR(__xludf.DUMMYFUNCTION("""COMPUTED_VALUE"""),"FEMINICÍDIO")</f>
        <v>FEMINICÍDIO</v>
      </c>
      <c r="D2139" s="6">
        <f>IFERROR(__xludf.DUMMYFUNCTION("""COMPUTED_VALUE"""),3.0)</f>
        <v>3</v>
      </c>
      <c r="E2139" s="6">
        <f>IFERROR(__xludf.DUMMYFUNCTION("""COMPUTED_VALUE"""),3.0)</f>
        <v>3</v>
      </c>
      <c r="F2139" s="6">
        <f>IFERROR(__xludf.DUMMYFUNCTION("""COMPUTED_VALUE"""),6.0)</f>
        <v>6</v>
      </c>
      <c r="G2139" s="6">
        <f>IFERROR(__xludf.DUMMYFUNCTION("""COMPUTED_VALUE"""),12.0)</f>
        <v>12</v>
      </c>
    </row>
    <row r="2140">
      <c r="A2140" s="6">
        <f>IFERROR(__xludf.DUMMYFUNCTION("""COMPUTED_VALUE"""),2023.0)</f>
        <v>2023</v>
      </c>
      <c r="B2140" s="6" t="str">
        <f>IFERROR(__xludf.DUMMYFUNCTION("""COMPUTED_VALUE"""),"Novembro")</f>
        <v>Novembro</v>
      </c>
      <c r="C2140" s="6" t="str">
        <f>IFERROR(__xludf.DUMMYFUNCTION("""COMPUTED_VALUE"""),"HOMICÍDIO CULPOSO")</f>
        <v>HOMICÍDIO CULPOSO</v>
      </c>
      <c r="D2140" s="6">
        <f>IFERROR(__xludf.DUMMYFUNCTION("""COMPUTED_VALUE"""),0.0)</f>
        <v>0</v>
      </c>
      <c r="E2140" s="6">
        <f>IFERROR(__xludf.DUMMYFUNCTION("""COMPUTED_VALUE"""),0.0)</f>
        <v>0</v>
      </c>
      <c r="F2140" s="6">
        <f>IFERROR(__xludf.DUMMYFUNCTION("""COMPUTED_VALUE"""),0.0)</f>
        <v>0</v>
      </c>
      <c r="G2140" s="6">
        <f>IFERROR(__xludf.DUMMYFUNCTION("""COMPUTED_VALUE"""),0.0)</f>
        <v>0</v>
      </c>
    </row>
    <row r="2141">
      <c r="A2141" s="6">
        <f>IFERROR(__xludf.DUMMYFUNCTION("""COMPUTED_VALUE"""),2023.0)</f>
        <v>2023</v>
      </c>
      <c r="B2141" s="6" t="str">
        <f>IFERROR(__xludf.DUMMYFUNCTION("""COMPUTED_VALUE"""),"Novembro")</f>
        <v>Novembro</v>
      </c>
      <c r="C2141" s="6" t="str">
        <f>IFERROR(__xludf.DUMMYFUNCTION("""COMPUTED_VALUE"""),"TENTATIVA DE HOMICÍDIO")</f>
        <v>TENTATIVA DE HOMICÍDIO</v>
      </c>
      <c r="D2141" s="6">
        <f>IFERROR(__xludf.DUMMYFUNCTION("""COMPUTED_VALUE"""),1.0)</f>
        <v>1</v>
      </c>
      <c r="E2141" s="6">
        <f>IFERROR(__xludf.DUMMYFUNCTION("""COMPUTED_VALUE"""),1.0)</f>
        <v>1</v>
      </c>
      <c r="F2141" s="6">
        <f>IFERROR(__xludf.DUMMYFUNCTION("""COMPUTED_VALUE"""),11.0)</f>
        <v>11</v>
      </c>
      <c r="G2141" s="6">
        <f>IFERROR(__xludf.DUMMYFUNCTION("""COMPUTED_VALUE"""),13.0)</f>
        <v>13</v>
      </c>
    </row>
    <row r="2142">
      <c r="A2142" s="6">
        <f>IFERROR(__xludf.DUMMYFUNCTION("""COMPUTED_VALUE"""),2023.0)</f>
        <v>2023</v>
      </c>
      <c r="B2142" s="6" t="str">
        <f>IFERROR(__xludf.DUMMYFUNCTION("""COMPUTED_VALUE"""),"Novembro")</f>
        <v>Novembro</v>
      </c>
      <c r="C2142" s="6" t="str">
        <f>IFERROR(__xludf.DUMMYFUNCTION("""COMPUTED_VALUE"""),"LESÃO CORPORAL DOLOSA")</f>
        <v>LESÃO CORPORAL DOLOSA</v>
      </c>
      <c r="D2142" s="6">
        <f>IFERROR(__xludf.DUMMYFUNCTION("""COMPUTED_VALUE"""),912.0)</f>
        <v>912</v>
      </c>
      <c r="E2142" s="6">
        <f>IFERROR(__xludf.DUMMYFUNCTION("""COMPUTED_VALUE"""),784.0)</f>
        <v>784</v>
      </c>
      <c r="F2142" s="6">
        <f>IFERROR(__xludf.DUMMYFUNCTION("""COMPUTED_VALUE"""),2814.0)</f>
        <v>2814</v>
      </c>
      <c r="G2142" s="6">
        <f>IFERROR(__xludf.DUMMYFUNCTION("""COMPUTED_VALUE"""),4510.0)</f>
        <v>4510</v>
      </c>
    </row>
    <row r="2143">
      <c r="A2143" s="6">
        <f>IFERROR(__xludf.DUMMYFUNCTION("""COMPUTED_VALUE"""),2023.0)</f>
        <v>2023</v>
      </c>
      <c r="B2143" s="6" t="str">
        <f>IFERROR(__xludf.DUMMYFUNCTION("""COMPUTED_VALUE"""),"Novembro")</f>
        <v>Novembro</v>
      </c>
      <c r="C2143" s="6" t="str">
        <f>IFERROR(__xludf.DUMMYFUNCTION("""COMPUTED_VALUE"""),"MAUS TRATOS")</f>
        <v>MAUS TRATOS</v>
      </c>
      <c r="D2143" s="6">
        <f>IFERROR(__xludf.DUMMYFUNCTION("""COMPUTED_VALUE"""),2.0)</f>
        <v>2</v>
      </c>
      <c r="E2143" s="6">
        <f>IFERROR(__xludf.DUMMYFUNCTION("""COMPUTED_VALUE"""),2.0)</f>
        <v>2</v>
      </c>
      <c r="F2143" s="6">
        <f>IFERROR(__xludf.DUMMYFUNCTION("""COMPUTED_VALUE"""),14.0)</f>
        <v>14</v>
      </c>
      <c r="G2143" s="6">
        <f>IFERROR(__xludf.DUMMYFUNCTION("""COMPUTED_VALUE"""),18.0)</f>
        <v>18</v>
      </c>
    </row>
    <row r="2144">
      <c r="A2144" s="6">
        <f>IFERROR(__xludf.DUMMYFUNCTION("""COMPUTED_VALUE"""),2023.0)</f>
        <v>2023</v>
      </c>
      <c r="B2144" s="6" t="str">
        <f>IFERROR(__xludf.DUMMYFUNCTION("""COMPUTED_VALUE"""),"Novembro")</f>
        <v>Novembro</v>
      </c>
      <c r="C2144" s="6" t="str">
        <f>IFERROR(__xludf.DUMMYFUNCTION("""COMPUTED_VALUE"""),"CALÚNIA - DIFAMAÇÃO - INJÚRIA")</f>
        <v>CALÚNIA - DIFAMAÇÃO - INJÚRIA</v>
      </c>
      <c r="D2144" s="6">
        <f>IFERROR(__xludf.DUMMYFUNCTION("""COMPUTED_VALUE"""),178.0)</f>
        <v>178</v>
      </c>
      <c r="E2144" s="6">
        <f>IFERROR(__xludf.DUMMYFUNCTION("""COMPUTED_VALUE"""),151.0)</f>
        <v>151</v>
      </c>
      <c r="F2144" s="6">
        <f>IFERROR(__xludf.DUMMYFUNCTION("""COMPUTED_VALUE"""),654.0)</f>
        <v>654</v>
      </c>
      <c r="G2144" s="6">
        <f>IFERROR(__xludf.DUMMYFUNCTION("""COMPUTED_VALUE"""),983.0)</f>
        <v>983</v>
      </c>
    </row>
    <row r="2145">
      <c r="A2145" s="6">
        <f>IFERROR(__xludf.DUMMYFUNCTION("""COMPUTED_VALUE"""),2023.0)</f>
        <v>2023</v>
      </c>
      <c r="B2145" s="6" t="str">
        <f>IFERROR(__xludf.DUMMYFUNCTION("""COMPUTED_VALUE"""),"Novembro")</f>
        <v>Novembro</v>
      </c>
      <c r="C2145" s="6" t="str">
        <f>IFERROR(__xludf.DUMMYFUNCTION("""COMPUTED_VALUE"""),"CONSTRANGIMENTO ILEGAL")</f>
        <v>CONSTRANGIMENTO ILEGAL</v>
      </c>
      <c r="D2145" s="6">
        <f>IFERROR(__xludf.DUMMYFUNCTION("""COMPUTED_VALUE"""),1.0)</f>
        <v>1</v>
      </c>
      <c r="E2145" s="6">
        <f>IFERROR(__xludf.DUMMYFUNCTION("""COMPUTED_VALUE"""),0.0)</f>
        <v>0</v>
      </c>
      <c r="F2145" s="6">
        <f>IFERROR(__xludf.DUMMYFUNCTION("""COMPUTED_VALUE"""),5.0)</f>
        <v>5</v>
      </c>
      <c r="G2145" s="6">
        <f>IFERROR(__xludf.DUMMYFUNCTION("""COMPUTED_VALUE"""),6.0)</f>
        <v>6</v>
      </c>
    </row>
    <row r="2146">
      <c r="A2146" s="6">
        <f>IFERROR(__xludf.DUMMYFUNCTION("""COMPUTED_VALUE"""),2023.0)</f>
        <v>2023</v>
      </c>
      <c r="B2146" s="6" t="str">
        <f>IFERROR(__xludf.DUMMYFUNCTION("""COMPUTED_VALUE"""),"Novembro")</f>
        <v>Novembro</v>
      </c>
      <c r="C2146" s="6" t="str">
        <f>IFERROR(__xludf.DUMMYFUNCTION("""COMPUTED_VALUE"""),"AMEAÇA")</f>
        <v>AMEAÇA</v>
      </c>
      <c r="D2146" s="6">
        <f>IFERROR(__xludf.DUMMYFUNCTION("""COMPUTED_VALUE"""),842.0)</f>
        <v>842</v>
      </c>
      <c r="E2146" s="6">
        <f>IFERROR(__xludf.DUMMYFUNCTION("""COMPUTED_VALUE"""),771.0)</f>
        <v>771</v>
      </c>
      <c r="F2146" s="6">
        <f>IFERROR(__xludf.DUMMYFUNCTION("""COMPUTED_VALUE"""),2884.0)</f>
        <v>2884</v>
      </c>
      <c r="G2146" s="6">
        <f>IFERROR(__xludf.DUMMYFUNCTION("""COMPUTED_VALUE"""),4497.0)</f>
        <v>4497</v>
      </c>
    </row>
    <row r="2147">
      <c r="A2147" s="6">
        <f>IFERROR(__xludf.DUMMYFUNCTION("""COMPUTED_VALUE"""),2023.0)</f>
        <v>2023</v>
      </c>
      <c r="B2147" s="6" t="str">
        <f>IFERROR(__xludf.DUMMYFUNCTION("""COMPUTED_VALUE"""),"Novembro")</f>
        <v>Novembro</v>
      </c>
      <c r="C2147" s="6" t="str">
        <f>IFERROR(__xludf.DUMMYFUNCTION("""COMPUTED_VALUE"""),"INVASÃO DE DOMICÍLIO")</f>
        <v>INVASÃO DE DOMICÍLIO</v>
      </c>
      <c r="D2147" s="6">
        <f>IFERROR(__xludf.DUMMYFUNCTION("""COMPUTED_VALUE"""),1.0)</f>
        <v>1</v>
      </c>
      <c r="E2147" s="6">
        <f>IFERROR(__xludf.DUMMYFUNCTION("""COMPUTED_VALUE"""),1.0)</f>
        <v>1</v>
      </c>
      <c r="F2147" s="6">
        <f>IFERROR(__xludf.DUMMYFUNCTION("""COMPUTED_VALUE"""),11.0)</f>
        <v>11</v>
      </c>
      <c r="G2147" s="6">
        <f>IFERROR(__xludf.DUMMYFUNCTION("""COMPUTED_VALUE"""),13.0)</f>
        <v>13</v>
      </c>
    </row>
    <row r="2148">
      <c r="A2148" s="6">
        <f>IFERROR(__xludf.DUMMYFUNCTION("""COMPUTED_VALUE"""),2023.0)</f>
        <v>2023</v>
      </c>
      <c r="B2148" s="6" t="str">
        <f>IFERROR(__xludf.DUMMYFUNCTION("""COMPUTED_VALUE"""),"Novembro")</f>
        <v>Novembro</v>
      </c>
      <c r="C2148" s="6" t="str">
        <f>IFERROR(__xludf.DUMMYFUNCTION("""COMPUTED_VALUE"""),"DANO")</f>
        <v>DANO</v>
      </c>
      <c r="D2148" s="6">
        <f>IFERROR(__xludf.DUMMYFUNCTION("""COMPUTED_VALUE"""),9.0)</f>
        <v>9</v>
      </c>
      <c r="E2148" s="6">
        <f>IFERROR(__xludf.DUMMYFUNCTION("""COMPUTED_VALUE"""),9.0)</f>
        <v>9</v>
      </c>
      <c r="F2148" s="6">
        <f>IFERROR(__xludf.DUMMYFUNCTION("""COMPUTED_VALUE"""),51.0)</f>
        <v>51</v>
      </c>
      <c r="G2148" s="6">
        <f>IFERROR(__xludf.DUMMYFUNCTION("""COMPUTED_VALUE"""),69.0)</f>
        <v>69</v>
      </c>
    </row>
    <row r="2149">
      <c r="A2149" s="6">
        <f>IFERROR(__xludf.DUMMYFUNCTION("""COMPUTED_VALUE"""),2023.0)</f>
        <v>2023</v>
      </c>
      <c r="B2149" s="6" t="str">
        <f>IFERROR(__xludf.DUMMYFUNCTION("""COMPUTED_VALUE"""),"Novembro")</f>
        <v>Novembro</v>
      </c>
      <c r="C2149" s="6" t="str">
        <f>IFERROR(__xludf.DUMMYFUNCTION("""COMPUTED_VALUE"""),"ESTUPRO CONSUMADO")</f>
        <v>ESTUPRO CONSUMADO</v>
      </c>
      <c r="D2149" s="6">
        <f>IFERROR(__xludf.DUMMYFUNCTION("""COMPUTED_VALUE"""),9.0)</f>
        <v>9</v>
      </c>
      <c r="E2149" s="6">
        <f>IFERROR(__xludf.DUMMYFUNCTION("""COMPUTED_VALUE"""),6.0)</f>
        <v>6</v>
      </c>
      <c r="F2149" s="6">
        <f>IFERROR(__xludf.DUMMYFUNCTION("""COMPUTED_VALUE"""),16.0)</f>
        <v>16</v>
      </c>
      <c r="G2149" s="6">
        <f>IFERROR(__xludf.DUMMYFUNCTION("""COMPUTED_VALUE"""),31.0)</f>
        <v>31</v>
      </c>
    </row>
    <row r="2150">
      <c r="A2150" s="6">
        <f>IFERROR(__xludf.DUMMYFUNCTION("""COMPUTED_VALUE"""),2023.0)</f>
        <v>2023</v>
      </c>
      <c r="B2150" s="6" t="str">
        <f>IFERROR(__xludf.DUMMYFUNCTION("""COMPUTED_VALUE"""),"Novembro")</f>
        <v>Novembro</v>
      </c>
      <c r="C2150" s="6" t="str">
        <f>IFERROR(__xludf.DUMMYFUNCTION("""COMPUTED_VALUE"""),"ESTUPRO TENTADO")</f>
        <v>ESTUPRO TENTADO</v>
      </c>
      <c r="D2150" s="6">
        <f>IFERROR(__xludf.DUMMYFUNCTION("""COMPUTED_VALUE"""),0.0)</f>
        <v>0</v>
      </c>
      <c r="E2150" s="6">
        <f>IFERROR(__xludf.DUMMYFUNCTION("""COMPUTED_VALUE"""),0.0)</f>
        <v>0</v>
      </c>
      <c r="F2150" s="6">
        <f>IFERROR(__xludf.DUMMYFUNCTION("""COMPUTED_VALUE"""),1.0)</f>
        <v>1</v>
      </c>
      <c r="G2150" s="6">
        <f>IFERROR(__xludf.DUMMYFUNCTION("""COMPUTED_VALUE"""),1.0)</f>
        <v>1</v>
      </c>
    </row>
    <row r="2151">
      <c r="A2151" s="6">
        <f>IFERROR(__xludf.DUMMYFUNCTION("""COMPUTED_VALUE"""),2023.0)</f>
        <v>2023</v>
      </c>
      <c r="B2151" s="6" t="str">
        <f>IFERROR(__xludf.DUMMYFUNCTION("""COMPUTED_VALUE"""),"Novembro")</f>
        <v>Novembro</v>
      </c>
      <c r="C2151" s="6" t="str">
        <f>IFERROR(__xludf.DUMMYFUNCTION("""COMPUTED_VALUE"""),"ESTUPRO DE VULNERÁVEL CONSUMADO")</f>
        <v>ESTUPRO DE VULNERÁVEL CONSUMADO</v>
      </c>
      <c r="D2151" s="6">
        <f>IFERROR(__xludf.DUMMYFUNCTION("""COMPUTED_VALUE"""),2.0)</f>
        <v>2</v>
      </c>
      <c r="E2151" s="6">
        <f>IFERROR(__xludf.DUMMYFUNCTION("""COMPUTED_VALUE"""),3.0)</f>
        <v>3</v>
      </c>
      <c r="F2151" s="6">
        <f>IFERROR(__xludf.DUMMYFUNCTION("""COMPUTED_VALUE"""),15.0)</f>
        <v>15</v>
      </c>
      <c r="G2151" s="6">
        <f>IFERROR(__xludf.DUMMYFUNCTION("""COMPUTED_VALUE"""),20.0)</f>
        <v>20</v>
      </c>
    </row>
    <row r="2152">
      <c r="A2152" s="6">
        <f>IFERROR(__xludf.DUMMYFUNCTION("""COMPUTED_VALUE"""),2023.0)</f>
        <v>2023</v>
      </c>
      <c r="B2152" s="6" t="str">
        <f>IFERROR(__xludf.DUMMYFUNCTION("""COMPUTED_VALUE"""),"Novembro")</f>
        <v>Novembro</v>
      </c>
      <c r="C2152" s="6" t="str">
        <f>IFERROR(__xludf.DUMMYFUNCTION("""COMPUTED_VALUE"""),"OUTROS C/C/ DIGNIDADE SEXUAL")</f>
        <v>OUTROS C/C/ DIGNIDADE SEXUAL</v>
      </c>
      <c r="D2152" s="6">
        <f>IFERROR(__xludf.DUMMYFUNCTION("""COMPUTED_VALUE"""),0.0)</f>
        <v>0</v>
      </c>
      <c r="E2152" s="6">
        <f>IFERROR(__xludf.DUMMYFUNCTION("""COMPUTED_VALUE"""),0.0)</f>
        <v>0</v>
      </c>
      <c r="F2152" s="6">
        <f>IFERROR(__xludf.DUMMYFUNCTION("""COMPUTED_VALUE"""),1.0)</f>
        <v>1</v>
      </c>
      <c r="G2152" s="6">
        <f>IFERROR(__xludf.DUMMYFUNCTION("""COMPUTED_VALUE"""),1.0)</f>
        <v>1</v>
      </c>
    </row>
    <row r="2153">
      <c r="A2153" s="6">
        <f>IFERROR(__xludf.DUMMYFUNCTION("""COMPUTED_VALUE"""),2023.0)</f>
        <v>2023</v>
      </c>
      <c r="B2153" s="6" t="str">
        <f>IFERROR(__xludf.DUMMYFUNCTION("""COMPUTED_VALUE"""),"Dezembro")</f>
        <v>Dezembro</v>
      </c>
      <c r="C2153" s="6" t="str">
        <f>IFERROR(__xludf.DUMMYFUNCTION("""COMPUTED_VALUE"""),"HOMICÍDIO DOLOSO (exclui FEMINICÍDIO)")</f>
        <v>HOMICÍDIO DOLOSO (exclui FEMINICÍDIO)</v>
      </c>
      <c r="D2153" s="6">
        <f>IFERROR(__xludf.DUMMYFUNCTION("""COMPUTED_VALUE"""),1.0)</f>
        <v>1</v>
      </c>
      <c r="E2153" s="6">
        <f>IFERROR(__xludf.DUMMYFUNCTION("""COMPUTED_VALUE"""),0.0)</f>
        <v>0</v>
      </c>
      <c r="F2153" s="6">
        <f>IFERROR(__xludf.DUMMYFUNCTION("""COMPUTED_VALUE"""),2.0)</f>
        <v>2</v>
      </c>
      <c r="G2153" s="6">
        <f>IFERROR(__xludf.DUMMYFUNCTION("""COMPUTED_VALUE"""),3.0)</f>
        <v>3</v>
      </c>
    </row>
    <row r="2154">
      <c r="A2154" s="6">
        <f>IFERROR(__xludf.DUMMYFUNCTION("""COMPUTED_VALUE"""),2023.0)</f>
        <v>2023</v>
      </c>
      <c r="B2154" s="6" t="str">
        <f>IFERROR(__xludf.DUMMYFUNCTION("""COMPUTED_VALUE"""),"Dezembro")</f>
        <v>Dezembro</v>
      </c>
      <c r="C2154" s="6" t="str">
        <f>IFERROR(__xludf.DUMMYFUNCTION("""COMPUTED_VALUE"""),"FEMINICÍDIO")</f>
        <v>FEMINICÍDIO</v>
      </c>
      <c r="D2154" s="6">
        <f>IFERROR(__xludf.DUMMYFUNCTION("""COMPUTED_VALUE"""),4.0)</f>
        <v>4</v>
      </c>
      <c r="E2154" s="6">
        <f>IFERROR(__xludf.DUMMYFUNCTION("""COMPUTED_VALUE"""),4.0)</f>
        <v>4</v>
      </c>
      <c r="F2154" s="6">
        <f>IFERROR(__xludf.DUMMYFUNCTION("""COMPUTED_VALUE"""),8.0)</f>
        <v>8</v>
      </c>
      <c r="G2154" s="6">
        <f>IFERROR(__xludf.DUMMYFUNCTION("""COMPUTED_VALUE"""),16.0)</f>
        <v>16</v>
      </c>
    </row>
    <row r="2155">
      <c r="A2155" s="6">
        <f>IFERROR(__xludf.DUMMYFUNCTION("""COMPUTED_VALUE"""),2023.0)</f>
        <v>2023</v>
      </c>
      <c r="B2155" s="6" t="str">
        <f>IFERROR(__xludf.DUMMYFUNCTION("""COMPUTED_VALUE"""),"Dezembro")</f>
        <v>Dezembro</v>
      </c>
      <c r="C2155" s="6" t="str">
        <f>IFERROR(__xludf.DUMMYFUNCTION("""COMPUTED_VALUE"""),"HOMICÍDIO CULPOSO")</f>
        <v>HOMICÍDIO CULPOSO</v>
      </c>
      <c r="D2155" s="6">
        <f>IFERROR(__xludf.DUMMYFUNCTION("""COMPUTED_VALUE"""),0.0)</f>
        <v>0</v>
      </c>
      <c r="E2155" s="6">
        <f>IFERROR(__xludf.DUMMYFUNCTION("""COMPUTED_VALUE"""),0.0)</f>
        <v>0</v>
      </c>
      <c r="F2155" s="6">
        <f>IFERROR(__xludf.DUMMYFUNCTION("""COMPUTED_VALUE"""),0.0)</f>
        <v>0</v>
      </c>
      <c r="G2155" s="6">
        <f>IFERROR(__xludf.DUMMYFUNCTION("""COMPUTED_VALUE"""),0.0)</f>
        <v>0</v>
      </c>
    </row>
    <row r="2156">
      <c r="A2156" s="6">
        <f>IFERROR(__xludf.DUMMYFUNCTION("""COMPUTED_VALUE"""),2023.0)</f>
        <v>2023</v>
      </c>
      <c r="B2156" s="6" t="str">
        <f>IFERROR(__xludf.DUMMYFUNCTION("""COMPUTED_VALUE"""),"Dezembro")</f>
        <v>Dezembro</v>
      </c>
      <c r="C2156" s="6" t="str">
        <f>IFERROR(__xludf.DUMMYFUNCTION("""COMPUTED_VALUE"""),"TENTATIVA DE HOMICÍDIO")</f>
        <v>TENTATIVA DE HOMICÍDIO</v>
      </c>
      <c r="D2156" s="6">
        <f>IFERROR(__xludf.DUMMYFUNCTION("""COMPUTED_VALUE"""),1.0)</f>
        <v>1</v>
      </c>
      <c r="E2156" s="6">
        <f>IFERROR(__xludf.DUMMYFUNCTION("""COMPUTED_VALUE"""),1.0)</f>
        <v>1</v>
      </c>
      <c r="F2156" s="6">
        <f>IFERROR(__xludf.DUMMYFUNCTION("""COMPUTED_VALUE"""),11.0)</f>
        <v>11</v>
      </c>
      <c r="G2156" s="6">
        <f>IFERROR(__xludf.DUMMYFUNCTION("""COMPUTED_VALUE"""),13.0)</f>
        <v>13</v>
      </c>
    </row>
    <row r="2157">
      <c r="A2157" s="6">
        <f>IFERROR(__xludf.DUMMYFUNCTION("""COMPUTED_VALUE"""),2023.0)</f>
        <v>2023</v>
      </c>
      <c r="B2157" s="6" t="str">
        <f>IFERROR(__xludf.DUMMYFUNCTION("""COMPUTED_VALUE"""),"Dezembro")</f>
        <v>Dezembro</v>
      </c>
      <c r="C2157" s="6" t="str">
        <f>IFERROR(__xludf.DUMMYFUNCTION("""COMPUTED_VALUE"""),"LESÃO CORPORAL DOLOSA")</f>
        <v>LESÃO CORPORAL DOLOSA</v>
      </c>
      <c r="D2157" s="6">
        <f>IFERROR(__xludf.DUMMYFUNCTION("""COMPUTED_VALUE"""),912.0)</f>
        <v>912</v>
      </c>
      <c r="E2157" s="6">
        <f>IFERROR(__xludf.DUMMYFUNCTION("""COMPUTED_VALUE"""),784.0)</f>
        <v>784</v>
      </c>
      <c r="F2157" s="6">
        <f>IFERROR(__xludf.DUMMYFUNCTION("""COMPUTED_VALUE"""),2814.0)</f>
        <v>2814</v>
      </c>
      <c r="G2157" s="6">
        <f>IFERROR(__xludf.DUMMYFUNCTION("""COMPUTED_VALUE"""),4510.0)</f>
        <v>4510</v>
      </c>
    </row>
    <row r="2158">
      <c r="A2158" s="6">
        <f>IFERROR(__xludf.DUMMYFUNCTION("""COMPUTED_VALUE"""),2023.0)</f>
        <v>2023</v>
      </c>
      <c r="B2158" s="6" t="str">
        <f>IFERROR(__xludf.DUMMYFUNCTION("""COMPUTED_VALUE"""),"Dezembro")</f>
        <v>Dezembro</v>
      </c>
      <c r="C2158" s="6" t="str">
        <f>IFERROR(__xludf.DUMMYFUNCTION("""COMPUTED_VALUE"""),"MAUS TRATOS")</f>
        <v>MAUS TRATOS</v>
      </c>
      <c r="D2158" s="6">
        <f>IFERROR(__xludf.DUMMYFUNCTION("""COMPUTED_VALUE"""),2.0)</f>
        <v>2</v>
      </c>
      <c r="E2158" s="6">
        <f>IFERROR(__xludf.DUMMYFUNCTION("""COMPUTED_VALUE"""),2.0)</f>
        <v>2</v>
      </c>
      <c r="F2158" s="6">
        <f>IFERROR(__xludf.DUMMYFUNCTION("""COMPUTED_VALUE"""),14.0)</f>
        <v>14</v>
      </c>
      <c r="G2158" s="6">
        <f>IFERROR(__xludf.DUMMYFUNCTION("""COMPUTED_VALUE"""),18.0)</f>
        <v>18</v>
      </c>
    </row>
    <row r="2159">
      <c r="A2159" s="6">
        <f>IFERROR(__xludf.DUMMYFUNCTION("""COMPUTED_VALUE"""),2023.0)</f>
        <v>2023</v>
      </c>
      <c r="B2159" s="6" t="str">
        <f>IFERROR(__xludf.DUMMYFUNCTION("""COMPUTED_VALUE"""),"Dezembro")</f>
        <v>Dezembro</v>
      </c>
      <c r="C2159" s="6" t="str">
        <f>IFERROR(__xludf.DUMMYFUNCTION("""COMPUTED_VALUE"""),"CALÚNIA - DIFAMAÇÃO - INJÚRIA")</f>
        <v>CALÚNIA - DIFAMAÇÃO - INJÚRIA</v>
      </c>
      <c r="D2159" s="6">
        <f>IFERROR(__xludf.DUMMYFUNCTION("""COMPUTED_VALUE"""),178.0)</f>
        <v>178</v>
      </c>
      <c r="E2159" s="6">
        <f>IFERROR(__xludf.DUMMYFUNCTION("""COMPUTED_VALUE"""),151.0)</f>
        <v>151</v>
      </c>
      <c r="F2159" s="6">
        <f>IFERROR(__xludf.DUMMYFUNCTION("""COMPUTED_VALUE"""),654.0)</f>
        <v>654</v>
      </c>
      <c r="G2159" s="6">
        <f>IFERROR(__xludf.DUMMYFUNCTION("""COMPUTED_VALUE"""),983.0)</f>
        <v>983</v>
      </c>
    </row>
    <row r="2160">
      <c r="A2160" s="6">
        <f>IFERROR(__xludf.DUMMYFUNCTION("""COMPUTED_VALUE"""),2023.0)</f>
        <v>2023</v>
      </c>
      <c r="B2160" s="6" t="str">
        <f>IFERROR(__xludf.DUMMYFUNCTION("""COMPUTED_VALUE"""),"Dezembro")</f>
        <v>Dezembro</v>
      </c>
      <c r="C2160" s="6" t="str">
        <f>IFERROR(__xludf.DUMMYFUNCTION("""COMPUTED_VALUE"""),"CONSTRANGIMENTO ILEGAL")</f>
        <v>CONSTRANGIMENTO ILEGAL</v>
      </c>
      <c r="D2160" s="6">
        <f>IFERROR(__xludf.DUMMYFUNCTION("""COMPUTED_VALUE"""),1.0)</f>
        <v>1</v>
      </c>
      <c r="E2160" s="6">
        <f>IFERROR(__xludf.DUMMYFUNCTION("""COMPUTED_VALUE"""),0.0)</f>
        <v>0</v>
      </c>
      <c r="F2160" s="6">
        <f>IFERROR(__xludf.DUMMYFUNCTION("""COMPUTED_VALUE"""),5.0)</f>
        <v>5</v>
      </c>
      <c r="G2160" s="6">
        <f>IFERROR(__xludf.DUMMYFUNCTION("""COMPUTED_VALUE"""),6.0)</f>
        <v>6</v>
      </c>
    </row>
    <row r="2161">
      <c r="A2161" s="6">
        <f>IFERROR(__xludf.DUMMYFUNCTION("""COMPUTED_VALUE"""),2023.0)</f>
        <v>2023</v>
      </c>
      <c r="B2161" s="6" t="str">
        <f>IFERROR(__xludf.DUMMYFUNCTION("""COMPUTED_VALUE"""),"Dezembro")</f>
        <v>Dezembro</v>
      </c>
      <c r="C2161" s="6" t="str">
        <f>IFERROR(__xludf.DUMMYFUNCTION("""COMPUTED_VALUE"""),"AMEAÇA")</f>
        <v>AMEAÇA</v>
      </c>
      <c r="D2161" s="6">
        <f>IFERROR(__xludf.DUMMYFUNCTION("""COMPUTED_VALUE"""),842.0)</f>
        <v>842</v>
      </c>
      <c r="E2161" s="6">
        <f>IFERROR(__xludf.DUMMYFUNCTION("""COMPUTED_VALUE"""),771.0)</f>
        <v>771</v>
      </c>
      <c r="F2161" s="6">
        <f>IFERROR(__xludf.DUMMYFUNCTION("""COMPUTED_VALUE"""),2884.0)</f>
        <v>2884</v>
      </c>
      <c r="G2161" s="6">
        <f>IFERROR(__xludf.DUMMYFUNCTION("""COMPUTED_VALUE"""),4497.0)</f>
        <v>4497</v>
      </c>
    </row>
    <row r="2162">
      <c r="A2162" s="6">
        <f>IFERROR(__xludf.DUMMYFUNCTION("""COMPUTED_VALUE"""),2023.0)</f>
        <v>2023</v>
      </c>
      <c r="B2162" s="6" t="str">
        <f>IFERROR(__xludf.DUMMYFUNCTION("""COMPUTED_VALUE"""),"Dezembro")</f>
        <v>Dezembro</v>
      </c>
      <c r="C2162" s="6" t="str">
        <f>IFERROR(__xludf.DUMMYFUNCTION("""COMPUTED_VALUE"""),"INVASÃO DE DOMICÍLIO")</f>
        <v>INVASÃO DE DOMICÍLIO</v>
      </c>
      <c r="D2162" s="6">
        <f>IFERROR(__xludf.DUMMYFUNCTION("""COMPUTED_VALUE"""),1.0)</f>
        <v>1</v>
      </c>
      <c r="E2162" s="6">
        <f>IFERROR(__xludf.DUMMYFUNCTION("""COMPUTED_VALUE"""),1.0)</f>
        <v>1</v>
      </c>
      <c r="F2162" s="6">
        <f>IFERROR(__xludf.DUMMYFUNCTION("""COMPUTED_VALUE"""),11.0)</f>
        <v>11</v>
      </c>
      <c r="G2162" s="6">
        <f>IFERROR(__xludf.DUMMYFUNCTION("""COMPUTED_VALUE"""),13.0)</f>
        <v>13</v>
      </c>
    </row>
    <row r="2163">
      <c r="A2163" s="6">
        <f>IFERROR(__xludf.DUMMYFUNCTION("""COMPUTED_VALUE"""),2023.0)</f>
        <v>2023</v>
      </c>
      <c r="B2163" s="6" t="str">
        <f>IFERROR(__xludf.DUMMYFUNCTION("""COMPUTED_VALUE"""),"Dezembro")</f>
        <v>Dezembro</v>
      </c>
      <c r="C2163" s="6" t="str">
        <f>IFERROR(__xludf.DUMMYFUNCTION("""COMPUTED_VALUE"""),"DANO")</f>
        <v>DANO</v>
      </c>
      <c r="D2163" s="6">
        <f>IFERROR(__xludf.DUMMYFUNCTION("""COMPUTED_VALUE"""),9.0)</f>
        <v>9</v>
      </c>
      <c r="E2163" s="6">
        <f>IFERROR(__xludf.DUMMYFUNCTION("""COMPUTED_VALUE"""),9.0)</f>
        <v>9</v>
      </c>
      <c r="F2163" s="6">
        <f>IFERROR(__xludf.DUMMYFUNCTION("""COMPUTED_VALUE"""),51.0)</f>
        <v>51</v>
      </c>
      <c r="G2163" s="6">
        <f>IFERROR(__xludf.DUMMYFUNCTION("""COMPUTED_VALUE"""),69.0)</f>
        <v>69</v>
      </c>
    </row>
    <row r="2164">
      <c r="A2164" s="6">
        <f>IFERROR(__xludf.DUMMYFUNCTION("""COMPUTED_VALUE"""),2023.0)</f>
        <v>2023</v>
      </c>
      <c r="B2164" s="6" t="str">
        <f>IFERROR(__xludf.DUMMYFUNCTION("""COMPUTED_VALUE"""),"Dezembro")</f>
        <v>Dezembro</v>
      </c>
      <c r="C2164" s="6" t="str">
        <f>IFERROR(__xludf.DUMMYFUNCTION("""COMPUTED_VALUE"""),"ESTUPRO CONSUMADO")</f>
        <v>ESTUPRO CONSUMADO</v>
      </c>
      <c r="D2164" s="6">
        <f>IFERROR(__xludf.DUMMYFUNCTION("""COMPUTED_VALUE"""),9.0)</f>
        <v>9</v>
      </c>
      <c r="E2164" s="6">
        <f>IFERROR(__xludf.DUMMYFUNCTION("""COMPUTED_VALUE"""),6.0)</f>
        <v>6</v>
      </c>
      <c r="F2164" s="6">
        <f>IFERROR(__xludf.DUMMYFUNCTION("""COMPUTED_VALUE"""),16.0)</f>
        <v>16</v>
      </c>
      <c r="G2164" s="6">
        <f>IFERROR(__xludf.DUMMYFUNCTION("""COMPUTED_VALUE"""),31.0)</f>
        <v>31</v>
      </c>
    </row>
    <row r="2165">
      <c r="A2165" s="6">
        <f>IFERROR(__xludf.DUMMYFUNCTION("""COMPUTED_VALUE"""),2023.0)</f>
        <v>2023</v>
      </c>
      <c r="B2165" s="6" t="str">
        <f>IFERROR(__xludf.DUMMYFUNCTION("""COMPUTED_VALUE"""),"Dezembro")</f>
        <v>Dezembro</v>
      </c>
      <c r="C2165" s="6" t="str">
        <f>IFERROR(__xludf.DUMMYFUNCTION("""COMPUTED_VALUE"""),"ESTUPRO TENTADO")</f>
        <v>ESTUPRO TENTADO</v>
      </c>
      <c r="D2165" s="6">
        <f>IFERROR(__xludf.DUMMYFUNCTION("""COMPUTED_VALUE"""),0.0)</f>
        <v>0</v>
      </c>
      <c r="E2165" s="6">
        <f>IFERROR(__xludf.DUMMYFUNCTION("""COMPUTED_VALUE"""),0.0)</f>
        <v>0</v>
      </c>
      <c r="F2165" s="6">
        <f>IFERROR(__xludf.DUMMYFUNCTION("""COMPUTED_VALUE"""),1.0)</f>
        <v>1</v>
      </c>
      <c r="G2165" s="6">
        <f>IFERROR(__xludf.DUMMYFUNCTION("""COMPUTED_VALUE"""),1.0)</f>
        <v>1</v>
      </c>
    </row>
    <row r="2166">
      <c r="A2166" s="6">
        <f>IFERROR(__xludf.DUMMYFUNCTION("""COMPUTED_VALUE"""),2023.0)</f>
        <v>2023</v>
      </c>
      <c r="B2166" s="6" t="str">
        <f>IFERROR(__xludf.DUMMYFUNCTION("""COMPUTED_VALUE"""),"Dezembro")</f>
        <v>Dezembro</v>
      </c>
      <c r="C2166" s="6" t="str">
        <f>IFERROR(__xludf.DUMMYFUNCTION("""COMPUTED_VALUE"""),"ESTUPRO DE VULNERÁVEL CONSUMADO")</f>
        <v>ESTUPRO DE VULNERÁVEL CONSUMADO</v>
      </c>
      <c r="D2166" s="6">
        <f>IFERROR(__xludf.DUMMYFUNCTION("""COMPUTED_VALUE"""),2.0)</f>
        <v>2</v>
      </c>
      <c r="E2166" s="6">
        <f>IFERROR(__xludf.DUMMYFUNCTION("""COMPUTED_VALUE"""),3.0)</f>
        <v>3</v>
      </c>
      <c r="F2166" s="6">
        <f>IFERROR(__xludf.DUMMYFUNCTION("""COMPUTED_VALUE"""),15.0)</f>
        <v>15</v>
      </c>
      <c r="G2166" s="6">
        <f>IFERROR(__xludf.DUMMYFUNCTION("""COMPUTED_VALUE"""),20.0)</f>
        <v>20</v>
      </c>
    </row>
    <row r="2167">
      <c r="A2167" s="6">
        <f>IFERROR(__xludf.DUMMYFUNCTION("""COMPUTED_VALUE"""),2023.0)</f>
        <v>2023</v>
      </c>
      <c r="B2167" s="6" t="str">
        <f>IFERROR(__xludf.DUMMYFUNCTION("""COMPUTED_VALUE"""),"Dezembro")</f>
        <v>Dezembro</v>
      </c>
      <c r="C2167" s="6" t="str">
        <f>IFERROR(__xludf.DUMMYFUNCTION("""COMPUTED_VALUE"""),"OUTROS C/C/ DIGNIDADE SEXUAL")</f>
        <v>OUTROS C/C/ DIGNIDADE SEXUAL</v>
      </c>
      <c r="D2167" s="6">
        <f>IFERROR(__xludf.DUMMYFUNCTION("""COMPUTED_VALUE"""),0.0)</f>
        <v>0</v>
      </c>
      <c r="E2167" s="6">
        <f>IFERROR(__xludf.DUMMYFUNCTION("""COMPUTED_VALUE"""),0.0)</f>
        <v>0</v>
      </c>
      <c r="F2167" s="6">
        <f>IFERROR(__xludf.DUMMYFUNCTION("""COMPUTED_VALUE"""),1.0)</f>
        <v>1</v>
      </c>
      <c r="G2167" s="6">
        <f>IFERROR(__xludf.DUMMYFUNCTION("""COMPUTED_VALUE"""),1.0)</f>
        <v>1</v>
      </c>
    </row>
    <row r="2168">
      <c r="A2168" s="6">
        <f>IFERROR(__xludf.DUMMYFUNCTION("""COMPUTED_VALUE"""),2024.0)</f>
        <v>2024</v>
      </c>
      <c r="B2168" s="6" t="str">
        <f>IFERROR(__xludf.DUMMYFUNCTION("""COMPUTED_VALUE"""),"Janeiro")</f>
        <v>Janeiro</v>
      </c>
      <c r="C2168" s="6" t="str">
        <f>IFERROR(__xludf.DUMMYFUNCTION("""COMPUTED_VALUE"""),"HOMICÍDIO DOLOSO (exclui FEMINICÍDIO)")</f>
        <v>HOMICÍDIO DOLOSO (exclui FEMINICÍDIO)</v>
      </c>
      <c r="D2168" s="6">
        <f>IFERROR(__xludf.DUMMYFUNCTION("""COMPUTED_VALUE"""),1.0)</f>
        <v>1</v>
      </c>
      <c r="E2168" s="6">
        <f>IFERROR(__xludf.DUMMYFUNCTION("""COMPUTED_VALUE"""),0.0)</f>
        <v>0</v>
      </c>
      <c r="F2168" s="6">
        <f>IFERROR(__xludf.DUMMYFUNCTION("""COMPUTED_VALUE"""),2.0)</f>
        <v>2</v>
      </c>
      <c r="G2168" s="6">
        <f>IFERROR(__xludf.DUMMYFUNCTION("""COMPUTED_VALUE"""),3.0)</f>
        <v>3</v>
      </c>
    </row>
    <row r="2169">
      <c r="A2169" s="6">
        <f>IFERROR(__xludf.DUMMYFUNCTION("""COMPUTED_VALUE"""),2024.0)</f>
        <v>2024</v>
      </c>
      <c r="B2169" s="6" t="str">
        <f>IFERROR(__xludf.DUMMYFUNCTION("""COMPUTED_VALUE"""),"Janeiro")</f>
        <v>Janeiro</v>
      </c>
      <c r="C2169" s="6" t="str">
        <f>IFERROR(__xludf.DUMMYFUNCTION("""COMPUTED_VALUE"""),"FEMINICÍDIO")</f>
        <v>FEMINICÍDIO</v>
      </c>
      <c r="D2169" s="6">
        <f>IFERROR(__xludf.DUMMYFUNCTION("""COMPUTED_VALUE"""),4.0)</f>
        <v>4</v>
      </c>
      <c r="E2169" s="6">
        <f>IFERROR(__xludf.DUMMYFUNCTION("""COMPUTED_VALUE"""),4.0)</f>
        <v>4</v>
      </c>
      <c r="F2169" s="6">
        <f>IFERROR(__xludf.DUMMYFUNCTION("""COMPUTED_VALUE"""),8.0)</f>
        <v>8</v>
      </c>
      <c r="G2169" s="6">
        <f>IFERROR(__xludf.DUMMYFUNCTION("""COMPUTED_VALUE"""),16.0)</f>
        <v>16</v>
      </c>
    </row>
    <row r="2170">
      <c r="A2170" s="6">
        <f>IFERROR(__xludf.DUMMYFUNCTION("""COMPUTED_VALUE"""),2024.0)</f>
        <v>2024</v>
      </c>
      <c r="B2170" s="6" t="str">
        <f>IFERROR(__xludf.DUMMYFUNCTION("""COMPUTED_VALUE"""),"Janeiro")</f>
        <v>Janeiro</v>
      </c>
      <c r="C2170" s="6" t="str">
        <f>IFERROR(__xludf.DUMMYFUNCTION("""COMPUTED_VALUE"""),"HOMICÍDIO CULPOSO")</f>
        <v>HOMICÍDIO CULPOSO</v>
      </c>
      <c r="D2170" s="6">
        <f>IFERROR(__xludf.DUMMYFUNCTION("""COMPUTED_VALUE"""),0.0)</f>
        <v>0</v>
      </c>
      <c r="E2170" s="6">
        <f>IFERROR(__xludf.DUMMYFUNCTION("""COMPUTED_VALUE"""),0.0)</f>
        <v>0</v>
      </c>
      <c r="F2170" s="6">
        <f>IFERROR(__xludf.DUMMYFUNCTION("""COMPUTED_VALUE"""),0.0)</f>
        <v>0</v>
      </c>
      <c r="G2170" s="6">
        <f>IFERROR(__xludf.DUMMYFUNCTION("""COMPUTED_VALUE"""),0.0)</f>
        <v>0</v>
      </c>
    </row>
    <row r="2171">
      <c r="A2171" s="6">
        <f>IFERROR(__xludf.DUMMYFUNCTION("""COMPUTED_VALUE"""),2024.0)</f>
        <v>2024</v>
      </c>
      <c r="B2171" s="6" t="str">
        <f>IFERROR(__xludf.DUMMYFUNCTION("""COMPUTED_VALUE"""),"Janeiro")</f>
        <v>Janeiro</v>
      </c>
      <c r="C2171" s="6" t="str">
        <f>IFERROR(__xludf.DUMMYFUNCTION("""COMPUTED_VALUE"""),"TENTATIVA DE HOMICÍDIO")</f>
        <v>TENTATIVA DE HOMICÍDIO</v>
      </c>
      <c r="D2171" s="6">
        <f>IFERROR(__xludf.DUMMYFUNCTION("""COMPUTED_VALUE"""),2.0)</f>
        <v>2</v>
      </c>
      <c r="E2171" s="6">
        <f>IFERROR(__xludf.DUMMYFUNCTION("""COMPUTED_VALUE"""),2.0)</f>
        <v>2</v>
      </c>
      <c r="F2171" s="6">
        <f>IFERROR(__xludf.DUMMYFUNCTION("""COMPUTED_VALUE"""),12.0)</f>
        <v>12</v>
      </c>
      <c r="G2171" s="6">
        <f>IFERROR(__xludf.DUMMYFUNCTION("""COMPUTED_VALUE"""),16.0)</f>
        <v>16</v>
      </c>
    </row>
    <row r="2172">
      <c r="A2172" s="6">
        <f>IFERROR(__xludf.DUMMYFUNCTION("""COMPUTED_VALUE"""),2024.0)</f>
        <v>2024</v>
      </c>
      <c r="B2172" s="6" t="str">
        <f>IFERROR(__xludf.DUMMYFUNCTION("""COMPUTED_VALUE"""),"Janeiro")</f>
        <v>Janeiro</v>
      </c>
      <c r="C2172" s="6" t="str">
        <f>IFERROR(__xludf.DUMMYFUNCTION("""COMPUTED_VALUE"""),"LESÃO CORPORAL DOLOSA")</f>
        <v>LESÃO CORPORAL DOLOSA</v>
      </c>
      <c r="D2172" s="6">
        <f>IFERROR(__xludf.DUMMYFUNCTION("""COMPUTED_VALUE"""),948.0)</f>
        <v>948</v>
      </c>
      <c r="E2172" s="6">
        <f>IFERROR(__xludf.DUMMYFUNCTION("""COMPUTED_VALUE"""),812.0)</f>
        <v>812</v>
      </c>
      <c r="F2172" s="6">
        <f>IFERROR(__xludf.DUMMYFUNCTION("""COMPUTED_VALUE"""),2914.0)</f>
        <v>2914</v>
      </c>
      <c r="G2172" s="6">
        <f>IFERROR(__xludf.DUMMYFUNCTION("""COMPUTED_VALUE"""),4674.0)</f>
        <v>4674</v>
      </c>
    </row>
    <row r="2173">
      <c r="A2173" s="6">
        <f>IFERROR(__xludf.DUMMYFUNCTION("""COMPUTED_VALUE"""),2024.0)</f>
        <v>2024</v>
      </c>
      <c r="B2173" s="6" t="str">
        <f>IFERROR(__xludf.DUMMYFUNCTION("""COMPUTED_VALUE"""),"Janeiro")</f>
        <v>Janeiro</v>
      </c>
      <c r="C2173" s="6" t="str">
        <f>IFERROR(__xludf.DUMMYFUNCTION("""COMPUTED_VALUE"""),"MAUS TRATOS")</f>
        <v>MAUS TRATOS</v>
      </c>
      <c r="D2173" s="6">
        <f>IFERROR(__xludf.DUMMYFUNCTION("""COMPUTED_VALUE"""),3.0)</f>
        <v>3</v>
      </c>
      <c r="E2173" s="6">
        <f>IFERROR(__xludf.DUMMYFUNCTION("""COMPUTED_VALUE"""),2.0)</f>
        <v>2</v>
      </c>
      <c r="F2173" s="6">
        <f>IFERROR(__xludf.DUMMYFUNCTION("""COMPUTED_VALUE"""),16.0)</f>
        <v>16</v>
      </c>
      <c r="G2173" s="6">
        <f>IFERROR(__xludf.DUMMYFUNCTION("""COMPUTED_VALUE"""),21.0)</f>
        <v>21</v>
      </c>
    </row>
    <row r="2174">
      <c r="A2174" s="6">
        <f>IFERROR(__xludf.DUMMYFUNCTION("""COMPUTED_VALUE"""),2024.0)</f>
        <v>2024</v>
      </c>
      <c r="B2174" s="6" t="str">
        <f>IFERROR(__xludf.DUMMYFUNCTION("""COMPUTED_VALUE"""),"Janeiro")</f>
        <v>Janeiro</v>
      </c>
      <c r="C2174" s="6" t="str">
        <f>IFERROR(__xludf.DUMMYFUNCTION("""COMPUTED_VALUE"""),"CALÚNIA - DIFAMAÇÃO - INJÚRIA")</f>
        <v>CALÚNIA - DIFAMAÇÃO - INJÚRIA</v>
      </c>
      <c r="D2174" s="6">
        <f>IFERROR(__xludf.DUMMYFUNCTION("""COMPUTED_VALUE"""),187.0)</f>
        <v>187</v>
      </c>
      <c r="E2174" s="6">
        <f>IFERROR(__xludf.DUMMYFUNCTION("""COMPUTED_VALUE"""),159.0)</f>
        <v>159</v>
      </c>
      <c r="F2174" s="6">
        <f>IFERROR(__xludf.DUMMYFUNCTION("""COMPUTED_VALUE"""),694.0)</f>
        <v>694</v>
      </c>
      <c r="G2174" s="6">
        <f>IFERROR(__xludf.DUMMYFUNCTION("""COMPUTED_VALUE"""),1040.0)</f>
        <v>1040</v>
      </c>
    </row>
    <row r="2175">
      <c r="A2175" s="6">
        <f>IFERROR(__xludf.DUMMYFUNCTION("""COMPUTED_VALUE"""),2024.0)</f>
        <v>2024</v>
      </c>
      <c r="B2175" s="6" t="str">
        <f>IFERROR(__xludf.DUMMYFUNCTION("""COMPUTED_VALUE"""),"Janeiro")</f>
        <v>Janeiro</v>
      </c>
      <c r="C2175" s="6" t="str">
        <f>IFERROR(__xludf.DUMMYFUNCTION("""COMPUTED_VALUE"""),"CONSTRANGIMENTO ILEGAL")</f>
        <v>CONSTRANGIMENTO ILEGAL</v>
      </c>
      <c r="D2175" s="6">
        <f>IFERROR(__xludf.DUMMYFUNCTION("""COMPUTED_VALUE"""),1.0)</f>
        <v>1</v>
      </c>
      <c r="E2175" s="6">
        <f>IFERROR(__xludf.DUMMYFUNCTION("""COMPUTED_VALUE"""),0.0)</f>
        <v>0</v>
      </c>
      <c r="F2175" s="6">
        <f>IFERROR(__xludf.DUMMYFUNCTION("""COMPUTED_VALUE"""),6.0)</f>
        <v>6</v>
      </c>
      <c r="G2175" s="6">
        <f>IFERROR(__xludf.DUMMYFUNCTION("""COMPUTED_VALUE"""),7.0)</f>
        <v>7</v>
      </c>
    </row>
    <row r="2176">
      <c r="A2176" s="6">
        <f>IFERROR(__xludf.DUMMYFUNCTION("""COMPUTED_VALUE"""),2024.0)</f>
        <v>2024</v>
      </c>
      <c r="B2176" s="6" t="str">
        <f>IFERROR(__xludf.DUMMYFUNCTION("""COMPUTED_VALUE"""),"Janeiro")</f>
        <v>Janeiro</v>
      </c>
      <c r="C2176" s="6" t="str">
        <f>IFERROR(__xludf.DUMMYFUNCTION("""COMPUTED_VALUE"""),"AMEAÇA")</f>
        <v>AMEAÇA</v>
      </c>
      <c r="D2176" s="6">
        <f>IFERROR(__xludf.DUMMYFUNCTION("""COMPUTED_VALUE"""),872.0)</f>
        <v>872</v>
      </c>
      <c r="E2176" s="6">
        <f>IFERROR(__xludf.DUMMYFUNCTION("""COMPUTED_VALUE"""),804.0)</f>
        <v>804</v>
      </c>
      <c r="F2176" s="6">
        <f>IFERROR(__xludf.DUMMYFUNCTION("""COMPUTED_VALUE"""),2984.0)</f>
        <v>2984</v>
      </c>
      <c r="G2176" s="6">
        <f>IFERROR(__xludf.DUMMYFUNCTION("""COMPUTED_VALUE"""),4660.0)</f>
        <v>4660</v>
      </c>
    </row>
    <row r="2177">
      <c r="A2177" s="6">
        <f>IFERROR(__xludf.DUMMYFUNCTION("""COMPUTED_VALUE"""),2024.0)</f>
        <v>2024</v>
      </c>
      <c r="B2177" s="6" t="str">
        <f>IFERROR(__xludf.DUMMYFUNCTION("""COMPUTED_VALUE"""),"Janeiro")</f>
        <v>Janeiro</v>
      </c>
      <c r="C2177" s="6" t="str">
        <f>IFERROR(__xludf.DUMMYFUNCTION("""COMPUTED_VALUE"""),"INVASÃO DE DOMICÍLIO")</f>
        <v>INVASÃO DE DOMICÍLIO</v>
      </c>
      <c r="D2177" s="6">
        <f>IFERROR(__xludf.DUMMYFUNCTION("""COMPUTED_VALUE"""),1.0)</f>
        <v>1</v>
      </c>
      <c r="E2177" s="6">
        <f>IFERROR(__xludf.DUMMYFUNCTION("""COMPUTED_VALUE"""),2.0)</f>
        <v>2</v>
      </c>
      <c r="F2177" s="6">
        <f>IFERROR(__xludf.DUMMYFUNCTION("""COMPUTED_VALUE"""),13.0)</f>
        <v>13</v>
      </c>
      <c r="G2177" s="6">
        <f>IFERROR(__xludf.DUMMYFUNCTION("""COMPUTED_VALUE"""),16.0)</f>
        <v>16</v>
      </c>
    </row>
    <row r="2178">
      <c r="A2178" s="6">
        <f>IFERROR(__xludf.DUMMYFUNCTION("""COMPUTED_VALUE"""),2024.0)</f>
        <v>2024</v>
      </c>
      <c r="B2178" s="6" t="str">
        <f>IFERROR(__xludf.DUMMYFUNCTION("""COMPUTED_VALUE"""),"Janeiro")</f>
        <v>Janeiro</v>
      </c>
      <c r="C2178" s="6" t="str">
        <f>IFERROR(__xludf.DUMMYFUNCTION("""COMPUTED_VALUE"""),"DANO")</f>
        <v>DANO</v>
      </c>
      <c r="D2178" s="6">
        <f>IFERROR(__xludf.DUMMYFUNCTION("""COMPUTED_VALUE"""),11.0)</f>
        <v>11</v>
      </c>
      <c r="E2178" s="6">
        <f>IFERROR(__xludf.DUMMYFUNCTION("""COMPUTED_VALUE"""),10.0)</f>
        <v>10</v>
      </c>
      <c r="F2178" s="6">
        <f>IFERROR(__xludf.DUMMYFUNCTION("""COMPUTED_VALUE"""),54.0)</f>
        <v>54</v>
      </c>
      <c r="G2178" s="6">
        <f>IFERROR(__xludf.DUMMYFUNCTION("""COMPUTED_VALUE"""),75.0)</f>
        <v>75</v>
      </c>
    </row>
    <row r="2179">
      <c r="A2179" s="6">
        <f>IFERROR(__xludf.DUMMYFUNCTION("""COMPUTED_VALUE"""),2024.0)</f>
        <v>2024</v>
      </c>
      <c r="B2179" s="6" t="str">
        <f>IFERROR(__xludf.DUMMYFUNCTION("""COMPUTED_VALUE"""),"Janeiro")</f>
        <v>Janeiro</v>
      </c>
      <c r="C2179" s="6" t="str">
        <f>IFERROR(__xludf.DUMMYFUNCTION("""COMPUTED_VALUE"""),"ESTUPRO CONSUMADO")</f>
        <v>ESTUPRO CONSUMADO</v>
      </c>
      <c r="D2179" s="6">
        <f>IFERROR(__xludf.DUMMYFUNCTION("""COMPUTED_VALUE"""),10.0)</f>
        <v>10</v>
      </c>
      <c r="E2179" s="6">
        <f>IFERROR(__xludf.DUMMYFUNCTION("""COMPUTED_VALUE"""),7.0)</f>
        <v>7</v>
      </c>
      <c r="F2179" s="6">
        <f>IFERROR(__xludf.DUMMYFUNCTION("""COMPUTED_VALUE"""),17.0)</f>
        <v>17</v>
      </c>
      <c r="G2179" s="6">
        <f>IFERROR(__xludf.DUMMYFUNCTION("""COMPUTED_VALUE"""),34.0)</f>
        <v>34</v>
      </c>
    </row>
    <row r="2180">
      <c r="A2180" s="6">
        <f>IFERROR(__xludf.DUMMYFUNCTION("""COMPUTED_VALUE"""),2024.0)</f>
        <v>2024</v>
      </c>
      <c r="B2180" s="6" t="str">
        <f>IFERROR(__xludf.DUMMYFUNCTION("""COMPUTED_VALUE"""),"Janeiro")</f>
        <v>Janeiro</v>
      </c>
      <c r="C2180" s="6" t="str">
        <f>IFERROR(__xludf.DUMMYFUNCTION("""COMPUTED_VALUE"""),"ESTUPRO TENTADO")</f>
        <v>ESTUPRO TENTADO</v>
      </c>
      <c r="D2180" s="6">
        <f>IFERROR(__xludf.DUMMYFUNCTION("""COMPUTED_VALUE"""),0.0)</f>
        <v>0</v>
      </c>
      <c r="E2180" s="6">
        <f>IFERROR(__xludf.DUMMYFUNCTION("""COMPUTED_VALUE"""),0.0)</f>
        <v>0</v>
      </c>
      <c r="F2180" s="6">
        <f>IFERROR(__xludf.DUMMYFUNCTION("""COMPUTED_VALUE"""),1.0)</f>
        <v>1</v>
      </c>
      <c r="G2180" s="6">
        <f>IFERROR(__xludf.DUMMYFUNCTION("""COMPUTED_VALUE"""),1.0)</f>
        <v>1</v>
      </c>
    </row>
    <row r="2181">
      <c r="A2181" s="6">
        <f>IFERROR(__xludf.DUMMYFUNCTION("""COMPUTED_VALUE"""),2024.0)</f>
        <v>2024</v>
      </c>
      <c r="B2181" s="6" t="str">
        <f>IFERROR(__xludf.DUMMYFUNCTION("""COMPUTED_VALUE"""),"Janeiro")</f>
        <v>Janeiro</v>
      </c>
      <c r="C2181" s="6" t="str">
        <f>IFERROR(__xludf.DUMMYFUNCTION("""COMPUTED_VALUE"""),"ESTUPRO DE VULNERÁVEL CONSUMADO")</f>
        <v>ESTUPRO DE VULNERÁVEL CONSUMADO</v>
      </c>
      <c r="D2181" s="6">
        <f>IFERROR(__xludf.DUMMYFUNCTION("""COMPUTED_VALUE"""),3.0)</f>
        <v>3</v>
      </c>
      <c r="E2181" s="6">
        <f>IFERROR(__xludf.DUMMYFUNCTION("""COMPUTED_VALUE"""),4.0)</f>
        <v>4</v>
      </c>
      <c r="F2181" s="6">
        <f>IFERROR(__xludf.DUMMYFUNCTION("""COMPUTED_VALUE"""),17.0)</f>
        <v>17</v>
      </c>
      <c r="G2181" s="6">
        <f>IFERROR(__xludf.DUMMYFUNCTION("""COMPUTED_VALUE"""),24.0)</f>
        <v>24</v>
      </c>
    </row>
    <row r="2182">
      <c r="A2182" s="6">
        <f>IFERROR(__xludf.DUMMYFUNCTION("""COMPUTED_VALUE"""),2024.0)</f>
        <v>2024</v>
      </c>
      <c r="B2182" s="6" t="str">
        <f>IFERROR(__xludf.DUMMYFUNCTION("""COMPUTED_VALUE"""),"Janeiro")</f>
        <v>Janeiro</v>
      </c>
      <c r="C2182" s="6" t="str">
        <f>IFERROR(__xludf.DUMMYFUNCTION("""COMPUTED_VALUE"""),"OUTROS C/C/ DIGNIDADE SEXUAL")</f>
        <v>OUTROS C/C/ DIGNIDADE SEXUAL</v>
      </c>
      <c r="D2182" s="6">
        <f>IFERROR(__xludf.DUMMYFUNCTION("""COMPUTED_VALUE"""),0.0)</f>
        <v>0</v>
      </c>
      <c r="E2182" s="6">
        <f>IFERROR(__xludf.DUMMYFUNCTION("""COMPUTED_VALUE"""),0.0)</f>
        <v>0</v>
      </c>
      <c r="F2182" s="6">
        <f>IFERROR(__xludf.DUMMYFUNCTION("""COMPUTED_VALUE"""),2.0)</f>
        <v>2</v>
      </c>
      <c r="G2182" s="6">
        <f>IFERROR(__xludf.DUMMYFUNCTION("""COMPUTED_VALUE"""),2.0)</f>
        <v>2</v>
      </c>
    </row>
    <row r="2183">
      <c r="A2183" s="6">
        <f>IFERROR(__xludf.DUMMYFUNCTION("""COMPUTED_VALUE"""),2024.0)</f>
        <v>2024</v>
      </c>
      <c r="B2183" s="6" t="str">
        <f>IFERROR(__xludf.DUMMYFUNCTION("""COMPUTED_VALUE"""),"Fevereiro")</f>
        <v>Fevereiro</v>
      </c>
      <c r="C2183" s="6" t="str">
        <f>IFERROR(__xludf.DUMMYFUNCTION("""COMPUTED_VALUE"""),"HOMICÍDIO DOLOSO (exclui FEMINICÍDIO)")</f>
        <v>HOMICÍDIO DOLOSO (exclui FEMINICÍDIO)</v>
      </c>
      <c r="D2183" s="6">
        <f>IFERROR(__xludf.DUMMYFUNCTION("""COMPUTED_VALUE"""),1.0)</f>
        <v>1</v>
      </c>
      <c r="E2183" s="6">
        <f>IFERROR(__xludf.DUMMYFUNCTION("""COMPUTED_VALUE"""),0.0)</f>
        <v>0</v>
      </c>
      <c r="F2183" s="6">
        <f>IFERROR(__xludf.DUMMYFUNCTION("""COMPUTED_VALUE"""),2.0)</f>
        <v>2</v>
      </c>
      <c r="G2183" s="6">
        <f>IFERROR(__xludf.DUMMYFUNCTION("""COMPUTED_VALUE"""),3.0)</f>
        <v>3</v>
      </c>
    </row>
    <row r="2184">
      <c r="A2184" s="6">
        <f>IFERROR(__xludf.DUMMYFUNCTION("""COMPUTED_VALUE"""),2024.0)</f>
        <v>2024</v>
      </c>
      <c r="B2184" s="6" t="str">
        <f>IFERROR(__xludf.DUMMYFUNCTION("""COMPUTED_VALUE"""),"Fevereiro")</f>
        <v>Fevereiro</v>
      </c>
      <c r="C2184" s="6" t="str">
        <f>IFERROR(__xludf.DUMMYFUNCTION("""COMPUTED_VALUE"""),"FEMINICÍDIO")</f>
        <v>FEMINICÍDIO</v>
      </c>
      <c r="D2184" s="6">
        <f>IFERROR(__xludf.DUMMYFUNCTION("""COMPUTED_VALUE"""),3.0)</f>
        <v>3</v>
      </c>
      <c r="E2184" s="6">
        <f>IFERROR(__xludf.DUMMYFUNCTION("""COMPUTED_VALUE"""),4.0)</f>
        <v>4</v>
      </c>
      <c r="F2184" s="6">
        <f>IFERROR(__xludf.DUMMYFUNCTION("""COMPUTED_VALUE"""),7.0)</f>
        <v>7</v>
      </c>
      <c r="G2184" s="6">
        <f>IFERROR(__xludf.DUMMYFUNCTION("""COMPUTED_VALUE"""),14.0)</f>
        <v>14</v>
      </c>
    </row>
    <row r="2185">
      <c r="A2185" s="6">
        <f>IFERROR(__xludf.DUMMYFUNCTION("""COMPUTED_VALUE"""),2024.0)</f>
        <v>2024</v>
      </c>
      <c r="B2185" s="6" t="str">
        <f>IFERROR(__xludf.DUMMYFUNCTION("""COMPUTED_VALUE"""),"Fevereiro")</f>
        <v>Fevereiro</v>
      </c>
      <c r="C2185" s="6" t="str">
        <f>IFERROR(__xludf.DUMMYFUNCTION("""COMPUTED_VALUE"""),"HOMICÍDIO CULPOSO")</f>
        <v>HOMICÍDIO CULPOSO</v>
      </c>
      <c r="D2185" s="6">
        <f>IFERROR(__xludf.DUMMYFUNCTION("""COMPUTED_VALUE"""),0.0)</f>
        <v>0</v>
      </c>
      <c r="E2185" s="6">
        <f>IFERROR(__xludf.DUMMYFUNCTION("""COMPUTED_VALUE"""),0.0)</f>
        <v>0</v>
      </c>
      <c r="F2185" s="6">
        <f>IFERROR(__xludf.DUMMYFUNCTION("""COMPUTED_VALUE"""),0.0)</f>
        <v>0</v>
      </c>
      <c r="G2185" s="6">
        <f>IFERROR(__xludf.DUMMYFUNCTION("""COMPUTED_VALUE"""),0.0)</f>
        <v>0</v>
      </c>
    </row>
    <row r="2186">
      <c r="A2186" s="6">
        <f>IFERROR(__xludf.DUMMYFUNCTION("""COMPUTED_VALUE"""),2024.0)</f>
        <v>2024</v>
      </c>
      <c r="B2186" s="6" t="str">
        <f>IFERROR(__xludf.DUMMYFUNCTION("""COMPUTED_VALUE"""),"Fevereiro")</f>
        <v>Fevereiro</v>
      </c>
      <c r="C2186" s="6" t="str">
        <f>IFERROR(__xludf.DUMMYFUNCTION("""COMPUTED_VALUE"""),"TENTATIVA DE HOMICÍDIO")</f>
        <v>TENTATIVA DE HOMICÍDIO</v>
      </c>
      <c r="D2186" s="6">
        <f>IFERROR(__xludf.DUMMYFUNCTION("""COMPUTED_VALUE"""),2.0)</f>
        <v>2</v>
      </c>
      <c r="E2186" s="6">
        <f>IFERROR(__xludf.DUMMYFUNCTION("""COMPUTED_VALUE"""),2.0)</f>
        <v>2</v>
      </c>
      <c r="F2186" s="6">
        <f>IFERROR(__xludf.DUMMYFUNCTION("""COMPUTED_VALUE"""),12.0)</f>
        <v>12</v>
      </c>
      <c r="G2186" s="6">
        <f>IFERROR(__xludf.DUMMYFUNCTION("""COMPUTED_VALUE"""),16.0)</f>
        <v>16</v>
      </c>
    </row>
    <row r="2187">
      <c r="A2187" s="6">
        <f>IFERROR(__xludf.DUMMYFUNCTION("""COMPUTED_VALUE"""),2024.0)</f>
        <v>2024</v>
      </c>
      <c r="B2187" s="6" t="str">
        <f>IFERROR(__xludf.DUMMYFUNCTION("""COMPUTED_VALUE"""),"Fevereiro")</f>
        <v>Fevereiro</v>
      </c>
      <c r="C2187" s="6" t="str">
        <f>IFERROR(__xludf.DUMMYFUNCTION("""COMPUTED_VALUE"""),"LESÃO CORPORAL DOLOSA")</f>
        <v>LESÃO CORPORAL DOLOSA</v>
      </c>
      <c r="D2187" s="6">
        <f>IFERROR(__xludf.DUMMYFUNCTION("""COMPUTED_VALUE"""),948.0)</f>
        <v>948</v>
      </c>
      <c r="E2187" s="6">
        <f>IFERROR(__xludf.DUMMYFUNCTION("""COMPUTED_VALUE"""),812.0)</f>
        <v>812</v>
      </c>
      <c r="F2187" s="6">
        <f>IFERROR(__xludf.DUMMYFUNCTION("""COMPUTED_VALUE"""),2914.0)</f>
        <v>2914</v>
      </c>
      <c r="G2187" s="6">
        <f>IFERROR(__xludf.DUMMYFUNCTION("""COMPUTED_VALUE"""),4674.0)</f>
        <v>4674</v>
      </c>
    </row>
    <row r="2188">
      <c r="A2188" s="6">
        <f>IFERROR(__xludf.DUMMYFUNCTION("""COMPUTED_VALUE"""),2024.0)</f>
        <v>2024</v>
      </c>
      <c r="B2188" s="6" t="str">
        <f>IFERROR(__xludf.DUMMYFUNCTION("""COMPUTED_VALUE"""),"Fevereiro")</f>
        <v>Fevereiro</v>
      </c>
      <c r="C2188" s="6" t="str">
        <f>IFERROR(__xludf.DUMMYFUNCTION("""COMPUTED_VALUE"""),"MAUS TRATOS")</f>
        <v>MAUS TRATOS</v>
      </c>
      <c r="D2188" s="6">
        <f>IFERROR(__xludf.DUMMYFUNCTION("""COMPUTED_VALUE"""),3.0)</f>
        <v>3</v>
      </c>
      <c r="E2188" s="6">
        <f>IFERROR(__xludf.DUMMYFUNCTION("""COMPUTED_VALUE"""),2.0)</f>
        <v>2</v>
      </c>
      <c r="F2188" s="6">
        <f>IFERROR(__xludf.DUMMYFUNCTION("""COMPUTED_VALUE"""),16.0)</f>
        <v>16</v>
      </c>
      <c r="G2188" s="6">
        <f>IFERROR(__xludf.DUMMYFUNCTION("""COMPUTED_VALUE"""),21.0)</f>
        <v>21</v>
      </c>
    </row>
    <row r="2189">
      <c r="A2189" s="6">
        <f>IFERROR(__xludf.DUMMYFUNCTION("""COMPUTED_VALUE"""),2024.0)</f>
        <v>2024</v>
      </c>
      <c r="B2189" s="6" t="str">
        <f>IFERROR(__xludf.DUMMYFUNCTION("""COMPUTED_VALUE"""),"Fevereiro")</f>
        <v>Fevereiro</v>
      </c>
      <c r="C2189" s="6" t="str">
        <f>IFERROR(__xludf.DUMMYFUNCTION("""COMPUTED_VALUE"""),"CALÚNIA - DIFAMAÇÃO - INJÚRIA")</f>
        <v>CALÚNIA - DIFAMAÇÃO - INJÚRIA</v>
      </c>
      <c r="D2189" s="6">
        <f>IFERROR(__xludf.DUMMYFUNCTION("""COMPUTED_VALUE"""),187.0)</f>
        <v>187</v>
      </c>
      <c r="E2189" s="6">
        <f>IFERROR(__xludf.DUMMYFUNCTION("""COMPUTED_VALUE"""),159.0)</f>
        <v>159</v>
      </c>
      <c r="F2189" s="6">
        <f>IFERROR(__xludf.DUMMYFUNCTION("""COMPUTED_VALUE"""),694.0)</f>
        <v>694</v>
      </c>
      <c r="G2189" s="6">
        <f>IFERROR(__xludf.DUMMYFUNCTION("""COMPUTED_VALUE"""),1040.0)</f>
        <v>1040</v>
      </c>
    </row>
    <row r="2190">
      <c r="A2190" s="6">
        <f>IFERROR(__xludf.DUMMYFUNCTION("""COMPUTED_VALUE"""),2024.0)</f>
        <v>2024</v>
      </c>
      <c r="B2190" s="6" t="str">
        <f>IFERROR(__xludf.DUMMYFUNCTION("""COMPUTED_VALUE"""),"Fevereiro")</f>
        <v>Fevereiro</v>
      </c>
      <c r="C2190" s="6" t="str">
        <f>IFERROR(__xludf.DUMMYFUNCTION("""COMPUTED_VALUE"""),"CONSTRANGIMENTO ILEGAL")</f>
        <v>CONSTRANGIMENTO ILEGAL</v>
      </c>
      <c r="D2190" s="6">
        <f>IFERROR(__xludf.DUMMYFUNCTION("""COMPUTED_VALUE"""),1.0)</f>
        <v>1</v>
      </c>
      <c r="E2190" s="6">
        <f>IFERROR(__xludf.DUMMYFUNCTION("""COMPUTED_VALUE"""),0.0)</f>
        <v>0</v>
      </c>
      <c r="F2190" s="6">
        <f>IFERROR(__xludf.DUMMYFUNCTION("""COMPUTED_VALUE"""),6.0)</f>
        <v>6</v>
      </c>
      <c r="G2190" s="6">
        <f>IFERROR(__xludf.DUMMYFUNCTION("""COMPUTED_VALUE"""),7.0)</f>
        <v>7</v>
      </c>
    </row>
    <row r="2191">
      <c r="A2191" s="6">
        <f>IFERROR(__xludf.DUMMYFUNCTION("""COMPUTED_VALUE"""),2024.0)</f>
        <v>2024</v>
      </c>
      <c r="B2191" s="6" t="str">
        <f>IFERROR(__xludf.DUMMYFUNCTION("""COMPUTED_VALUE"""),"Fevereiro")</f>
        <v>Fevereiro</v>
      </c>
      <c r="C2191" s="6" t="str">
        <f>IFERROR(__xludf.DUMMYFUNCTION("""COMPUTED_VALUE"""),"AMEAÇA")</f>
        <v>AMEAÇA</v>
      </c>
      <c r="D2191" s="6">
        <f>IFERROR(__xludf.DUMMYFUNCTION("""COMPUTED_VALUE"""),872.0)</f>
        <v>872</v>
      </c>
      <c r="E2191" s="6">
        <f>IFERROR(__xludf.DUMMYFUNCTION("""COMPUTED_VALUE"""),804.0)</f>
        <v>804</v>
      </c>
      <c r="F2191" s="6">
        <f>IFERROR(__xludf.DUMMYFUNCTION("""COMPUTED_VALUE"""),2984.0)</f>
        <v>2984</v>
      </c>
      <c r="G2191" s="6">
        <f>IFERROR(__xludf.DUMMYFUNCTION("""COMPUTED_VALUE"""),4660.0)</f>
        <v>4660</v>
      </c>
    </row>
    <row r="2192">
      <c r="A2192" s="6">
        <f>IFERROR(__xludf.DUMMYFUNCTION("""COMPUTED_VALUE"""),2024.0)</f>
        <v>2024</v>
      </c>
      <c r="B2192" s="6" t="str">
        <f>IFERROR(__xludf.DUMMYFUNCTION("""COMPUTED_VALUE"""),"Fevereiro")</f>
        <v>Fevereiro</v>
      </c>
      <c r="C2192" s="6" t="str">
        <f>IFERROR(__xludf.DUMMYFUNCTION("""COMPUTED_VALUE"""),"INVASÃO DE DOMICÍLIO")</f>
        <v>INVASÃO DE DOMICÍLIO</v>
      </c>
      <c r="D2192" s="6">
        <f>IFERROR(__xludf.DUMMYFUNCTION("""COMPUTED_VALUE"""),1.0)</f>
        <v>1</v>
      </c>
      <c r="E2192" s="6">
        <f>IFERROR(__xludf.DUMMYFUNCTION("""COMPUTED_VALUE"""),2.0)</f>
        <v>2</v>
      </c>
      <c r="F2192" s="6">
        <f>IFERROR(__xludf.DUMMYFUNCTION("""COMPUTED_VALUE"""),13.0)</f>
        <v>13</v>
      </c>
      <c r="G2192" s="6">
        <f>IFERROR(__xludf.DUMMYFUNCTION("""COMPUTED_VALUE"""),16.0)</f>
        <v>16</v>
      </c>
    </row>
    <row r="2193">
      <c r="A2193" s="6">
        <f>IFERROR(__xludf.DUMMYFUNCTION("""COMPUTED_VALUE"""),2024.0)</f>
        <v>2024</v>
      </c>
      <c r="B2193" s="6" t="str">
        <f>IFERROR(__xludf.DUMMYFUNCTION("""COMPUTED_VALUE"""),"Fevereiro")</f>
        <v>Fevereiro</v>
      </c>
      <c r="C2193" s="6" t="str">
        <f>IFERROR(__xludf.DUMMYFUNCTION("""COMPUTED_VALUE"""),"DANO")</f>
        <v>DANO</v>
      </c>
      <c r="D2193" s="6">
        <f>IFERROR(__xludf.DUMMYFUNCTION("""COMPUTED_VALUE"""),11.0)</f>
        <v>11</v>
      </c>
      <c r="E2193" s="6">
        <f>IFERROR(__xludf.DUMMYFUNCTION("""COMPUTED_VALUE"""),10.0)</f>
        <v>10</v>
      </c>
      <c r="F2193" s="6">
        <f>IFERROR(__xludf.DUMMYFUNCTION("""COMPUTED_VALUE"""),54.0)</f>
        <v>54</v>
      </c>
      <c r="G2193" s="6">
        <f>IFERROR(__xludf.DUMMYFUNCTION("""COMPUTED_VALUE"""),75.0)</f>
        <v>75</v>
      </c>
    </row>
    <row r="2194">
      <c r="A2194" s="6">
        <f>IFERROR(__xludf.DUMMYFUNCTION("""COMPUTED_VALUE"""),2024.0)</f>
        <v>2024</v>
      </c>
      <c r="B2194" s="6" t="str">
        <f>IFERROR(__xludf.DUMMYFUNCTION("""COMPUTED_VALUE"""),"Fevereiro")</f>
        <v>Fevereiro</v>
      </c>
      <c r="C2194" s="6" t="str">
        <f>IFERROR(__xludf.DUMMYFUNCTION("""COMPUTED_VALUE"""),"ESTUPRO CONSUMADO")</f>
        <v>ESTUPRO CONSUMADO</v>
      </c>
      <c r="D2194" s="6">
        <f>IFERROR(__xludf.DUMMYFUNCTION("""COMPUTED_VALUE"""),10.0)</f>
        <v>10</v>
      </c>
      <c r="E2194" s="6">
        <f>IFERROR(__xludf.DUMMYFUNCTION("""COMPUTED_VALUE"""),7.0)</f>
        <v>7</v>
      </c>
      <c r="F2194" s="6">
        <f>IFERROR(__xludf.DUMMYFUNCTION("""COMPUTED_VALUE"""),17.0)</f>
        <v>17</v>
      </c>
      <c r="G2194" s="6">
        <f>IFERROR(__xludf.DUMMYFUNCTION("""COMPUTED_VALUE"""),34.0)</f>
        <v>34</v>
      </c>
    </row>
    <row r="2195">
      <c r="A2195" s="6">
        <f>IFERROR(__xludf.DUMMYFUNCTION("""COMPUTED_VALUE"""),2024.0)</f>
        <v>2024</v>
      </c>
      <c r="B2195" s="6" t="str">
        <f>IFERROR(__xludf.DUMMYFUNCTION("""COMPUTED_VALUE"""),"Fevereiro")</f>
        <v>Fevereiro</v>
      </c>
      <c r="C2195" s="6" t="str">
        <f>IFERROR(__xludf.DUMMYFUNCTION("""COMPUTED_VALUE"""),"ESTUPRO TENTADO")</f>
        <v>ESTUPRO TENTADO</v>
      </c>
      <c r="D2195" s="6">
        <f>IFERROR(__xludf.DUMMYFUNCTION("""COMPUTED_VALUE"""),0.0)</f>
        <v>0</v>
      </c>
      <c r="E2195" s="6">
        <f>IFERROR(__xludf.DUMMYFUNCTION("""COMPUTED_VALUE"""),0.0)</f>
        <v>0</v>
      </c>
      <c r="F2195" s="6">
        <f>IFERROR(__xludf.DUMMYFUNCTION("""COMPUTED_VALUE"""),1.0)</f>
        <v>1</v>
      </c>
      <c r="G2195" s="6">
        <f>IFERROR(__xludf.DUMMYFUNCTION("""COMPUTED_VALUE"""),1.0)</f>
        <v>1</v>
      </c>
    </row>
    <row r="2196">
      <c r="A2196" s="6">
        <f>IFERROR(__xludf.DUMMYFUNCTION("""COMPUTED_VALUE"""),2024.0)</f>
        <v>2024</v>
      </c>
      <c r="B2196" s="6" t="str">
        <f>IFERROR(__xludf.DUMMYFUNCTION("""COMPUTED_VALUE"""),"Fevereiro")</f>
        <v>Fevereiro</v>
      </c>
      <c r="C2196" s="6" t="str">
        <f>IFERROR(__xludf.DUMMYFUNCTION("""COMPUTED_VALUE"""),"ESTUPRO DE VULNERÁVEL CONSUMADO")</f>
        <v>ESTUPRO DE VULNERÁVEL CONSUMADO</v>
      </c>
      <c r="D2196" s="6">
        <f>IFERROR(__xludf.DUMMYFUNCTION("""COMPUTED_VALUE"""),3.0)</f>
        <v>3</v>
      </c>
      <c r="E2196" s="6">
        <f>IFERROR(__xludf.DUMMYFUNCTION("""COMPUTED_VALUE"""),4.0)</f>
        <v>4</v>
      </c>
      <c r="F2196" s="6">
        <f>IFERROR(__xludf.DUMMYFUNCTION("""COMPUTED_VALUE"""),17.0)</f>
        <v>17</v>
      </c>
      <c r="G2196" s="6">
        <f>IFERROR(__xludf.DUMMYFUNCTION("""COMPUTED_VALUE"""),24.0)</f>
        <v>24</v>
      </c>
    </row>
    <row r="2197">
      <c r="A2197" s="6">
        <f>IFERROR(__xludf.DUMMYFUNCTION("""COMPUTED_VALUE"""),2024.0)</f>
        <v>2024</v>
      </c>
      <c r="B2197" s="6" t="str">
        <f>IFERROR(__xludf.DUMMYFUNCTION("""COMPUTED_VALUE"""),"Fevereiro")</f>
        <v>Fevereiro</v>
      </c>
      <c r="C2197" s="6" t="str">
        <f>IFERROR(__xludf.DUMMYFUNCTION("""COMPUTED_VALUE"""),"OUTROS C/C/ DIGNIDADE SEXUAL")</f>
        <v>OUTROS C/C/ DIGNIDADE SEXUAL</v>
      </c>
      <c r="D2197" s="6">
        <f>IFERROR(__xludf.DUMMYFUNCTION("""COMPUTED_VALUE"""),0.0)</f>
        <v>0</v>
      </c>
      <c r="E2197" s="6">
        <f>IFERROR(__xludf.DUMMYFUNCTION("""COMPUTED_VALUE"""),0.0)</f>
        <v>0</v>
      </c>
      <c r="F2197" s="6">
        <f>IFERROR(__xludf.DUMMYFUNCTION("""COMPUTED_VALUE"""),2.0)</f>
        <v>2</v>
      </c>
      <c r="G2197" s="6">
        <f>IFERROR(__xludf.DUMMYFUNCTION("""COMPUTED_VALUE"""),2.0)</f>
        <v>2</v>
      </c>
    </row>
    <row r="2198">
      <c r="A2198" s="6">
        <f>IFERROR(__xludf.DUMMYFUNCTION("""COMPUTED_VALUE"""),2024.0)</f>
        <v>2024</v>
      </c>
      <c r="B2198" s="6" t="str">
        <f>IFERROR(__xludf.DUMMYFUNCTION("""COMPUTED_VALUE"""),"Março")</f>
        <v>Março</v>
      </c>
      <c r="C2198" s="6" t="str">
        <f>IFERROR(__xludf.DUMMYFUNCTION("""COMPUTED_VALUE"""),"HOMICÍDIO DOLOSO (exclui FEMINICÍDIO)")</f>
        <v>HOMICÍDIO DOLOSO (exclui FEMINICÍDIO)</v>
      </c>
      <c r="D2198" s="6">
        <f>IFERROR(__xludf.DUMMYFUNCTION("""COMPUTED_VALUE"""),1.0)</f>
        <v>1</v>
      </c>
      <c r="E2198" s="6">
        <f>IFERROR(__xludf.DUMMYFUNCTION("""COMPUTED_VALUE"""),0.0)</f>
        <v>0</v>
      </c>
      <c r="F2198" s="6">
        <f>IFERROR(__xludf.DUMMYFUNCTION("""COMPUTED_VALUE"""),2.0)</f>
        <v>2</v>
      </c>
      <c r="G2198" s="6">
        <f>IFERROR(__xludf.DUMMYFUNCTION("""COMPUTED_VALUE"""),3.0)</f>
        <v>3</v>
      </c>
    </row>
    <row r="2199">
      <c r="A2199" s="6">
        <f>IFERROR(__xludf.DUMMYFUNCTION("""COMPUTED_VALUE"""),2024.0)</f>
        <v>2024</v>
      </c>
      <c r="B2199" s="6" t="str">
        <f>IFERROR(__xludf.DUMMYFUNCTION("""COMPUTED_VALUE"""),"Março")</f>
        <v>Março</v>
      </c>
      <c r="C2199" s="6" t="str">
        <f>IFERROR(__xludf.DUMMYFUNCTION("""COMPUTED_VALUE"""),"FEMINICÍDIO")</f>
        <v>FEMINICÍDIO</v>
      </c>
      <c r="D2199" s="6">
        <f>IFERROR(__xludf.DUMMYFUNCTION("""COMPUTED_VALUE"""),4.0)</f>
        <v>4</v>
      </c>
      <c r="E2199" s="6">
        <f>IFERROR(__xludf.DUMMYFUNCTION("""COMPUTED_VALUE"""),4.0)</f>
        <v>4</v>
      </c>
      <c r="F2199" s="6">
        <f>IFERROR(__xludf.DUMMYFUNCTION("""COMPUTED_VALUE"""),9.0)</f>
        <v>9</v>
      </c>
      <c r="G2199" s="6">
        <f>IFERROR(__xludf.DUMMYFUNCTION("""COMPUTED_VALUE"""),17.0)</f>
        <v>17</v>
      </c>
    </row>
    <row r="2200">
      <c r="A2200" s="6">
        <f>IFERROR(__xludf.DUMMYFUNCTION("""COMPUTED_VALUE"""),2024.0)</f>
        <v>2024</v>
      </c>
      <c r="B2200" s="6" t="str">
        <f>IFERROR(__xludf.DUMMYFUNCTION("""COMPUTED_VALUE"""),"Março")</f>
        <v>Março</v>
      </c>
      <c r="C2200" s="6" t="str">
        <f>IFERROR(__xludf.DUMMYFUNCTION("""COMPUTED_VALUE"""),"HOMICÍDIO CULPOSO")</f>
        <v>HOMICÍDIO CULPOSO</v>
      </c>
      <c r="D2200" s="6">
        <f>IFERROR(__xludf.DUMMYFUNCTION("""COMPUTED_VALUE"""),0.0)</f>
        <v>0</v>
      </c>
      <c r="E2200" s="6">
        <f>IFERROR(__xludf.DUMMYFUNCTION("""COMPUTED_VALUE"""),0.0)</f>
        <v>0</v>
      </c>
      <c r="F2200" s="6">
        <f>IFERROR(__xludf.DUMMYFUNCTION("""COMPUTED_VALUE"""),0.0)</f>
        <v>0</v>
      </c>
      <c r="G2200" s="6">
        <f>IFERROR(__xludf.DUMMYFUNCTION("""COMPUTED_VALUE"""),0.0)</f>
        <v>0</v>
      </c>
    </row>
    <row r="2201">
      <c r="A2201" s="6">
        <f>IFERROR(__xludf.DUMMYFUNCTION("""COMPUTED_VALUE"""),2024.0)</f>
        <v>2024</v>
      </c>
      <c r="B2201" s="6" t="str">
        <f>IFERROR(__xludf.DUMMYFUNCTION("""COMPUTED_VALUE"""),"Março")</f>
        <v>Março</v>
      </c>
      <c r="C2201" s="6" t="str">
        <f>IFERROR(__xludf.DUMMYFUNCTION("""COMPUTED_VALUE"""),"TENTATIVA DE HOMICÍDIO")</f>
        <v>TENTATIVA DE HOMICÍDIO</v>
      </c>
      <c r="D2201" s="6">
        <f>IFERROR(__xludf.DUMMYFUNCTION("""COMPUTED_VALUE"""),2.0)</f>
        <v>2</v>
      </c>
      <c r="E2201" s="6">
        <f>IFERROR(__xludf.DUMMYFUNCTION("""COMPUTED_VALUE"""),2.0)</f>
        <v>2</v>
      </c>
      <c r="F2201" s="6">
        <f>IFERROR(__xludf.DUMMYFUNCTION("""COMPUTED_VALUE"""),12.0)</f>
        <v>12</v>
      </c>
      <c r="G2201" s="6">
        <f>IFERROR(__xludf.DUMMYFUNCTION("""COMPUTED_VALUE"""),16.0)</f>
        <v>16</v>
      </c>
    </row>
    <row r="2202">
      <c r="A2202" s="6">
        <f>IFERROR(__xludf.DUMMYFUNCTION("""COMPUTED_VALUE"""),2024.0)</f>
        <v>2024</v>
      </c>
      <c r="B2202" s="6" t="str">
        <f>IFERROR(__xludf.DUMMYFUNCTION("""COMPUTED_VALUE"""),"Março")</f>
        <v>Março</v>
      </c>
      <c r="C2202" s="6" t="str">
        <f>IFERROR(__xludf.DUMMYFUNCTION("""COMPUTED_VALUE"""),"LESÃO CORPORAL DOLOSA")</f>
        <v>LESÃO CORPORAL DOLOSA</v>
      </c>
      <c r="D2202" s="6">
        <f>IFERROR(__xludf.DUMMYFUNCTION("""COMPUTED_VALUE"""),948.0)</f>
        <v>948</v>
      </c>
      <c r="E2202" s="6">
        <f>IFERROR(__xludf.DUMMYFUNCTION("""COMPUTED_VALUE"""),812.0)</f>
        <v>812</v>
      </c>
      <c r="F2202" s="6">
        <f>IFERROR(__xludf.DUMMYFUNCTION("""COMPUTED_VALUE"""),2914.0)</f>
        <v>2914</v>
      </c>
      <c r="G2202" s="6">
        <f>IFERROR(__xludf.DUMMYFUNCTION("""COMPUTED_VALUE"""),4674.0)</f>
        <v>4674</v>
      </c>
    </row>
    <row r="2203">
      <c r="A2203" s="6">
        <f>IFERROR(__xludf.DUMMYFUNCTION("""COMPUTED_VALUE"""),2024.0)</f>
        <v>2024</v>
      </c>
      <c r="B2203" s="6" t="str">
        <f>IFERROR(__xludf.DUMMYFUNCTION("""COMPUTED_VALUE"""),"Março")</f>
        <v>Março</v>
      </c>
      <c r="C2203" s="6" t="str">
        <f>IFERROR(__xludf.DUMMYFUNCTION("""COMPUTED_VALUE"""),"MAUS TRATOS")</f>
        <v>MAUS TRATOS</v>
      </c>
      <c r="D2203" s="6">
        <f>IFERROR(__xludf.DUMMYFUNCTION("""COMPUTED_VALUE"""),3.0)</f>
        <v>3</v>
      </c>
      <c r="E2203" s="6">
        <f>IFERROR(__xludf.DUMMYFUNCTION("""COMPUTED_VALUE"""),2.0)</f>
        <v>2</v>
      </c>
      <c r="F2203" s="6">
        <f>IFERROR(__xludf.DUMMYFUNCTION("""COMPUTED_VALUE"""),16.0)</f>
        <v>16</v>
      </c>
      <c r="G2203" s="6">
        <f>IFERROR(__xludf.DUMMYFUNCTION("""COMPUTED_VALUE"""),21.0)</f>
        <v>21</v>
      </c>
    </row>
    <row r="2204">
      <c r="A2204" s="6">
        <f>IFERROR(__xludf.DUMMYFUNCTION("""COMPUTED_VALUE"""),2024.0)</f>
        <v>2024</v>
      </c>
      <c r="B2204" s="6" t="str">
        <f>IFERROR(__xludf.DUMMYFUNCTION("""COMPUTED_VALUE"""),"Março")</f>
        <v>Março</v>
      </c>
      <c r="C2204" s="6" t="str">
        <f>IFERROR(__xludf.DUMMYFUNCTION("""COMPUTED_VALUE"""),"CALÚNIA - DIFAMAÇÃO - INJÚRIA")</f>
        <v>CALÚNIA - DIFAMAÇÃO - INJÚRIA</v>
      </c>
      <c r="D2204" s="6">
        <f>IFERROR(__xludf.DUMMYFUNCTION("""COMPUTED_VALUE"""),187.0)</f>
        <v>187</v>
      </c>
      <c r="E2204" s="6">
        <f>IFERROR(__xludf.DUMMYFUNCTION("""COMPUTED_VALUE"""),159.0)</f>
        <v>159</v>
      </c>
      <c r="F2204" s="6">
        <f>IFERROR(__xludf.DUMMYFUNCTION("""COMPUTED_VALUE"""),694.0)</f>
        <v>694</v>
      </c>
      <c r="G2204" s="6">
        <f>IFERROR(__xludf.DUMMYFUNCTION("""COMPUTED_VALUE"""),1040.0)</f>
        <v>1040</v>
      </c>
    </row>
    <row r="2205">
      <c r="A2205" s="6">
        <f>IFERROR(__xludf.DUMMYFUNCTION("""COMPUTED_VALUE"""),2024.0)</f>
        <v>2024</v>
      </c>
      <c r="B2205" s="6" t="str">
        <f>IFERROR(__xludf.DUMMYFUNCTION("""COMPUTED_VALUE"""),"Março")</f>
        <v>Março</v>
      </c>
      <c r="C2205" s="6" t="str">
        <f>IFERROR(__xludf.DUMMYFUNCTION("""COMPUTED_VALUE"""),"CONSTRANGIMENTO ILEGAL")</f>
        <v>CONSTRANGIMENTO ILEGAL</v>
      </c>
      <c r="D2205" s="6">
        <f>IFERROR(__xludf.DUMMYFUNCTION("""COMPUTED_VALUE"""),1.0)</f>
        <v>1</v>
      </c>
      <c r="E2205" s="6">
        <f>IFERROR(__xludf.DUMMYFUNCTION("""COMPUTED_VALUE"""),0.0)</f>
        <v>0</v>
      </c>
      <c r="F2205" s="6">
        <f>IFERROR(__xludf.DUMMYFUNCTION("""COMPUTED_VALUE"""),6.0)</f>
        <v>6</v>
      </c>
      <c r="G2205" s="6">
        <f>IFERROR(__xludf.DUMMYFUNCTION("""COMPUTED_VALUE"""),7.0)</f>
        <v>7</v>
      </c>
    </row>
    <row r="2206">
      <c r="A2206" s="6">
        <f>IFERROR(__xludf.DUMMYFUNCTION("""COMPUTED_VALUE"""),2024.0)</f>
        <v>2024</v>
      </c>
      <c r="B2206" s="6" t="str">
        <f>IFERROR(__xludf.DUMMYFUNCTION("""COMPUTED_VALUE"""),"Março")</f>
        <v>Março</v>
      </c>
      <c r="C2206" s="6" t="str">
        <f>IFERROR(__xludf.DUMMYFUNCTION("""COMPUTED_VALUE"""),"AMEAÇA")</f>
        <v>AMEAÇA</v>
      </c>
      <c r="D2206" s="6">
        <f>IFERROR(__xludf.DUMMYFUNCTION("""COMPUTED_VALUE"""),872.0)</f>
        <v>872</v>
      </c>
      <c r="E2206" s="6">
        <f>IFERROR(__xludf.DUMMYFUNCTION("""COMPUTED_VALUE"""),804.0)</f>
        <v>804</v>
      </c>
      <c r="F2206" s="6">
        <f>IFERROR(__xludf.DUMMYFUNCTION("""COMPUTED_VALUE"""),2984.0)</f>
        <v>2984</v>
      </c>
      <c r="G2206" s="6">
        <f>IFERROR(__xludf.DUMMYFUNCTION("""COMPUTED_VALUE"""),4660.0)</f>
        <v>4660</v>
      </c>
    </row>
    <row r="2207">
      <c r="A2207" s="6">
        <f>IFERROR(__xludf.DUMMYFUNCTION("""COMPUTED_VALUE"""),2024.0)</f>
        <v>2024</v>
      </c>
      <c r="B2207" s="6" t="str">
        <f>IFERROR(__xludf.DUMMYFUNCTION("""COMPUTED_VALUE"""),"Março")</f>
        <v>Março</v>
      </c>
      <c r="C2207" s="6" t="str">
        <f>IFERROR(__xludf.DUMMYFUNCTION("""COMPUTED_VALUE"""),"INVASÃO DE DOMICÍLIO")</f>
        <v>INVASÃO DE DOMICÍLIO</v>
      </c>
      <c r="D2207" s="6">
        <f>IFERROR(__xludf.DUMMYFUNCTION("""COMPUTED_VALUE"""),1.0)</f>
        <v>1</v>
      </c>
      <c r="E2207" s="6">
        <f>IFERROR(__xludf.DUMMYFUNCTION("""COMPUTED_VALUE"""),2.0)</f>
        <v>2</v>
      </c>
      <c r="F2207" s="6">
        <f>IFERROR(__xludf.DUMMYFUNCTION("""COMPUTED_VALUE"""),13.0)</f>
        <v>13</v>
      </c>
      <c r="G2207" s="6">
        <f>IFERROR(__xludf.DUMMYFUNCTION("""COMPUTED_VALUE"""),16.0)</f>
        <v>16</v>
      </c>
    </row>
    <row r="2208">
      <c r="A2208" s="6">
        <f>IFERROR(__xludf.DUMMYFUNCTION("""COMPUTED_VALUE"""),2024.0)</f>
        <v>2024</v>
      </c>
      <c r="B2208" s="6" t="str">
        <f>IFERROR(__xludf.DUMMYFUNCTION("""COMPUTED_VALUE"""),"Março")</f>
        <v>Março</v>
      </c>
      <c r="C2208" s="6" t="str">
        <f>IFERROR(__xludf.DUMMYFUNCTION("""COMPUTED_VALUE"""),"DANO")</f>
        <v>DANO</v>
      </c>
      <c r="D2208" s="6">
        <f>IFERROR(__xludf.DUMMYFUNCTION("""COMPUTED_VALUE"""),11.0)</f>
        <v>11</v>
      </c>
      <c r="E2208" s="6">
        <f>IFERROR(__xludf.DUMMYFUNCTION("""COMPUTED_VALUE"""),10.0)</f>
        <v>10</v>
      </c>
      <c r="F2208" s="6">
        <f>IFERROR(__xludf.DUMMYFUNCTION("""COMPUTED_VALUE"""),54.0)</f>
        <v>54</v>
      </c>
      <c r="G2208" s="6">
        <f>IFERROR(__xludf.DUMMYFUNCTION("""COMPUTED_VALUE"""),75.0)</f>
        <v>75</v>
      </c>
    </row>
    <row r="2209">
      <c r="A2209" s="6">
        <f>IFERROR(__xludf.DUMMYFUNCTION("""COMPUTED_VALUE"""),2024.0)</f>
        <v>2024</v>
      </c>
      <c r="B2209" s="6" t="str">
        <f>IFERROR(__xludf.DUMMYFUNCTION("""COMPUTED_VALUE"""),"Março")</f>
        <v>Março</v>
      </c>
      <c r="C2209" s="6" t="str">
        <f>IFERROR(__xludf.DUMMYFUNCTION("""COMPUTED_VALUE"""),"ESTUPRO CONSUMADO")</f>
        <v>ESTUPRO CONSUMADO</v>
      </c>
      <c r="D2209" s="6">
        <f>IFERROR(__xludf.DUMMYFUNCTION("""COMPUTED_VALUE"""),10.0)</f>
        <v>10</v>
      </c>
      <c r="E2209" s="6">
        <f>IFERROR(__xludf.DUMMYFUNCTION("""COMPUTED_VALUE"""),7.0)</f>
        <v>7</v>
      </c>
      <c r="F2209" s="6">
        <f>IFERROR(__xludf.DUMMYFUNCTION("""COMPUTED_VALUE"""),17.0)</f>
        <v>17</v>
      </c>
      <c r="G2209" s="6">
        <f>IFERROR(__xludf.DUMMYFUNCTION("""COMPUTED_VALUE"""),34.0)</f>
        <v>34</v>
      </c>
    </row>
    <row r="2210">
      <c r="A2210" s="6">
        <f>IFERROR(__xludf.DUMMYFUNCTION("""COMPUTED_VALUE"""),2024.0)</f>
        <v>2024</v>
      </c>
      <c r="B2210" s="6" t="str">
        <f>IFERROR(__xludf.DUMMYFUNCTION("""COMPUTED_VALUE"""),"Março")</f>
        <v>Março</v>
      </c>
      <c r="C2210" s="6" t="str">
        <f>IFERROR(__xludf.DUMMYFUNCTION("""COMPUTED_VALUE"""),"ESTUPRO TENTADO")</f>
        <v>ESTUPRO TENTADO</v>
      </c>
      <c r="D2210" s="6">
        <f>IFERROR(__xludf.DUMMYFUNCTION("""COMPUTED_VALUE"""),0.0)</f>
        <v>0</v>
      </c>
      <c r="E2210" s="6">
        <f>IFERROR(__xludf.DUMMYFUNCTION("""COMPUTED_VALUE"""),0.0)</f>
        <v>0</v>
      </c>
      <c r="F2210" s="6">
        <f>IFERROR(__xludf.DUMMYFUNCTION("""COMPUTED_VALUE"""),1.0)</f>
        <v>1</v>
      </c>
      <c r="G2210" s="6">
        <f>IFERROR(__xludf.DUMMYFUNCTION("""COMPUTED_VALUE"""),1.0)</f>
        <v>1</v>
      </c>
    </row>
    <row r="2211">
      <c r="A2211" s="6">
        <f>IFERROR(__xludf.DUMMYFUNCTION("""COMPUTED_VALUE"""),2024.0)</f>
        <v>2024</v>
      </c>
      <c r="B2211" s="6" t="str">
        <f>IFERROR(__xludf.DUMMYFUNCTION("""COMPUTED_VALUE"""),"Março")</f>
        <v>Março</v>
      </c>
      <c r="C2211" s="6" t="str">
        <f>IFERROR(__xludf.DUMMYFUNCTION("""COMPUTED_VALUE"""),"ESTUPRO DE VULNERÁVEL CONSUMADO")</f>
        <v>ESTUPRO DE VULNERÁVEL CONSUMADO</v>
      </c>
      <c r="D2211" s="6">
        <f>IFERROR(__xludf.DUMMYFUNCTION("""COMPUTED_VALUE"""),3.0)</f>
        <v>3</v>
      </c>
      <c r="E2211" s="6">
        <f>IFERROR(__xludf.DUMMYFUNCTION("""COMPUTED_VALUE"""),4.0)</f>
        <v>4</v>
      </c>
      <c r="F2211" s="6">
        <f>IFERROR(__xludf.DUMMYFUNCTION("""COMPUTED_VALUE"""),17.0)</f>
        <v>17</v>
      </c>
      <c r="G2211" s="6">
        <f>IFERROR(__xludf.DUMMYFUNCTION("""COMPUTED_VALUE"""),24.0)</f>
        <v>24</v>
      </c>
    </row>
    <row r="2212">
      <c r="A2212" s="6">
        <f>IFERROR(__xludf.DUMMYFUNCTION("""COMPUTED_VALUE"""),2024.0)</f>
        <v>2024</v>
      </c>
      <c r="B2212" s="6" t="str">
        <f>IFERROR(__xludf.DUMMYFUNCTION("""COMPUTED_VALUE"""),"Março")</f>
        <v>Março</v>
      </c>
      <c r="C2212" s="6" t="str">
        <f>IFERROR(__xludf.DUMMYFUNCTION("""COMPUTED_VALUE"""),"OUTROS C/C/ DIGNIDADE SEXUAL")</f>
        <v>OUTROS C/C/ DIGNIDADE SEXUAL</v>
      </c>
      <c r="D2212" s="6">
        <f>IFERROR(__xludf.DUMMYFUNCTION("""COMPUTED_VALUE"""),0.0)</f>
        <v>0</v>
      </c>
      <c r="E2212" s="6">
        <f>IFERROR(__xludf.DUMMYFUNCTION("""COMPUTED_VALUE"""),0.0)</f>
        <v>0</v>
      </c>
      <c r="F2212" s="6">
        <f>IFERROR(__xludf.DUMMYFUNCTION("""COMPUTED_VALUE"""),2.0)</f>
        <v>2</v>
      </c>
      <c r="G2212" s="6">
        <f>IFERROR(__xludf.DUMMYFUNCTION("""COMPUTED_VALUE"""),2.0)</f>
        <v>2</v>
      </c>
    </row>
    <row r="2213">
      <c r="A2213" s="6">
        <f>IFERROR(__xludf.DUMMYFUNCTION("""COMPUTED_VALUE"""),2024.0)</f>
        <v>2024</v>
      </c>
      <c r="B2213" s="6" t="str">
        <f>IFERROR(__xludf.DUMMYFUNCTION("""COMPUTED_VALUE"""),"Abril")</f>
        <v>Abril</v>
      </c>
      <c r="C2213" s="6" t="str">
        <f>IFERROR(__xludf.DUMMYFUNCTION("""COMPUTED_VALUE"""),"HOMICÍDIO DOLOSO (exclui FEMINICÍDIO)")</f>
        <v>HOMICÍDIO DOLOSO (exclui FEMINICÍDIO)</v>
      </c>
      <c r="D2213" s="6">
        <f>IFERROR(__xludf.DUMMYFUNCTION("""COMPUTED_VALUE"""),1.0)</f>
        <v>1</v>
      </c>
      <c r="E2213" s="6">
        <f>IFERROR(__xludf.DUMMYFUNCTION("""COMPUTED_VALUE"""),0.0)</f>
        <v>0</v>
      </c>
      <c r="F2213" s="6">
        <f>IFERROR(__xludf.DUMMYFUNCTION("""COMPUTED_VALUE"""),2.0)</f>
        <v>2</v>
      </c>
      <c r="G2213" s="6">
        <f>IFERROR(__xludf.DUMMYFUNCTION("""COMPUTED_VALUE"""),3.0)</f>
        <v>3</v>
      </c>
    </row>
    <row r="2214">
      <c r="A2214" s="6">
        <f>IFERROR(__xludf.DUMMYFUNCTION("""COMPUTED_VALUE"""),2024.0)</f>
        <v>2024</v>
      </c>
      <c r="B2214" s="6" t="str">
        <f>IFERROR(__xludf.DUMMYFUNCTION("""COMPUTED_VALUE"""),"Abril")</f>
        <v>Abril</v>
      </c>
      <c r="C2214" s="6" t="str">
        <f>IFERROR(__xludf.DUMMYFUNCTION("""COMPUTED_VALUE"""),"FEMINICÍDIO")</f>
        <v>FEMINICÍDIO</v>
      </c>
      <c r="D2214" s="6">
        <f>IFERROR(__xludf.DUMMYFUNCTION("""COMPUTED_VALUE"""),3.0)</f>
        <v>3</v>
      </c>
      <c r="E2214" s="6">
        <f>IFERROR(__xludf.DUMMYFUNCTION("""COMPUTED_VALUE"""),3.0)</f>
        <v>3</v>
      </c>
      <c r="F2214" s="6">
        <f>IFERROR(__xludf.DUMMYFUNCTION("""COMPUTED_VALUE"""),6.0)</f>
        <v>6</v>
      </c>
      <c r="G2214" s="6">
        <f>IFERROR(__xludf.DUMMYFUNCTION("""COMPUTED_VALUE"""),12.0)</f>
        <v>12</v>
      </c>
    </row>
    <row r="2215">
      <c r="A2215" s="6">
        <f>IFERROR(__xludf.DUMMYFUNCTION("""COMPUTED_VALUE"""),2024.0)</f>
        <v>2024</v>
      </c>
      <c r="B2215" s="6" t="str">
        <f>IFERROR(__xludf.DUMMYFUNCTION("""COMPUTED_VALUE"""),"Abril")</f>
        <v>Abril</v>
      </c>
      <c r="C2215" s="6" t="str">
        <f>IFERROR(__xludf.DUMMYFUNCTION("""COMPUTED_VALUE"""),"HOMICÍDIO CULPOSO")</f>
        <v>HOMICÍDIO CULPOSO</v>
      </c>
      <c r="D2215" s="6">
        <f>IFERROR(__xludf.DUMMYFUNCTION("""COMPUTED_VALUE"""),0.0)</f>
        <v>0</v>
      </c>
      <c r="E2215" s="6">
        <f>IFERROR(__xludf.DUMMYFUNCTION("""COMPUTED_VALUE"""),0.0)</f>
        <v>0</v>
      </c>
      <c r="F2215" s="6">
        <f>IFERROR(__xludf.DUMMYFUNCTION("""COMPUTED_VALUE"""),0.0)</f>
        <v>0</v>
      </c>
      <c r="G2215" s="6">
        <f>IFERROR(__xludf.DUMMYFUNCTION("""COMPUTED_VALUE"""),0.0)</f>
        <v>0</v>
      </c>
    </row>
    <row r="2216">
      <c r="A2216" s="6">
        <f>IFERROR(__xludf.DUMMYFUNCTION("""COMPUTED_VALUE"""),2024.0)</f>
        <v>2024</v>
      </c>
      <c r="B2216" s="6" t="str">
        <f>IFERROR(__xludf.DUMMYFUNCTION("""COMPUTED_VALUE"""),"Abril")</f>
        <v>Abril</v>
      </c>
      <c r="C2216" s="6" t="str">
        <f>IFERROR(__xludf.DUMMYFUNCTION("""COMPUTED_VALUE"""),"TENTATIVA DE HOMICÍDIO")</f>
        <v>TENTATIVA DE HOMICÍDIO</v>
      </c>
      <c r="D2216" s="6">
        <f>IFERROR(__xludf.DUMMYFUNCTION("""COMPUTED_VALUE"""),1.0)</f>
        <v>1</v>
      </c>
      <c r="E2216" s="6">
        <f>IFERROR(__xludf.DUMMYFUNCTION("""COMPUTED_VALUE"""),1.0)</f>
        <v>1</v>
      </c>
      <c r="F2216" s="6">
        <f>IFERROR(__xludf.DUMMYFUNCTION("""COMPUTED_VALUE"""),11.0)</f>
        <v>11</v>
      </c>
      <c r="G2216" s="6">
        <f>IFERROR(__xludf.DUMMYFUNCTION("""COMPUTED_VALUE"""),13.0)</f>
        <v>13</v>
      </c>
    </row>
    <row r="2217">
      <c r="A2217" s="6">
        <f>IFERROR(__xludf.DUMMYFUNCTION("""COMPUTED_VALUE"""),2024.0)</f>
        <v>2024</v>
      </c>
      <c r="B2217" s="6" t="str">
        <f>IFERROR(__xludf.DUMMYFUNCTION("""COMPUTED_VALUE"""),"Abril")</f>
        <v>Abril</v>
      </c>
      <c r="C2217" s="6" t="str">
        <f>IFERROR(__xludf.DUMMYFUNCTION("""COMPUTED_VALUE"""),"LESÃO CORPORAL DOLOSA")</f>
        <v>LESÃO CORPORAL DOLOSA</v>
      </c>
      <c r="D2217" s="6">
        <f>IFERROR(__xludf.DUMMYFUNCTION("""COMPUTED_VALUE"""),912.0)</f>
        <v>912</v>
      </c>
      <c r="E2217" s="6">
        <f>IFERROR(__xludf.DUMMYFUNCTION("""COMPUTED_VALUE"""),784.0)</f>
        <v>784</v>
      </c>
      <c r="F2217" s="6">
        <f>IFERROR(__xludf.DUMMYFUNCTION("""COMPUTED_VALUE"""),2814.0)</f>
        <v>2814</v>
      </c>
      <c r="G2217" s="6">
        <f>IFERROR(__xludf.DUMMYFUNCTION("""COMPUTED_VALUE"""),4510.0)</f>
        <v>4510</v>
      </c>
    </row>
    <row r="2218">
      <c r="A2218" s="6">
        <f>IFERROR(__xludf.DUMMYFUNCTION("""COMPUTED_VALUE"""),2024.0)</f>
        <v>2024</v>
      </c>
      <c r="B2218" s="6" t="str">
        <f>IFERROR(__xludf.DUMMYFUNCTION("""COMPUTED_VALUE"""),"Abril")</f>
        <v>Abril</v>
      </c>
      <c r="C2218" s="6" t="str">
        <f>IFERROR(__xludf.DUMMYFUNCTION("""COMPUTED_VALUE"""),"MAUS TRATOS")</f>
        <v>MAUS TRATOS</v>
      </c>
      <c r="D2218" s="6">
        <f>IFERROR(__xludf.DUMMYFUNCTION("""COMPUTED_VALUE"""),2.0)</f>
        <v>2</v>
      </c>
      <c r="E2218" s="6">
        <f>IFERROR(__xludf.DUMMYFUNCTION("""COMPUTED_VALUE"""),2.0)</f>
        <v>2</v>
      </c>
      <c r="F2218" s="6">
        <f>IFERROR(__xludf.DUMMYFUNCTION("""COMPUTED_VALUE"""),14.0)</f>
        <v>14</v>
      </c>
      <c r="G2218" s="6">
        <f>IFERROR(__xludf.DUMMYFUNCTION("""COMPUTED_VALUE"""),18.0)</f>
        <v>18</v>
      </c>
    </row>
    <row r="2219">
      <c r="A2219" s="6">
        <f>IFERROR(__xludf.DUMMYFUNCTION("""COMPUTED_VALUE"""),2024.0)</f>
        <v>2024</v>
      </c>
      <c r="B2219" s="6" t="str">
        <f>IFERROR(__xludf.DUMMYFUNCTION("""COMPUTED_VALUE"""),"Abril")</f>
        <v>Abril</v>
      </c>
      <c r="C2219" s="6" t="str">
        <f>IFERROR(__xludf.DUMMYFUNCTION("""COMPUTED_VALUE"""),"CALÚNIA - DIFAMAÇÃO - INJÚRIA")</f>
        <v>CALÚNIA - DIFAMAÇÃO - INJÚRIA</v>
      </c>
      <c r="D2219" s="6">
        <f>IFERROR(__xludf.DUMMYFUNCTION("""COMPUTED_VALUE"""),178.0)</f>
        <v>178</v>
      </c>
      <c r="E2219" s="6">
        <f>IFERROR(__xludf.DUMMYFUNCTION("""COMPUTED_VALUE"""),151.0)</f>
        <v>151</v>
      </c>
      <c r="F2219" s="6">
        <f>IFERROR(__xludf.DUMMYFUNCTION("""COMPUTED_VALUE"""),654.0)</f>
        <v>654</v>
      </c>
      <c r="G2219" s="6">
        <f>IFERROR(__xludf.DUMMYFUNCTION("""COMPUTED_VALUE"""),983.0)</f>
        <v>983</v>
      </c>
    </row>
    <row r="2220">
      <c r="A2220" s="6">
        <f>IFERROR(__xludf.DUMMYFUNCTION("""COMPUTED_VALUE"""),2024.0)</f>
        <v>2024</v>
      </c>
      <c r="B2220" s="6" t="str">
        <f>IFERROR(__xludf.DUMMYFUNCTION("""COMPUTED_VALUE"""),"Abril")</f>
        <v>Abril</v>
      </c>
      <c r="C2220" s="6" t="str">
        <f>IFERROR(__xludf.DUMMYFUNCTION("""COMPUTED_VALUE"""),"CONSTRANGIMENTO ILEGAL")</f>
        <v>CONSTRANGIMENTO ILEGAL</v>
      </c>
      <c r="D2220" s="6">
        <f>IFERROR(__xludf.DUMMYFUNCTION("""COMPUTED_VALUE"""),1.0)</f>
        <v>1</v>
      </c>
      <c r="E2220" s="6">
        <f>IFERROR(__xludf.DUMMYFUNCTION("""COMPUTED_VALUE"""),0.0)</f>
        <v>0</v>
      </c>
      <c r="F2220" s="6">
        <f>IFERROR(__xludf.DUMMYFUNCTION("""COMPUTED_VALUE"""),5.0)</f>
        <v>5</v>
      </c>
      <c r="G2220" s="6">
        <f>IFERROR(__xludf.DUMMYFUNCTION("""COMPUTED_VALUE"""),6.0)</f>
        <v>6</v>
      </c>
    </row>
    <row r="2221">
      <c r="A2221" s="6">
        <f>IFERROR(__xludf.DUMMYFUNCTION("""COMPUTED_VALUE"""),2024.0)</f>
        <v>2024</v>
      </c>
      <c r="B2221" s="6" t="str">
        <f>IFERROR(__xludf.DUMMYFUNCTION("""COMPUTED_VALUE"""),"Abril")</f>
        <v>Abril</v>
      </c>
      <c r="C2221" s="6" t="str">
        <f>IFERROR(__xludf.DUMMYFUNCTION("""COMPUTED_VALUE"""),"AMEAÇA")</f>
        <v>AMEAÇA</v>
      </c>
      <c r="D2221" s="6">
        <f>IFERROR(__xludf.DUMMYFUNCTION("""COMPUTED_VALUE"""),842.0)</f>
        <v>842</v>
      </c>
      <c r="E2221" s="6">
        <f>IFERROR(__xludf.DUMMYFUNCTION("""COMPUTED_VALUE"""),771.0)</f>
        <v>771</v>
      </c>
      <c r="F2221" s="6">
        <f>IFERROR(__xludf.DUMMYFUNCTION("""COMPUTED_VALUE"""),2884.0)</f>
        <v>2884</v>
      </c>
      <c r="G2221" s="6">
        <f>IFERROR(__xludf.DUMMYFUNCTION("""COMPUTED_VALUE"""),4497.0)</f>
        <v>4497</v>
      </c>
    </row>
    <row r="2222">
      <c r="A2222" s="6">
        <f>IFERROR(__xludf.DUMMYFUNCTION("""COMPUTED_VALUE"""),2024.0)</f>
        <v>2024</v>
      </c>
      <c r="B2222" s="6" t="str">
        <f>IFERROR(__xludf.DUMMYFUNCTION("""COMPUTED_VALUE"""),"Abril")</f>
        <v>Abril</v>
      </c>
      <c r="C2222" s="6" t="str">
        <f>IFERROR(__xludf.DUMMYFUNCTION("""COMPUTED_VALUE"""),"INVASÃO DE DOMICÍLIO")</f>
        <v>INVASÃO DE DOMICÍLIO</v>
      </c>
      <c r="D2222" s="6">
        <f>IFERROR(__xludf.DUMMYFUNCTION("""COMPUTED_VALUE"""),1.0)</f>
        <v>1</v>
      </c>
      <c r="E2222" s="6">
        <f>IFERROR(__xludf.DUMMYFUNCTION("""COMPUTED_VALUE"""),1.0)</f>
        <v>1</v>
      </c>
      <c r="F2222" s="6">
        <f>IFERROR(__xludf.DUMMYFUNCTION("""COMPUTED_VALUE"""),11.0)</f>
        <v>11</v>
      </c>
      <c r="G2222" s="6">
        <f>IFERROR(__xludf.DUMMYFUNCTION("""COMPUTED_VALUE"""),13.0)</f>
        <v>13</v>
      </c>
    </row>
    <row r="2223">
      <c r="A2223" s="6">
        <f>IFERROR(__xludf.DUMMYFUNCTION("""COMPUTED_VALUE"""),2024.0)</f>
        <v>2024</v>
      </c>
      <c r="B2223" s="6" t="str">
        <f>IFERROR(__xludf.DUMMYFUNCTION("""COMPUTED_VALUE"""),"Abril")</f>
        <v>Abril</v>
      </c>
      <c r="C2223" s="6" t="str">
        <f>IFERROR(__xludf.DUMMYFUNCTION("""COMPUTED_VALUE"""),"DANO")</f>
        <v>DANO</v>
      </c>
      <c r="D2223" s="6">
        <f>IFERROR(__xludf.DUMMYFUNCTION("""COMPUTED_VALUE"""),9.0)</f>
        <v>9</v>
      </c>
      <c r="E2223" s="6">
        <f>IFERROR(__xludf.DUMMYFUNCTION("""COMPUTED_VALUE"""),9.0)</f>
        <v>9</v>
      </c>
      <c r="F2223" s="6">
        <f>IFERROR(__xludf.DUMMYFUNCTION("""COMPUTED_VALUE"""),51.0)</f>
        <v>51</v>
      </c>
      <c r="G2223" s="6">
        <f>IFERROR(__xludf.DUMMYFUNCTION("""COMPUTED_VALUE"""),69.0)</f>
        <v>69</v>
      </c>
    </row>
    <row r="2224">
      <c r="A2224" s="6">
        <f>IFERROR(__xludf.DUMMYFUNCTION("""COMPUTED_VALUE"""),2024.0)</f>
        <v>2024</v>
      </c>
      <c r="B2224" s="6" t="str">
        <f>IFERROR(__xludf.DUMMYFUNCTION("""COMPUTED_VALUE"""),"Abril")</f>
        <v>Abril</v>
      </c>
      <c r="C2224" s="6" t="str">
        <f>IFERROR(__xludf.DUMMYFUNCTION("""COMPUTED_VALUE"""),"ESTUPRO CONSUMADO")</f>
        <v>ESTUPRO CONSUMADO</v>
      </c>
      <c r="D2224" s="6">
        <f>IFERROR(__xludf.DUMMYFUNCTION("""COMPUTED_VALUE"""),9.0)</f>
        <v>9</v>
      </c>
      <c r="E2224" s="6">
        <f>IFERROR(__xludf.DUMMYFUNCTION("""COMPUTED_VALUE"""),6.0)</f>
        <v>6</v>
      </c>
      <c r="F2224" s="6">
        <f>IFERROR(__xludf.DUMMYFUNCTION("""COMPUTED_VALUE"""),16.0)</f>
        <v>16</v>
      </c>
      <c r="G2224" s="6">
        <f>IFERROR(__xludf.DUMMYFUNCTION("""COMPUTED_VALUE"""),31.0)</f>
        <v>31</v>
      </c>
    </row>
    <row r="2225">
      <c r="A2225" s="6">
        <f>IFERROR(__xludf.DUMMYFUNCTION("""COMPUTED_VALUE"""),2024.0)</f>
        <v>2024</v>
      </c>
      <c r="B2225" s="6" t="str">
        <f>IFERROR(__xludf.DUMMYFUNCTION("""COMPUTED_VALUE"""),"Abril")</f>
        <v>Abril</v>
      </c>
      <c r="C2225" s="6" t="str">
        <f>IFERROR(__xludf.DUMMYFUNCTION("""COMPUTED_VALUE"""),"ESTUPRO TENTADO")</f>
        <v>ESTUPRO TENTADO</v>
      </c>
      <c r="D2225" s="6">
        <f>IFERROR(__xludf.DUMMYFUNCTION("""COMPUTED_VALUE"""),0.0)</f>
        <v>0</v>
      </c>
      <c r="E2225" s="6">
        <f>IFERROR(__xludf.DUMMYFUNCTION("""COMPUTED_VALUE"""),0.0)</f>
        <v>0</v>
      </c>
      <c r="F2225" s="6">
        <f>IFERROR(__xludf.DUMMYFUNCTION("""COMPUTED_VALUE"""),1.0)</f>
        <v>1</v>
      </c>
      <c r="G2225" s="6">
        <f>IFERROR(__xludf.DUMMYFUNCTION("""COMPUTED_VALUE"""),1.0)</f>
        <v>1</v>
      </c>
    </row>
    <row r="2226">
      <c r="A2226" s="6">
        <f>IFERROR(__xludf.DUMMYFUNCTION("""COMPUTED_VALUE"""),2024.0)</f>
        <v>2024</v>
      </c>
      <c r="B2226" s="6" t="str">
        <f>IFERROR(__xludf.DUMMYFUNCTION("""COMPUTED_VALUE"""),"Abril")</f>
        <v>Abril</v>
      </c>
      <c r="C2226" s="6" t="str">
        <f>IFERROR(__xludf.DUMMYFUNCTION("""COMPUTED_VALUE"""),"ESTUPRO DE VULNERÁVEL CONSUMADO")</f>
        <v>ESTUPRO DE VULNERÁVEL CONSUMADO</v>
      </c>
      <c r="D2226" s="6">
        <f>IFERROR(__xludf.DUMMYFUNCTION("""COMPUTED_VALUE"""),2.0)</f>
        <v>2</v>
      </c>
      <c r="E2226" s="6">
        <f>IFERROR(__xludf.DUMMYFUNCTION("""COMPUTED_VALUE"""),3.0)</f>
        <v>3</v>
      </c>
      <c r="F2226" s="6">
        <f>IFERROR(__xludf.DUMMYFUNCTION("""COMPUTED_VALUE"""),15.0)</f>
        <v>15</v>
      </c>
      <c r="G2226" s="6">
        <f>IFERROR(__xludf.DUMMYFUNCTION("""COMPUTED_VALUE"""),20.0)</f>
        <v>20</v>
      </c>
    </row>
    <row r="2227">
      <c r="A2227" s="6">
        <f>IFERROR(__xludf.DUMMYFUNCTION("""COMPUTED_VALUE"""),2024.0)</f>
        <v>2024</v>
      </c>
      <c r="B2227" s="6" t="str">
        <f>IFERROR(__xludf.DUMMYFUNCTION("""COMPUTED_VALUE"""),"Abril")</f>
        <v>Abril</v>
      </c>
      <c r="C2227" s="6" t="str">
        <f>IFERROR(__xludf.DUMMYFUNCTION("""COMPUTED_VALUE"""),"OUTROS C/C/ DIGNIDADE SEXUAL")</f>
        <v>OUTROS C/C/ DIGNIDADE SEXUAL</v>
      </c>
      <c r="D2227" s="6">
        <f>IFERROR(__xludf.DUMMYFUNCTION("""COMPUTED_VALUE"""),0.0)</f>
        <v>0</v>
      </c>
      <c r="E2227" s="6">
        <f>IFERROR(__xludf.DUMMYFUNCTION("""COMPUTED_VALUE"""),0.0)</f>
        <v>0</v>
      </c>
      <c r="F2227" s="6">
        <f>IFERROR(__xludf.DUMMYFUNCTION("""COMPUTED_VALUE"""),1.0)</f>
        <v>1</v>
      </c>
      <c r="G2227" s="6">
        <f>IFERROR(__xludf.DUMMYFUNCTION("""COMPUTED_VALUE"""),1.0)</f>
        <v>1</v>
      </c>
    </row>
    <row r="2228">
      <c r="A2228" s="6">
        <f>IFERROR(__xludf.DUMMYFUNCTION("""COMPUTED_VALUE"""),2024.0)</f>
        <v>2024</v>
      </c>
      <c r="B2228" s="6" t="str">
        <f>IFERROR(__xludf.DUMMYFUNCTION("""COMPUTED_VALUE"""),"Maio")</f>
        <v>Maio</v>
      </c>
      <c r="C2228" s="6" t="str">
        <f>IFERROR(__xludf.DUMMYFUNCTION("""COMPUTED_VALUE"""),"HOMICÍDIO DOLOSO (exclui FEMINICÍDIO)")</f>
        <v>HOMICÍDIO DOLOSO (exclui FEMINICÍDIO)</v>
      </c>
      <c r="D2228" s="6">
        <f>IFERROR(__xludf.DUMMYFUNCTION("""COMPUTED_VALUE"""),2.0)</f>
        <v>2</v>
      </c>
      <c r="E2228" s="6">
        <f>IFERROR(__xludf.DUMMYFUNCTION("""COMPUTED_VALUE"""),1.0)</f>
        <v>1</v>
      </c>
      <c r="F2228" s="6">
        <f>IFERROR(__xludf.DUMMYFUNCTION("""COMPUTED_VALUE"""),3.0)</f>
        <v>3</v>
      </c>
      <c r="G2228" s="6">
        <f>IFERROR(__xludf.DUMMYFUNCTION("""COMPUTED_VALUE"""),6.0)</f>
        <v>6</v>
      </c>
    </row>
    <row r="2229">
      <c r="A2229" s="6">
        <f>IFERROR(__xludf.DUMMYFUNCTION("""COMPUTED_VALUE"""),2024.0)</f>
        <v>2024</v>
      </c>
      <c r="B2229" s="6" t="str">
        <f>IFERROR(__xludf.DUMMYFUNCTION("""COMPUTED_VALUE"""),"Maio")</f>
        <v>Maio</v>
      </c>
      <c r="C2229" s="6" t="str">
        <f>IFERROR(__xludf.DUMMYFUNCTION("""COMPUTED_VALUE"""),"FEMINICÍDIO")</f>
        <v>FEMINICÍDIO</v>
      </c>
      <c r="D2229" s="6">
        <f>IFERROR(__xludf.DUMMYFUNCTION("""COMPUTED_VALUE"""),4.0)</f>
        <v>4</v>
      </c>
      <c r="E2229" s="6">
        <f>IFERROR(__xludf.DUMMYFUNCTION("""COMPUTED_VALUE"""),4.0)</f>
        <v>4</v>
      </c>
      <c r="F2229" s="6">
        <f>IFERROR(__xludf.DUMMYFUNCTION("""COMPUTED_VALUE"""),8.0)</f>
        <v>8</v>
      </c>
      <c r="G2229" s="6">
        <f>IFERROR(__xludf.DUMMYFUNCTION("""COMPUTED_VALUE"""),16.0)</f>
        <v>16</v>
      </c>
    </row>
    <row r="2230">
      <c r="A2230" s="6">
        <f>IFERROR(__xludf.DUMMYFUNCTION("""COMPUTED_VALUE"""),2024.0)</f>
        <v>2024</v>
      </c>
      <c r="B2230" s="6" t="str">
        <f>IFERROR(__xludf.DUMMYFUNCTION("""COMPUTED_VALUE"""),"Maio")</f>
        <v>Maio</v>
      </c>
      <c r="C2230" s="6" t="str">
        <f>IFERROR(__xludf.DUMMYFUNCTION("""COMPUTED_VALUE"""),"HOMICÍDIO CULPOSO")</f>
        <v>HOMICÍDIO CULPOSO</v>
      </c>
      <c r="D2230" s="6">
        <f>IFERROR(__xludf.DUMMYFUNCTION("""COMPUTED_VALUE"""),0.0)</f>
        <v>0</v>
      </c>
      <c r="E2230" s="6">
        <f>IFERROR(__xludf.DUMMYFUNCTION("""COMPUTED_VALUE"""),0.0)</f>
        <v>0</v>
      </c>
      <c r="F2230" s="6">
        <f>IFERROR(__xludf.DUMMYFUNCTION("""COMPUTED_VALUE"""),0.0)</f>
        <v>0</v>
      </c>
      <c r="G2230" s="6">
        <f>IFERROR(__xludf.DUMMYFUNCTION("""COMPUTED_VALUE"""),0.0)</f>
        <v>0</v>
      </c>
    </row>
    <row r="2231">
      <c r="A2231" s="6">
        <f>IFERROR(__xludf.DUMMYFUNCTION("""COMPUTED_VALUE"""),2024.0)</f>
        <v>2024</v>
      </c>
      <c r="B2231" s="6" t="str">
        <f>IFERROR(__xludf.DUMMYFUNCTION("""COMPUTED_VALUE"""),"Maio")</f>
        <v>Maio</v>
      </c>
      <c r="C2231" s="6" t="str">
        <f>IFERROR(__xludf.DUMMYFUNCTION("""COMPUTED_VALUE"""),"TENTATIVA DE HOMICÍDIO")</f>
        <v>TENTATIVA DE HOMICÍDIO</v>
      </c>
      <c r="D2231" s="6">
        <f>IFERROR(__xludf.DUMMYFUNCTION("""COMPUTED_VALUE"""),2.0)</f>
        <v>2</v>
      </c>
      <c r="E2231" s="6">
        <f>IFERROR(__xludf.DUMMYFUNCTION("""COMPUTED_VALUE"""),2.0)</f>
        <v>2</v>
      </c>
      <c r="F2231" s="6">
        <f>IFERROR(__xludf.DUMMYFUNCTION("""COMPUTED_VALUE"""),13.0)</f>
        <v>13</v>
      </c>
      <c r="G2231" s="6">
        <f>IFERROR(__xludf.DUMMYFUNCTION("""COMPUTED_VALUE"""),17.0)</f>
        <v>17</v>
      </c>
    </row>
    <row r="2232">
      <c r="A2232" s="6">
        <f>IFERROR(__xludf.DUMMYFUNCTION("""COMPUTED_VALUE"""),2024.0)</f>
        <v>2024</v>
      </c>
      <c r="B2232" s="6" t="str">
        <f>IFERROR(__xludf.DUMMYFUNCTION("""COMPUTED_VALUE"""),"Maio")</f>
        <v>Maio</v>
      </c>
      <c r="C2232" s="6" t="str">
        <f>IFERROR(__xludf.DUMMYFUNCTION("""COMPUTED_VALUE"""),"LESÃO CORPORAL DOLOSA")</f>
        <v>LESÃO CORPORAL DOLOSA</v>
      </c>
      <c r="D2232" s="6">
        <f>IFERROR(__xludf.DUMMYFUNCTION("""COMPUTED_VALUE"""),1014.0)</f>
        <v>1014</v>
      </c>
      <c r="E2232" s="6">
        <f>IFERROR(__xludf.DUMMYFUNCTION("""COMPUTED_VALUE"""),864.0)</f>
        <v>864</v>
      </c>
      <c r="F2232" s="6">
        <f>IFERROR(__xludf.DUMMYFUNCTION("""COMPUTED_VALUE"""),3118.0)</f>
        <v>3118</v>
      </c>
      <c r="G2232" s="6">
        <f>IFERROR(__xludf.DUMMYFUNCTION("""COMPUTED_VALUE"""),4996.0)</f>
        <v>4996</v>
      </c>
    </row>
    <row r="2233">
      <c r="A2233" s="6">
        <f>IFERROR(__xludf.DUMMYFUNCTION("""COMPUTED_VALUE"""),2024.0)</f>
        <v>2024</v>
      </c>
      <c r="B2233" s="6" t="str">
        <f>IFERROR(__xludf.DUMMYFUNCTION("""COMPUTED_VALUE"""),"Maio")</f>
        <v>Maio</v>
      </c>
      <c r="C2233" s="6" t="str">
        <f>IFERROR(__xludf.DUMMYFUNCTION("""COMPUTED_VALUE"""),"MAUS TRATOS")</f>
        <v>MAUS TRATOS</v>
      </c>
      <c r="D2233" s="6">
        <f>IFERROR(__xludf.DUMMYFUNCTION("""COMPUTED_VALUE"""),3.0)</f>
        <v>3</v>
      </c>
      <c r="E2233" s="6">
        <f>IFERROR(__xludf.DUMMYFUNCTION("""COMPUTED_VALUE"""),2.0)</f>
        <v>2</v>
      </c>
      <c r="F2233" s="6">
        <f>IFERROR(__xludf.DUMMYFUNCTION("""COMPUTED_VALUE"""),18.0)</f>
        <v>18</v>
      </c>
      <c r="G2233" s="6">
        <f>IFERROR(__xludf.DUMMYFUNCTION("""COMPUTED_VALUE"""),23.0)</f>
        <v>23</v>
      </c>
    </row>
    <row r="2234">
      <c r="A2234" s="6">
        <f>IFERROR(__xludf.DUMMYFUNCTION("""COMPUTED_VALUE"""),2024.0)</f>
        <v>2024</v>
      </c>
      <c r="B2234" s="6" t="str">
        <f>IFERROR(__xludf.DUMMYFUNCTION("""COMPUTED_VALUE"""),"Maio")</f>
        <v>Maio</v>
      </c>
      <c r="C2234" s="6" t="str">
        <f>IFERROR(__xludf.DUMMYFUNCTION("""COMPUTED_VALUE"""),"CALÚNIA - DIFAMAÇÃO - INJÚRIA")</f>
        <v>CALÚNIA - DIFAMAÇÃO - INJÚRIA</v>
      </c>
      <c r="D2234" s="6">
        <f>IFERROR(__xludf.DUMMYFUNCTION("""COMPUTED_VALUE"""),198.0)</f>
        <v>198</v>
      </c>
      <c r="E2234" s="6">
        <f>IFERROR(__xludf.DUMMYFUNCTION("""COMPUTED_VALUE"""),168.0)</f>
        <v>168</v>
      </c>
      <c r="F2234" s="6">
        <f>IFERROR(__xludf.DUMMYFUNCTION("""COMPUTED_VALUE"""),724.0)</f>
        <v>724</v>
      </c>
      <c r="G2234" s="6">
        <f>IFERROR(__xludf.DUMMYFUNCTION("""COMPUTED_VALUE"""),1090.0)</f>
        <v>1090</v>
      </c>
    </row>
    <row r="2235">
      <c r="A2235" s="6">
        <f>IFERROR(__xludf.DUMMYFUNCTION("""COMPUTED_VALUE"""),2024.0)</f>
        <v>2024</v>
      </c>
      <c r="B2235" s="6" t="str">
        <f>IFERROR(__xludf.DUMMYFUNCTION("""COMPUTED_VALUE"""),"Maio")</f>
        <v>Maio</v>
      </c>
      <c r="C2235" s="6" t="str">
        <f>IFERROR(__xludf.DUMMYFUNCTION("""COMPUTED_VALUE"""),"CONSTRANGIMENTO ILEGAL")</f>
        <v>CONSTRANGIMENTO ILEGAL</v>
      </c>
      <c r="D2235" s="6">
        <f>IFERROR(__xludf.DUMMYFUNCTION("""COMPUTED_VALUE"""),1.0)</f>
        <v>1</v>
      </c>
      <c r="E2235" s="6">
        <f>IFERROR(__xludf.DUMMYFUNCTION("""COMPUTED_VALUE"""),1.0)</f>
        <v>1</v>
      </c>
      <c r="F2235" s="6">
        <f>IFERROR(__xludf.DUMMYFUNCTION("""COMPUTED_VALUE"""),7.0)</f>
        <v>7</v>
      </c>
      <c r="G2235" s="6">
        <f>IFERROR(__xludf.DUMMYFUNCTION("""COMPUTED_VALUE"""),9.0)</f>
        <v>9</v>
      </c>
    </row>
    <row r="2236">
      <c r="A2236" s="6">
        <f>IFERROR(__xludf.DUMMYFUNCTION("""COMPUTED_VALUE"""),2024.0)</f>
        <v>2024</v>
      </c>
      <c r="B2236" s="6" t="str">
        <f>IFERROR(__xludf.DUMMYFUNCTION("""COMPUTED_VALUE"""),"Maio")</f>
        <v>Maio</v>
      </c>
      <c r="C2236" s="6" t="str">
        <f>IFERROR(__xludf.DUMMYFUNCTION("""COMPUTED_VALUE"""),"AMEAÇA")</f>
        <v>AMEAÇA</v>
      </c>
      <c r="D2236" s="6">
        <f>IFERROR(__xludf.DUMMYFUNCTION("""COMPUTED_VALUE"""),948.0)</f>
        <v>948</v>
      </c>
      <c r="E2236" s="6">
        <f>IFERROR(__xludf.DUMMYFUNCTION("""COMPUTED_VALUE"""),852.0)</f>
        <v>852</v>
      </c>
      <c r="F2236" s="6">
        <f>IFERROR(__xludf.DUMMYFUNCTION("""COMPUTED_VALUE"""),3214.0)</f>
        <v>3214</v>
      </c>
      <c r="G2236" s="6">
        <f>IFERROR(__xludf.DUMMYFUNCTION("""COMPUTED_VALUE"""),5014.0)</f>
        <v>5014</v>
      </c>
    </row>
    <row r="2237">
      <c r="A2237" s="6">
        <f>IFERROR(__xludf.DUMMYFUNCTION("""COMPUTED_VALUE"""),2024.0)</f>
        <v>2024</v>
      </c>
      <c r="B2237" s="6" t="str">
        <f>IFERROR(__xludf.DUMMYFUNCTION("""COMPUTED_VALUE"""),"Maio")</f>
        <v>Maio</v>
      </c>
      <c r="C2237" s="6" t="str">
        <f>IFERROR(__xludf.DUMMYFUNCTION("""COMPUTED_VALUE"""),"INVASÃO DE DOMICÍLIO")</f>
        <v>INVASÃO DE DOMICÍLIO</v>
      </c>
      <c r="D2237" s="6">
        <f>IFERROR(__xludf.DUMMYFUNCTION("""COMPUTED_VALUE"""),1.0)</f>
        <v>1</v>
      </c>
      <c r="E2237" s="6">
        <f>IFERROR(__xludf.DUMMYFUNCTION("""COMPUTED_VALUE"""),2.0)</f>
        <v>2</v>
      </c>
      <c r="F2237" s="6">
        <f>IFERROR(__xludf.DUMMYFUNCTION("""COMPUTED_VALUE"""),13.0)</f>
        <v>13</v>
      </c>
      <c r="G2237" s="6">
        <f>IFERROR(__xludf.DUMMYFUNCTION("""COMPUTED_VALUE"""),16.0)</f>
        <v>16</v>
      </c>
    </row>
    <row r="2238">
      <c r="A2238" s="6">
        <f>IFERROR(__xludf.DUMMYFUNCTION("""COMPUTED_VALUE"""),2024.0)</f>
        <v>2024</v>
      </c>
      <c r="B2238" s="6" t="str">
        <f>IFERROR(__xludf.DUMMYFUNCTION("""COMPUTED_VALUE"""),"Maio")</f>
        <v>Maio</v>
      </c>
      <c r="C2238" s="6" t="str">
        <f>IFERROR(__xludf.DUMMYFUNCTION("""COMPUTED_VALUE"""),"DANO")</f>
        <v>DANO</v>
      </c>
      <c r="D2238" s="6">
        <f>IFERROR(__xludf.DUMMYFUNCTION("""COMPUTED_VALUE"""),11.0)</f>
        <v>11</v>
      </c>
      <c r="E2238" s="6">
        <f>IFERROR(__xludf.DUMMYFUNCTION("""COMPUTED_VALUE"""),11.0)</f>
        <v>11</v>
      </c>
      <c r="F2238" s="6">
        <f>IFERROR(__xludf.DUMMYFUNCTION("""COMPUTED_VALUE"""),62.0)</f>
        <v>62</v>
      </c>
      <c r="G2238" s="6">
        <f>IFERROR(__xludf.DUMMYFUNCTION("""COMPUTED_VALUE"""),84.0)</f>
        <v>84</v>
      </c>
    </row>
    <row r="2239">
      <c r="A2239" s="6">
        <f>IFERROR(__xludf.DUMMYFUNCTION("""COMPUTED_VALUE"""),2024.0)</f>
        <v>2024</v>
      </c>
      <c r="B2239" s="6" t="str">
        <f>IFERROR(__xludf.DUMMYFUNCTION("""COMPUTED_VALUE"""),"Maio")</f>
        <v>Maio</v>
      </c>
      <c r="C2239" s="6" t="str">
        <f>IFERROR(__xludf.DUMMYFUNCTION("""COMPUTED_VALUE"""),"ESTUPRO CONSUMADO")</f>
        <v>ESTUPRO CONSUMADO</v>
      </c>
      <c r="D2239" s="6">
        <f>IFERROR(__xludf.DUMMYFUNCTION("""COMPUTED_VALUE"""),10.0)</f>
        <v>10</v>
      </c>
      <c r="E2239" s="6">
        <f>IFERROR(__xludf.DUMMYFUNCTION("""COMPUTED_VALUE"""),7.0)</f>
        <v>7</v>
      </c>
      <c r="F2239" s="6">
        <f>IFERROR(__xludf.DUMMYFUNCTION("""COMPUTED_VALUE"""),19.0)</f>
        <v>19</v>
      </c>
      <c r="G2239" s="6">
        <f>IFERROR(__xludf.DUMMYFUNCTION("""COMPUTED_VALUE"""),36.0)</f>
        <v>36</v>
      </c>
    </row>
    <row r="2240">
      <c r="A2240" s="6">
        <f>IFERROR(__xludf.DUMMYFUNCTION("""COMPUTED_VALUE"""),2024.0)</f>
        <v>2024</v>
      </c>
      <c r="B2240" s="6" t="str">
        <f>IFERROR(__xludf.DUMMYFUNCTION("""COMPUTED_VALUE"""),"Maio")</f>
        <v>Maio</v>
      </c>
      <c r="C2240" s="6" t="str">
        <f>IFERROR(__xludf.DUMMYFUNCTION("""COMPUTED_VALUE"""),"ESTUPRO TENTADO")</f>
        <v>ESTUPRO TENTADO</v>
      </c>
      <c r="D2240" s="6">
        <f>IFERROR(__xludf.DUMMYFUNCTION("""COMPUTED_VALUE"""),1.0)</f>
        <v>1</v>
      </c>
      <c r="E2240" s="6">
        <f>IFERROR(__xludf.DUMMYFUNCTION("""COMPUTED_VALUE"""),0.0)</f>
        <v>0</v>
      </c>
      <c r="F2240" s="6">
        <f>IFERROR(__xludf.DUMMYFUNCTION("""COMPUTED_VALUE"""),1.0)</f>
        <v>1</v>
      </c>
      <c r="G2240" s="6">
        <f>IFERROR(__xludf.DUMMYFUNCTION("""COMPUTED_VALUE"""),2.0)</f>
        <v>2</v>
      </c>
    </row>
    <row r="2241">
      <c r="A2241" s="6">
        <f>IFERROR(__xludf.DUMMYFUNCTION("""COMPUTED_VALUE"""),2024.0)</f>
        <v>2024</v>
      </c>
      <c r="B2241" s="6" t="str">
        <f>IFERROR(__xludf.DUMMYFUNCTION("""COMPUTED_VALUE"""),"Maio")</f>
        <v>Maio</v>
      </c>
      <c r="C2241" s="6" t="str">
        <f>IFERROR(__xludf.DUMMYFUNCTION("""COMPUTED_VALUE"""),"ESTUPRO DE VULNERÁVEL CONSUMADO")</f>
        <v>ESTUPRO DE VULNERÁVEL CONSUMADO</v>
      </c>
      <c r="D2241" s="6">
        <f>IFERROR(__xludf.DUMMYFUNCTION("""COMPUTED_VALUE"""),3.0)</f>
        <v>3</v>
      </c>
      <c r="E2241" s="6">
        <f>IFERROR(__xludf.DUMMYFUNCTION("""COMPUTED_VALUE"""),4.0)</f>
        <v>4</v>
      </c>
      <c r="F2241" s="6">
        <f>IFERROR(__xludf.DUMMYFUNCTION("""COMPUTED_VALUE"""),18.0)</f>
        <v>18</v>
      </c>
      <c r="G2241" s="6">
        <f>IFERROR(__xludf.DUMMYFUNCTION("""COMPUTED_VALUE"""),25.0)</f>
        <v>25</v>
      </c>
    </row>
    <row r="2242">
      <c r="A2242" s="6">
        <f>IFERROR(__xludf.DUMMYFUNCTION("""COMPUTED_VALUE"""),2024.0)</f>
        <v>2024</v>
      </c>
      <c r="B2242" s="6" t="str">
        <f>IFERROR(__xludf.DUMMYFUNCTION("""COMPUTED_VALUE"""),"Maio")</f>
        <v>Maio</v>
      </c>
      <c r="C2242" s="6" t="str">
        <f>IFERROR(__xludf.DUMMYFUNCTION("""COMPUTED_VALUE"""),"OUTROS C/C/ DIGNIDADE SEXUAL")</f>
        <v>OUTROS C/C/ DIGNIDADE SEXUAL</v>
      </c>
      <c r="D2242" s="6">
        <f>IFERROR(__xludf.DUMMYFUNCTION("""COMPUTED_VALUE"""),0.0)</f>
        <v>0</v>
      </c>
      <c r="E2242" s="6">
        <f>IFERROR(__xludf.DUMMYFUNCTION("""COMPUTED_VALUE"""),1.0)</f>
        <v>1</v>
      </c>
      <c r="F2242" s="6">
        <f>IFERROR(__xludf.DUMMYFUNCTION("""COMPUTED_VALUE"""),2.0)</f>
        <v>2</v>
      </c>
      <c r="G2242" s="6">
        <f>IFERROR(__xludf.DUMMYFUNCTION("""COMPUTED_VALUE"""),3.0)</f>
        <v>3</v>
      </c>
    </row>
    <row r="2243">
      <c r="A2243" s="6">
        <f>IFERROR(__xludf.DUMMYFUNCTION("""COMPUTED_VALUE"""),2024.0)</f>
        <v>2024</v>
      </c>
      <c r="B2243" s="6" t="str">
        <f>IFERROR(__xludf.DUMMYFUNCTION("""COMPUTED_VALUE"""),"Junho")</f>
        <v>Junho</v>
      </c>
      <c r="C2243" s="6" t="str">
        <f>IFERROR(__xludf.DUMMYFUNCTION("""COMPUTED_VALUE"""),"HOMICÍDIO DOLOSO (exclui FEMINICÍDIO)")</f>
        <v>HOMICÍDIO DOLOSO (exclui FEMINICÍDIO)</v>
      </c>
      <c r="D2243" s="6">
        <f>IFERROR(__xludf.DUMMYFUNCTION("""COMPUTED_VALUE"""),1.0)</f>
        <v>1</v>
      </c>
      <c r="E2243" s="6">
        <f>IFERROR(__xludf.DUMMYFUNCTION("""COMPUTED_VALUE"""),0.0)</f>
        <v>0</v>
      </c>
      <c r="F2243" s="6">
        <f>IFERROR(__xludf.DUMMYFUNCTION("""COMPUTED_VALUE"""),2.0)</f>
        <v>2</v>
      </c>
      <c r="G2243" s="6">
        <f>IFERROR(__xludf.DUMMYFUNCTION("""COMPUTED_VALUE"""),3.0)</f>
        <v>3</v>
      </c>
    </row>
    <row r="2244">
      <c r="A2244" s="6">
        <f>IFERROR(__xludf.DUMMYFUNCTION("""COMPUTED_VALUE"""),2024.0)</f>
        <v>2024</v>
      </c>
      <c r="B2244" s="6" t="str">
        <f>IFERROR(__xludf.DUMMYFUNCTION("""COMPUTED_VALUE"""),"Junho")</f>
        <v>Junho</v>
      </c>
      <c r="C2244" s="6" t="str">
        <f>IFERROR(__xludf.DUMMYFUNCTION("""COMPUTED_VALUE"""),"FEMINICÍDIO")</f>
        <v>FEMINICÍDIO</v>
      </c>
      <c r="D2244" s="6">
        <f>IFERROR(__xludf.DUMMYFUNCTION("""COMPUTED_VALUE"""),3.0)</f>
        <v>3</v>
      </c>
      <c r="E2244" s="6">
        <f>IFERROR(__xludf.DUMMYFUNCTION("""COMPUTED_VALUE"""),3.0)</f>
        <v>3</v>
      </c>
      <c r="F2244" s="6">
        <f>IFERROR(__xludf.DUMMYFUNCTION("""COMPUTED_VALUE"""),6.0)</f>
        <v>6</v>
      </c>
      <c r="G2244" s="6">
        <f>IFERROR(__xludf.DUMMYFUNCTION("""COMPUTED_VALUE"""),12.0)</f>
        <v>12</v>
      </c>
    </row>
    <row r="2245">
      <c r="A2245" s="6">
        <f>IFERROR(__xludf.DUMMYFUNCTION("""COMPUTED_VALUE"""),2024.0)</f>
        <v>2024</v>
      </c>
      <c r="B2245" s="6" t="str">
        <f>IFERROR(__xludf.DUMMYFUNCTION("""COMPUTED_VALUE"""),"Junho")</f>
        <v>Junho</v>
      </c>
      <c r="C2245" s="6" t="str">
        <f>IFERROR(__xludf.DUMMYFUNCTION("""COMPUTED_VALUE"""),"HOMICÍDIO CULPOSO")</f>
        <v>HOMICÍDIO CULPOSO</v>
      </c>
      <c r="D2245" s="6">
        <f>IFERROR(__xludf.DUMMYFUNCTION("""COMPUTED_VALUE"""),0.0)</f>
        <v>0</v>
      </c>
      <c r="E2245" s="6">
        <f>IFERROR(__xludf.DUMMYFUNCTION("""COMPUTED_VALUE"""),0.0)</f>
        <v>0</v>
      </c>
      <c r="F2245" s="6">
        <f>IFERROR(__xludf.DUMMYFUNCTION("""COMPUTED_VALUE"""),0.0)</f>
        <v>0</v>
      </c>
      <c r="G2245" s="6">
        <f>IFERROR(__xludf.DUMMYFUNCTION("""COMPUTED_VALUE"""),0.0)</f>
        <v>0</v>
      </c>
    </row>
    <row r="2246">
      <c r="A2246" s="6">
        <f>IFERROR(__xludf.DUMMYFUNCTION("""COMPUTED_VALUE"""),2024.0)</f>
        <v>2024</v>
      </c>
      <c r="B2246" s="6" t="str">
        <f>IFERROR(__xludf.DUMMYFUNCTION("""COMPUTED_VALUE"""),"Junho")</f>
        <v>Junho</v>
      </c>
      <c r="C2246" s="6" t="str">
        <f>IFERROR(__xludf.DUMMYFUNCTION("""COMPUTED_VALUE"""),"TENTATIVA DE HOMICÍDIO")</f>
        <v>TENTATIVA DE HOMICÍDIO</v>
      </c>
      <c r="D2246" s="6">
        <f>IFERROR(__xludf.DUMMYFUNCTION("""COMPUTED_VALUE"""),1.0)</f>
        <v>1</v>
      </c>
      <c r="E2246" s="6">
        <f>IFERROR(__xludf.DUMMYFUNCTION("""COMPUTED_VALUE"""),2.0)</f>
        <v>2</v>
      </c>
      <c r="F2246" s="6">
        <f>IFERROR(__xludf.DUMMYFUNCTION("""COMPUTED_VALUE"""),11.0)</f>
        <v>11</v>
      </c>
      <c r="G2246" s="6">
        <f>IFERROR(__xludf.DUMMYFUNCTION("""COMPUTED_VALUE"""),14.0)</f>
        <v>14</v>
      </c>
    </row>
    <row r="2247">
      <c r="A2247" s="6">
        <f>IFERROR(__xludf.DUMMYFUNCTION("""COMPUTED_VALUE"""),2024.0)</f>
        <v>2024</v>
      </c>
      <c r="B2247" s="6" t="str">
        <f>IFERROR(__xludf.DUMMYFUNCTION("""COMPUTED_VALUE"""),"Junho")</f>
        <v>Junho</v>
      </c>
      <c r="C2247" s="6" t="str">
        <f>IFERROR(__xludf.DUMMYFUNCTION("""COMPUTED_VALUE"""),"LESÃO CORPORAL DOLOSA")</f>
        <v>LESÃO CORPORAL DOLOSA</v>
      </c>
      <c r="D2247" s="6">
        <f>IFERROR(__xludf.DUMMYFUNCTION("""COMPUTED_VALUE"""),842.0)</f>
        <v>842</v>
      </c>
      <c r="E2247" s="6">
        <f>IFERROR(__xludf.DUMMYFUNCTION("""COMPUTED_VALUE"""),741.0)</f>
        <v>741</v>
      </c>
      <c r="F2247" s="6">
        <f>IFERROR(__xludf.DUMMYFUNCTION("""COMPUTED_VALUE"""),2831.0)</f>
        <v>2831</v>
      </c>
      <c r="G2247" s="6">
        <f>IFERROR(__xludf.DUMMYFUNCTION("""COMPUTED_VALUE"""),4414.0)</f>
        <v>4414</v>
      </c>
    </row>
    <row r="2248">
      <c r="A2248" s="6">
        <f>IFERROR(__xludf.DUMMYFUNCTION("""COMPUTED_VALUE"""),2024.0)</f>
        <v>2024</v>
      </c>
      <c r="B2248" s="6" t="str">
        <f>IFERROR(__xludf.DUMMYFUNCTION("""COMPUTED_VALUE"""),"Junho")</f>
        <v>Junho</v>
      </c>
      <c r="C2248" s="6" t="str">
        <f>IFERROR(__xludf.DUMMYFUNCTION("""COMPUTED_VALUE"""),"MAUS TRATOS")</f>
        <v>MAUS TRATOS</v>
      </c>
      <c r="D2248" s="6">
        <f>IFERROR(__xludf.DUMMYFUNCTION("""COMPUTED_VALUE"""),2.0)</f>
        <v>2</v>
      </c>
      <c r="E2248" s="6">
        <f>IFERROR(__xludf.DUMMYFUNCTION("""COMPUTED_VALUE"""),2.0)</f>
        <v>2</v>
      </c>
      <c r="F2248" s="6">
        <f>IFERROR(__xludf.DUMMYFUNCTION("""COMPUTED_VALUE"""),15.0)</f>
        <v>15</v>
      </c>
      <c r="G2248" s="6">
        <f>IFERROR(__xludf.DUMMYFUNCTION("""COMPUTED_VALUE"""),19.0)</f>
        <v>19</v>
      </c>
    </row>
    <row r="2249">
      <c r="A2249" s="6">
        <f>IFERROR(__xludf.DUMMYFUNCTION("""COMPUTED_VALUE"""),2024.0)</f>
        <v>2024</v>
      </c>
      <c r="B2249" s="6" t="str">
        <f>IFERROR(__xludf.DUMMYFUNCTION("""COMPUTED_VALUE"""),"Junho")</f>
        <v>Junho</v>
      </c>
      <c r="C2249" s="6" t="str">
        <f>IFERROR(__xludf.DUMMYFUNCTION("""COMPUTED_VALUE"""),"CALÚNIA - DIFAMAÇÃO - INJÚRIA")</f>
        <v>CALÚNIA - DIFAMAÇÃO - INJÚRIA</v>
      </c>
      <c r="D2249" s="6">
        <f>IFERROR(__xludf.DUMMYFUNCTION("""COMPUTED_VALUE"""),172.0)</f>
        <v>172</v>
      </c>
      <c r="E2249" s="6">
        <f>IFERROR(__xludf.DUMMYFUNCTION("""COMPUTED_VALUE"""),151.0)</f>
        <v>151</v>
      </c>
      <c r="F2249" s="6">
        <f>IFERROR(__xludf.DUMMYFUNCTION("""COMPUTED_VALUE"""),649.0)</f>
        <v>649</v>
      </c>
      <c r="G2249" s="6">
        <f>IFERROR(__xludf.DUMMYFUNCTION("""COMPUTED_VALUE"""),972.0)</f>
        <v>972</v>
      </c>
    </row>
    <row r="2250">
      <c r="A2250" s="6">
        <f>IFERROR(__xludf.DUMMYFUNCTION("""COMPUTED_VALUE"""),2024.0)</f>
        <v>2024</v>
      </c>
      <c r="B2250" s="6" t="str">
        <f>IFERROR(__xludf.DUMMYFUNCTION("""COMPUTED_VALUE"""),"Junho")</f>
        <v>Junho</v>
      </c>
      <c r="C2250" s="6" t="str">
        <f>IFERROR(__xludf.DUMMYFUNCTION("""COMPUTED_VALUE"""),"CONSTRANGIMENTO ILEGAL")</f>
        <v>CONSTRANGIMENTO ILEGAL</v>
      </c>
      <c r="D2250" s="6">
        <f>IFERROR(__xludf.DUMMYFUNCTION("""COMPUTED_VALUE"""),1.0)</f>
        <v>1</v>
      </c>
      <c r="E2250" s="6">
        <f>IFERROR(__xludf.DUMMYFUNCTION("""COMPUTED_VALUE"""),0.0)</f>
        <v>0</v>
      </c>
      <c r="F2250" s="6">
        <f>IFERROR(__xludf.DUMMYFUNCTION("""COMPUTED_VALUE"""),5.0)</f>
        <v>5</v>
      </c>
      <c r="G2250" s="6">
        <f>IFERROR(__xludf.DUMMYFUNCTION("""COMPUTED_VALUE"""),6.0)</f>
        <v>6</v>
      </c>
    </row>
    <row r="2251">
      <c r="A2251" s="6">
        <f>IFERROR(__xludf.DUMMYFUNCTION("""COMPUTED_VALUE"""),2024.0)</f>
        <v>2024</v>
      </c>
      <c r="B2251" s="6" t="str">
        <f>IFERROR(__xludf.DUMMYFUNCTION("""COMPUTED_VALUE"""),"Junho")</f>
        <v>Junho</v>
      </c>
      <c r="C2251" s="6" t="str">
        <f>IFERROR(__xludf.DUMMYFUNCTION("""COMPUTED_VALUE"""),"AMEAÇA")</f>
        <v>AMEAÇA</v>
      </c>
      <c r="D2251" s="6">
        <f>IFERROR(__xludf.DUMMYFUNCTION("""COMPUTED_VALUE"""),811.0)</f>
        <v>811</v>
      </c>
      <c r="E2251" s="6">
        <f>IFERROR(__xludf.DUMMYFUNCTION("""COMPUTED_VALUE"""),743.0)</f>
        <v>743</v>
      </c>
      <c r="F2251" s="6">
        <f>IFERROR(__xludf.DUMMYFUNCTION("""COMPUTED_VALUE"""),2894.0)</f>
        <v>2894</v>
      </c>
      <c r="G2251" s="6">
        <f>IFERROR(__xludf.DUMMYFUNCTION("""COMPUTED_VALUE"""),4448.0)</f>
        <v>4448</v>
      </c>
    </row>
    <row r="2252">
      <c r="A2252" s="6">
        <f>IFERROR(__xludf.DUMMYFUNCTION("""COMPUTED_VALUE"""),2024.0)</f>
        <v>2024</v>
      </c>
      <c r="B2252" s="6" t="str">
        <f>IFERROR(__xludf.DUMMYFUNCTION("""COMPUTED_VALUE"""),"Junho")</f>
        <v>Junho</v>
      </c>
      <c r="C2252" s="6" t="str">
        <f>IFERROR(__xludf.DUMMYFUNCTION("""COMPUTED_VALUE"""),"INVASÃO DE DOMICÍLIO")</f>
        <v>INVASÃO DE DOMICÍLIO</v>
      </c>
      <c r="D2252" s="6">
        <f>IFERROR(__xludf.DUMMYFUNCTION("""COMPUTED_VALUE"""),1.0)</f>
        <v>1</v>
      </c>
      <c r="E2252" s="6">
        <f>IFERROR(__xludf.DUMMYFUNCTION("""COMPUTED_VALUE"""),2.0)</f>
        <v>2</v>
      </c>
      <c r="F2252" s="6">
        <f>IFERROR(__xludf.DUMMYFUNCTION("""COMPUTED_VALUE"""),12.0)</f>
        <v>12</v>
      </c>
      <c r="G2252" s="6">
        <f>IFERROR(__xludf.DUMMYFUNCTION("""COMPUTED_VALUE"""),15.0)</f>
        <v>15</v>
      </c>
    </row>
    <row r="2253">
      <c r="A2253" s="6">
        <f>IFERROR(__xludf.DUMMYFUNCTION("""COMPUTED_VALUE"""),2024.0)</f>
        <v>2024</v>
      </c>
      <c r="B2253" s="6" t="str">
        <f>IFERROR(__xludf.DUMMYFUNCTION("""COMPUTED_VALUE"""),"Junho")</f>
        <v>Junho</v>
      </c>
      <c r="C2253" s="6" t="str">
        <f>IFERROR(__xludf.DUMMYFUNCTION("""COMPUTED_VALUE"""),"DANO")</f>
        <v>DANO</v>
      </c>
      <c r="D2253" s="6">
        <f>IFERROR(__xludf.DUMMYFUNCTION("""COMPUTED_VALUE"""),9.0)</f>
        <v>9</v>
      </c>
      <c r="E2253" s="6">
        <f>IFERROR(__xludf.DUMMYFUNCTION("""COMPUTED_VALUE"""),9.0)</f>
        <v>9</v>
      </c>
      <c r="F2253" s="6">
        <f>IFERROR(__xludf.DUMMYFUNCTION("""COMPUTED_VALUE"""),51.0)</f>
        <v>51</v>
      </c>
      <c r="G2253" s="6">
        <f>IFERROR(__xludf.DUMMYFUNCTION("""COMPUTED_VALUE"""),69.0)</f>
        <v>69</v>
      </c>
    </row>
    <row r="2254">
      <c r="A2254" s="6">
        <f>IFERROR(__xludf.DUMMYFUNCTION("""COMPUTED_VALUE"""),2024.0)</f>
        <v>2024</v>
      </c>
      <c r="B2254" s="6" t="str">
        <f>IFERROR(__xludf.DUMMYFUNCTION("""COMPUTED_VALUE"""),"Junho")</f>
        <v>Junho</v>
      </c>
      <c r="C2254" s="6" t="str">
        <f>IFERROR(__xludf.DUMMYFUNCTION("""COMPUTED_VALUE"""),"ESTUPRO CONSUMADO")</f>
        <v>ESTUPRO CONSUMADO</v>
      </c>
      <c r="D2254" s="6">
        <f>IFERROR(__xludf.DUMMYFUNCTION("""COMPUTED_VALUE"""),9.0)</f>
        <v>9</v>
      </c>
      <c r="E2254" s="6">
        <f>IFERROR(__xludf.DUMMYFUNCTION("""COMPUTED_VALUE"""),6.0)</f>
        <v>6</v>
      </c>
      <c r="F2254" s="6">
        <f>IFERROR(__xludf.DUMMYFUNCTION("""COMPUTED_VALUE"""),17.0)</f>
        <v>17</v>
      </c>
      <c r="G2254" s="6">
        <f>IFERROR(__xludf.DUMMYFUNCTION("""COMPUTED_VALUE"""),32.0)</f>
        <v>32</v>
      </c>
    </row>
    <row r="2255">
      <c r="A2255" s="6">
        <f>IFERROR(__xludf.DUMMYFUNCTION("""COMPUTED_VALUE"""),2024.0)</f>
        <v>2024</v>
      </c>
      <c r="B2255" s="6" t="str">
        <f>IFERROR(__xludf.DUMMYFUNCTION("""COMPUTED_VALUE"""),"Junho")</f>
        <v>Junho</v>
      </c>
      <c r="C2255" s="6" t="str">
        <f>IFERROR(__xludf.DUMMYFUNCTION("""COMPUTED_VALUE"""),"ESTUPRO TENTADO")</f>
        <v>ESTUPRO TENTADO</v>
      </c>
      <c r="D2255" s="6">
        <f>IFERROR(__xludf.DUMMYFUNCTION("""COMPUTED_VALUE"""),0.0)</f>
        <v>0</v>
      </c>
      <c r="E2255" s="6">
        <f>IFERROR(__xludf.DUMMYFUNCTION("""COMPUTED_VALUE"""),0.0)</f>
        <v>0</v>
      </c>
      <c r="F2255" s="6">
        <f>IFERROR(__xludf.DUMMYFUNCTION("""COMPUTED_VALUE"""),1.0)</f>
        <v>1</v>
      </c>
      <c r="G2255" s="6">
        <f>IFERROR(__xludf.DUMMYFUNCTION("""COMPUTED_VALUE"""),1.0)</f>
        <v>1</v>
      </c>
    </row>
    <row r="2256">
      <c r="A2256" s="6">
        <f>IFERROR(__xludf.DUMMYFUNCTION("""COMPUTED_VALUE"""),2024.0)</f>
        <v>2024</v>
      </c>
      <c r="B2256" s="6" t="str">
        <f>IFERROR(__xludf.DUMMYFUNCTION("""COMPUTED_VALUE"""),"Junho")</f>
        <v>Junho</v>
      </c>
      <c r="C2256" s="6" t="str">
        <f>IFERROR(__xludf.DUMMYFUNCTION("""COMPUTED_VALUE"""),"ESTUPRO DE VULNERÁVEL CONSUMADO")</f>
        <v>ESTUPRO DE VULNERÁVEL CONSUMADO</v>
      </c>
      <c r="D2256" s="6">
        <f>IFERROR(__xludf.DUMMYFUNCTION("""COMPUTED_VALUE"""),3.0)</f>
        <v>3</v>
      </c>
      <c r="E2256" s="6">
        <f>IFERROR(__xludf.DUMMYFUNCTION("""COMPUTED_VALUE"""),4.0)</f>
        <v>4</v>
      </c>
      <c r="F2256" s="6">
        <f>IFERROR(__xludf.DUMMYFUNCTION("""COMPUTED_VALUE"""),16.0)</f>
        <v>16</v>
      </c>
      <c r="G2256" s="6">
        <f>IFERROR(__xludf.DUMMYFUNCTION("""COMPUTED_VALUE"""),23.0)</f>
        <v>23</v>
      </c>
    </row>
    <row r="2257">
      <c r="A2257" s="6">
        <f>IFERROR(__xludf.DUMMYFUNCTION("""COMPUTED_VALUE"""),2024.0)</f>
        <v>2024</v>
      </c>
      <c r="B2257" s="6" t="str">
        <f>IFERROR(__xludf.DUMMYFUNCTION("""COMPUTED_VALUE"""),"Junho")</f>
        <v>Junho</v>
      </c>
      <c r="C2257" s="6" t="str">
        <f>IFERROR(__xludf.DUMMYFUNCTION("""COMPUTED_VALUE"""),"OUTROS C/C/ DIGNIDADE SEXUAL")</f>
        <v>OUTROS C/C/ DIGNIDADE SEXUAL</v>
      </c>
      <c r="D2257" s="6">
        <f>IFERROR(__xludf.DUMMYFUNCTION("""COMPUTED_VALUE"""),0.0)</f>
        <v>0</v>
      </c>
      <c r="E2257" s="6">
        <f>IFERROR(__xludf.DUMMYFUNCTION("""COMPUTED_VALUE"""),0.0)</f>
        <v>0</v>
      </c>
      <c r="F2257" s="6">
        <f>IFERROR(__xludf.DUMMYFUNCTION("""COMPUTED_VALUE"""),2.0)</f>
        <v>2</v>
      </c>
      <c r="G2257" s="6">
        <f>IFERROR(__xludf.DUMMYFUNCTION("""COMPUTED_VALUE"""),2.0)</f>
        <v>2</v>
      </c>
    </row>
    <row r="2258">
      <c r="A2258" s="6">
        <f>IFERROR(__xludf.DUMMYFUNCTION("""COMPUTED_VALUE"""),2024.0)</f>
        <v>2024</v>
      </c>
      <c r="B2258" s="6" t="str">
        <f>IFERROR(__xludf.DUMMYFUNCTION("""COMPUTED_VALUE"""),"Julho")</f>
        <v>Julho</v>
      </c>
      <c r="C2258" s="6" t="str">
        <f>IFERROR(__xludf.DUMMYFUNCTION("""COMPUTED_VALUE"""),"HOMICÍDIO DOLOSO (exclui FEMINICÍDIO)")</f>
        <v>HOMICÍDIO DOLOSO (exclui FEMINICÍDIO)</v>
      </c>
      <c r="D2258" s="6">
        <f>IFERROR(__xludf.DUMMYFUNCTION("""COMPUTED_VALUE"""),2.0)</f>
        <v>2</v>
      </c>
      <c r="E2258" s="6">
        <f>IFERROR(__xludf.DUMMYFUNCTION("""COMPUTED_VALUE"""),0.0)</f>
        <v>0</v>
      </c>
      <c r="F2258" s="6">
        <f>IFERROR(__xludf.DUMMYFUNCTION("""COMPUTED_VALUE"""),1.0)</f>
        <v>1</v>
      </c>
      <c r="G2258" s="6">
        <f>IFERROR(__xludf.DUMMYFUNCTION("""COMPUTED_VALUE"""),3.0)</f>
        <v>3</v>
      </c>
    </row>
    <row r="2259">
      <c r="A2259" s="6">
        <f>IFERROR(__xludf.DUMMYFUNCTION("""COMPUTED_VALUE"""),2024.0)</f>
        <v>2024</v>
      </c>
      <c r="B2259" s="6" t="str">
        <f>IFERROR(__xludf.DUMMYFUNCTION("""COMPUTED_VALUE"""),"Julho")</f>
        <v>Julho</v>
      </c>
      <c r="C2259" s="6" t="str">
        <f>IFERROR(__xludf.DUMMYFUNCTION("""COMPUTED_VALUE"""),"FEMINICÍDIO")</f>
        <v>FEMINICÍDIO</v>
      </c>
      <c r="D2259" s="6">
        <f>IFERROR(__xludf.DUMMYFUNCTION("""COMPUTED_VALUE"""),3.0)</f>
        <v>3</v>
      </c>
      <c r="E2259" s="6">
        <f>IFERROR(__xludf.DUMMYFUNCTION("""COMPUTED_VALUE"""),4.0)</f>
        <v>4</v>
      </c>
      <c r="F2259" s="6">
        <f>IFERROR(__xludf.DUMMYFUNCTION("""COMPUTED_VALUE"""),7.0)</f>
        <v>7</v>
      </c>
      <c r="G2259" s="6">
        <f>IFERROR(__xludf.DUMMYFUNCTION("""COMPUTED_VALUE"""),14.0)</f>
        <v>14</v>
      </c>
    </row>
    <row r="2260">
      <c r="A2260" s="6">
        <f>IFERROR(__xludf.DUMMYFUNCTION("""COMPUTED_VALUE"""),2024.0)</f>
        <v>2024</v>
      </c>
      <c r="B2260" s="6" t="str">
        <f>IFERROR(__xludf.DUMMYFUNCTION("""COMPUTED_VALUE"""),"Julho")</f>
        <v>Julho</v>
      </c>
      <c r="C2260" s="6" t="str">
        <f>IFERROR(__xludf.DUMMYFUNCTION("""COMPUTED_VALUE"""),"HOMICÍDIO CULPOSO")</f>
        <v>HOMICÍDIO CULPOSO</v>
      </c>
      <c r="D2260" s="6">
        <f>IFERROR(__xludf.DUMMYFUNCTION("""COMPUTED_VALUE"""),0.0)</f>
        <v>0</v>
      </c>
      <c r="E2260" s="6">
        <f>IFERROR(__xludf.DUMMYFUNCTION("""COMPUTED_VALUE"""),0.0)</f>
        <v>0</v>
      </c>
      <c r="F2260" s="6">
        <f>IFERROR(__xludf.DUMMYFUNCTION("""COMPUTED_VALUE"""),0.0)</f>
        <v>0</v>
      </c>
      <c r="G2260" s="6">
        <f>IFERROR(__xludf.DUMMYFUNCTION("""COMPUTED_VALUE"""),0.0)</f>
        <v>0</v>
      </c>
    </row>
    <row r="2261">
      <c r="A2261" s="6">
        <f>IFERROR(__xludf.DUMMYFUNCTION("""COMPUTED_VALUE"""),2024.0)</f>
        <v>2024</v>
      </c>
      <c r="B2261" s="6" t="str">
        <f>IFERROR(__xludf.DUMMYFUNCTION("""COMPUTED_VALUE"""),"Julho")</f>
        <v>Julho</v>
      </c>
      <c r="C2261" s="6" t="str">
        <f>IFERROR(__xludf.DUMMYFUNCTION("""COMPUTED_VALUE"""),"TENTATIVA DE HOMICÍDIO")</f>
        <v>TENTATIVA DE HOMICÍDIO</v>
      </c>
      <c r="D2261" s="6">
        <f>IFERROR(__xludf.DUMMYFUNCTION("""COMPUTED_VALUE"""),2.0)</f>
        <v>2</v>
      </c>
      <c r="E2261" s="6">
        <f>IFERROR(__xludf.DUMMYFUNCTION("""COMPUTED_VALUE"""),3.0)</f>
        <v>3</v>
      </c>
      <c r="F2261" s="6">
        <f>IFERROR(__xludf.DUMMYFUNCTION("""COMPUTED_VALUE"""),12.0)</f>
        <v>12</v>
      </c>
      <c r="G2261" s="6">
        <f>IFERROR(__xludf.DUMMYFUNCTION("""COMPUTED_VALUE"""),17.0)</f>
        <v>17</v>
      </c>
    </row>
    <row r="2262">
      <c r="A2262" s="6">
        <f>IFERROR(__xludf.DUMMYFUNCTION("""COMPUTED_VALUE"""),2024.0)</f>
        <v>2024</v>
      </c>
      <c r="B2262" s="6" t="str">
        <f>IFERROR(__xludf.DUMMYFUNCTION("""COMPUTED_VALUE"""),"Julho")</f>
        <v>Julho</v>
      </c>
      <c r="C2262" s="6" t="str">
        <f>IFERROR(__xludf.DUMMYFUNCTION("""COMPUTED_VALUE"""),"LESÃO CORPORAL DOLOSA")</f>
        <v>LESÃO CORPORAL DOLOSA</v>
      </c>
      <c r="D2262" s="6">
        <f>IFERROR(__xludf.DUMMYFUNCTION("""COMPUTED_VALUE"""),913.0)</f>
        <v>913</v>
      </c>
      <c r="E2262" s="6">
        <f>IFERROR(__xludf.DUMMYFUNCTION("""COMPUTED_VALUE"""),805.0)</f>
        <v>805</v>
      </c>
      <c r="F2262" s="6">
        <f>IFERROR(__xludf.DUMMYFUNCTION("""COMPUTED_VALUE"""),2914.0)</f>
        <v>2914</v>
      </c>
      <c r="G2262" s="6">
        <f>IFERROR(__xludf.DUMMYFUNCTION("""COMPUTED_VALUE"""),4632.0)</f>
        <v>4632</v>
      </c>
    </row>
    <row r="2263">
      <c r="A2263" s="6">
        <f>IFERROR(__xludf.DUMMYFUNCTION("""COMPUTED_VALUE"""),2024.0)</f>
        <v>2024</v>
      </c>
      <c r="B2263" s="6" t="str">
        <f>IFERROR(__xludf.DUMMYFUNCTION("""COMPUTED_VALUE"""),"Julho")</f>
        <v>Julho</v>
      </c>
      <c r="C2263" s="6" t="str">
        <f>IFERROR(__xludf.DUMMYFUNCTION("""COMPUTED_VALUE"""),"MAUS TRATOS")</f>
        <v>MAUS TRATOS</v>
      </c>
      <c r="D2263" s="6">
        <f>IFERROR(__xludf.DUMMYFUNCTION("""COMPUTED_VALUE"""),3.0)</f>
        <v>3</v>
      </c>
      <c r="E2263" s="6">
        <f>IFERROR(__xludf.DUMMYFUNCTION("""COMPUTED_VALUE"""),2.0)</f>
        <v>2</v>
      </c>
      <c r="F2263" s="6">
        <f>IFERROR(__xludf.DUMMYFUNCTION("""COMPUTED_VALUE"""),17.0)</f>
        <v>17</v>
      </c>
      <c r="G2263" s="6">
        <f>IFERROR(__xludf.DUMMYFUNCTION("""COMPUTED_VALUE"""),22.0)</f>
        <v>22</v>
      </c>
    </row>
    <row r="2264">
      <c r="A2264" s="6">
        <f>IFERROR(__xludf.DUMMYFUNCTION("""COMPUTED_VALUE"""),2024.0)</f>
        <v>2024</v>
      </c>
      <c r="B2264" s="6" t="str">
        <f>IFERROR(__xludf.DUMMYFUNCTION("""COMPUTED_VALUE"""),"Julho")</f>
        <v>Julho</v>
      </c>
      <c r="C2264" s="6" t="str">
        <f>IFERROR(__xludf.DUMMYFUNCTION("""COMPUTED_VALUE"""),"CALÚNIA - DIFAMAÇÃO - INJÚRIA")</f>
        <v>CALÚNIA - DIFAMAÇÃO - INJÚRIA</v>
      </c>
      <c r="D2264" s="6">
        <f>IFERROR(__xludf.DUMMYFUNCTION("""COMPUTED_VALUE"""),191.0)</f>
        <v>191</v>
      </c>
      <c r="E2264" s="6">
        <f>IFERROR(__xludf.DUMMYFUNCTION("""COMPUTED_VALUE"""),168.0)</f>
        <v>168</v>
      </c>
      <c r="F2264" s="6">
        <f>IFERROR(__xludf.DUMMYFUNCTION("""COMPUTED_VALUE"""),702.0)</f>
        <v>702</v>
      </c>
      <c r="G2264" s="6">
        <f>IFERROR(__xludf.DUMMYFUNCTION("""COMPUTED_VALUE"""),1061.0)</f>
        <v>1061</v>
      </c>
    </row>
    <row r="2265">
      <c r="A2265" s="6">
        <f>IFERROR(__xludf.DUMMYFUNCTION("""COMPUTED_VALUE"""),2024.0)</f>
        <v>2024</v>
      </c>
      <c r="B2265" s="6" t="str">
        <f>IFERROR(__xludf.DUMMYFUNCTION("""COMPUTED_VALUE"""),"Julho")</f>
        <v>Julho</v>
      </c>
      <c r="C2265" s="6" t="str">
        <f>IFERROR(__xludf.DUMMYFUNCTION("""COMPUTED_VALUE"""),"CONSTRANGIMENTO ILEGAL")</f>
        <v>CONSTRANGIMENTO ILEGAL</v>
      </c>
      <c r="D2265" s="6">
        <f>IFERROR(__xludf.DUMMYFUNCTION("""COMPUTED_VALUE"""),1.0)</f>
        <v>1</v>
      </c>
      <c r="E2265" s="6">
        <f>IFERROR(__xludf.DUMMYFUNCTION("""COMPUTED_VALUE"""),0.0)</f>
        <v>0</v>
      </c>
      <c r="F2265" s="6">
        <f>IFERROR(__xludf.DUMMYFUNCTION("""COMPUTED_VALUE"""),6.0)</f>
        <v>6</v>
      </c>
      <c r="G2265" s="6">
        <f>IFERROR(__xludf.DUMMYFUNCTION("""COMPUTED_VALUE"""),7.0)</f>
        <v>7</v>
      </c>
    </row>
    <row r="2266">
      <c r="A2266" s="6">
        <f>IFERROR(__xludf.DUMMYFUNCTION("""COMPUTED_VALUE"""),2024.0)</f>
        <v>2024</v>
      </c>
      <c r="B2266" s="6" t="str">
        <f>IFERROR(__xludf.DUMMYFUNCTION("""COMPUTED_VALUE"""),"Julho")</f>
        <v>Julho</v>
      </c>
      <c r="C2266" s="6" t="str">
        <f>IFERROR(__xludf.DUMMYFUNCTION("""COMPUTED_VALUE"""),"AMEAÇA")</f>
        <v>AMEAÇA</v>
      </c>
      <c r="D2266" s="6">
        <f>IFERROR(__xludf.DUMMYFUNCTION("""COMPUTED_VALUE"""),884.0)</f>
        <v>884</v>
      </c>
      <c r="E2266" s="6">
        <f>IFERROR(__xludf.DUMMYFUNCTION("""COMPUTED_VALUE"""),812.0)</f>
        <v>812</v>
      </c>
      <c r="F2266" s="6">
        <f>IFERROR(__xludf.DUMMYFUNCTION("""COMPUTED_VALUE"""),3012.0)</f>
        <v>3012</v>
      </c>
      <c r="G2266" s="6">
        <f>IFERROR(__xludf.DUMMYFUNCTION("""COMPUTED_VALUE"""),4708.0)</f>
        <v>4708</v>
      </c>
    </row>
    <row r="2267">
      <c r="A2267" s="6">
        <f>IFERROR(__xludf.DUMMYFUNCTION("""COMPUTED_VALUE"""),2024.0)</f>
        <v>2024</v>
      </c>
      <c r="B2267" s="6" t="str">
        <f>IFERROR(__xludf.DUMMYFUNCTION("""COMPUTED_VALUE"""),"Julho")</f>
        <v>Julho</v>
      </c>
      <c r="C2267" s="6" t="str">
        <f>IFERROR(__xludf.DUMMYFUNCTION("""COMPUTED_VALUE"""),"INVASÃO DE DOMICÍLIO")</f>
        <v>INVASÃO DE DOMICÍLIO</v>
      </c>
      <c r="D2267" s="6">
        <f>IFERROR(__xludf.DUMMYFUNCTION("""COMPUTED_VALUE"""),1.0)</f>
        <v>1</v>
      </c>
      <c r="E2267" s="6">
        <f>IFERROR(__xludf.DUMMYFUNCTION("""COMPUTED_VALUE"""),2.0)</f>
        <v>2</v>
      </c>
      <c r="F2267" s="6">
        <f>IFERROR(__xludf.DUMMYFUNCTION("""COMPUTED_VALUE"""),13.0)</f>
        <v>13</v>
      </c>
      <c r="G2267" s="6">
        <f>IFERROR(__xludf.DUMMYFUNCTION("""COMPUTED_VALUE"""),16.0)</f>
        <v>16</v>
      </c>
    </row>
    <row r="2268">
      <c r="A2268" s="6">
        <f>IFERROR(__xludf.DUMMYFUNCTION("""COMPUTED_VALUE"""),2024.0)</f>
        <v>2024</v>
      </c>
      <c r="B2268" s="6" t="str">
        <f>IFERROR(__xludf.DUMMYFUNCTION("""COMPUTED_VALUE"""),"Julho")</f>
        <v>Julho</v>
      </c>
      <c r="C2268" s="6" t="str">
        <f>IFERROR(__xludf.DUMMYFUNCTION("""COMPUTED_VALUE"""),"DANO")</f>
        <v>DANO</v>
      </c>
      <c r="D2268" s="6">
        <f>IFERROR(__xludf.DUMMYFUNCTION("""COMPUTED_VALUE"""),11.0)</f>
        <v>11</v>
      </c>
      <c r="E2268" s="6">
        <f>IFERROR(__xludf.DUMMYFUNCTION("""COMPUTED_VALUE"""),10.0)</f>
        <v>10</v>
      </c>
      <c r="F2268" s="6">
        <f>IFERROR(__xludf.DUMMYFUNCTION("""COMPUTED_VALUE"""),56.0)</f>
        <v>56</v>
      </c>
      <c r="G2268" s="6">
        <f>IFERROR(__xludf.DUMMYFUNCTION("""COMPUTED_VALUE"""),77.0)</f>
        <v>77</v>
      </c>
    </row>
    <row r="2269">
      <c r="A2269" s="6">
        <f>IFERROR(__xludf.DUMMYFUNCTION("""COMPUTED_VALUE"""),2024.0)</f>
        <v>2024</v>
      </c>
      <c r="B2269" s="6" t="str">
        <f>IFERROR(__xludf.DUMMYFUNCTION("""COMPUTED_VALUE"""),"Julho")</f>
        <v>Julho</v>
      </c>
      <c r="C2269" s="6" t="str">
        <f>IFERROR(__xludf.DUMMYFUNCTION("""COMPUTED_VALUE"""),"ESTUPRO CONSUMADO")</f>
        <v>ESTUPRO CONSUMADO</v>
      </c>
      <c r="D2269" s="6">
        <f>IFERROR(__xludf.DUMMYFUNCTION("""COMPUTED_VALUE"""),10.0)</f>
        <v>10</v>
      </c>
      <c r="E2269" s="6">
        <f>IFERROR(__xludf.DUMMYFUNCTION("""COMPUTED_VALUE"""),7.0)</f>
        <v>7</v>
      </c>
      <c r="F2269" s="6">
        <f>IFERROR(__xludf.DUMMYFUNCTION("""COMPUTED_VALUE"""),18.0)</f>
        <v>18</v>
      </c>
      <c r="G2269" s="6">
        <f>IFERROR(__xludf.DUMMYFUNCTION("""COMPUTED_VALUE"""),35.0)</f>
        <v>35</v>
      </c>
    </row>
    <row r="2270">
      <c r="A2270" s="6">
        <f>IFERROR(__xludf.DUMMYFUNCTION("""COMPUTED_VALUE"""),2024.0)</f>
        <v>2024</v>
      </c>
      <c r="B2270" s="6" t="str">
        <f>IFERROR(__xludf.DUMMYFUNCTION("""COMPUTED_VALUE"""),"Julho")</f>
        <v>Julho</v>
      </c>
      <c r="C2270" s="6" t="str">
        <f>IFERROR(__xludf.DUMMYFUNCTION("""COMPUTED_VALUE"""),"ESTUPRO TENTADO")</f>
        <v>ESTUPRO TENTADO</v>
      </c>
      <c r="D2270" s="6">
        <f>IFERROR(__xludf.DUMMYFUNCTION("""COMPUTED_VALUE"""),0.0)</f>
        <v>0</v>
      </c>
      <c r="E2270" s="6">
        <f>IFERROR(__xludf.DUMMYFUNCTION("""COMPUTED_VALUE"""),0.0)</f>
        <v>0</v>
      </c>
      <c r="F2270" s="6">
        <f>IFERROR(__xludf.DUMMYFUNCTION("""COMPUTED_VALUE"""),1.0)</f>
        <v>1</v>
      </c>
      <c r="G2270" s="6">
        <f>IFERROR(__xludf.DUMMYFUNCTION("""COMPUTED_VALUE"""),1.0)</f>
        <v>1</v>
      </c>
    </row>
    <row r="2271">
      <c r="A2271" s="6">
        <f>IFERROR(__xludf.DUMMYFUNCTION("""COMPUTED_VALUE"""),2024.0)</f>
        <v>2024</v>
      </c>
      <c r="B2271" s="6" t="str">
        <f>IFERROR(__xludf.DUMMYFUNCTION("""COMPUTED_VALUE"""),"Julho")</f>
        <v>Julho</v>
      </c>
      <c r="C2271" s="6" t="str">
        <f>IFERROR(__xludf.DUMMYFUNCTION("""COMPUTED_VALUE"""),"ESTUPRO DE VULNERÁVEL CONSUMADO")</f>
        <v>ESTUPRO DE VULNERÁVEL CONSUMADO</v>
      </c>
      <c r="D2271" s="6">
        <f>IFERROR(__xludf.DUMMYFUNCTION("""COMPUTED_VALUE"""),3.0)</f>
        <v>3</v>
      </c>
      <c r="E2271" s="6">
        <f>IFERROR(__xludf.DUMMYFUNCTION("""COMPUTED_VALUE"""),4.0)</f>
        <v>4</v>
      </c>
      <c r="F2271" s="6">
        <f>IFERROR(__xludf.DUMMYFUNCTION("""COMPUTED_VALUE"""),18.0)</f>
        <v>18</v>
      </c>
      <c r="G2271" s="6">
        <f>IFERROR(__xludf.DUMMYFUNCTION("""COMPUTED_VALUE"""),25.0)</f>
        <v>25</v>
      </c>
    </row>
    <row r="2272">
      <c r="A2272" s="6">
        <f>IFERROR(__xludf.DUMMYFUNCTION("""COMPUTED_VALUE"""),2024.0)</f>
        <v>2024</v>
      </c>
      <c r="B2272" s="6" t="str">
        <f>IFERROR(__xludf.DUMMYFUNCTION("""COMPUTED_VALUE"""),"Julho")</f>
        <v>Julho</v>
      </c>
      <c r="C2272" s="6" t="str">
        <f>IFERROR(__xludf.DUMMYFUNCTION("""COMPUTED_VALUE"""),"OUTROS C/C/ DIGNIDADE SEXUAL")</f>
        <v>OUTROS C/C/ DIGNIDADE SEXUAL</v>
      </c>
      <c r="D2272" s="6">
        <f>IFERROR(__xludf.DUMMYFUNCTION("""COMPUTED_VALUE"""),0.0)</f>
        <v>0</v>
      </c>
      <c r="E2272" s="6">
        <f>IFERROR(__xludf.DUMMYFUNCTION("""COMPUTED_VALUE"""),0.0)</f>
        <v>0</v>
      </c>
      <c r="F2272" s="6">
        <f>IFERROR(__xludf.DUMMYFUNCTION("""COMPUTED_VALUE"""),2.0)</f>
        <v>2</v>
      </c>
      <c r="G2272" s="6">
        <f>IFERROR(__xludf.DUMMYFUNCTION("""COMPUTED_VALUE"""),2.0)</f>
        <v>2</v>
      </c>
    </row>
    <row r="2273">
      <c r="A2273" s="6">
        <f>IFERROR(__xludf.DUMMYFUNCTION("""COMPUTED_VALUE"""),2024.0)</f>
        <v>2024</v>
      </c>
      <c r="B2273" s="6" t="str">
        <f>IFERROR(__xludf.DUMMYFUNCTION("""COMPUTED_VALUE"""),"Agosto")</f>
        <v>Agosto</v>
      </c>
      <c r="C2273" s="6" t="str">
        <f>IFERROR(__xludf.DUMMYFUNCTION("""COMPUTED_VALUE"""),"HOMICÍDIO DOLOSO (exclui FEMINICÍDIO)")</f>
        <v>HOMICÍDIO DOLOSO (exclui FEMINICÍDIO)</v>
      </c>
      <c r="D2273" s="6">
        <f>IFERROR(__xludf.DUMMYFUNCTION("""COMPUTED_VALUE"""),1.0)</f>
        <v>1</v>
      </c>
      <c r="E2273" s="6">
        <f>IFERROR(__xludf.DUMMYFUNCTION("""COMPUTED_VALUE"""),1.0)</f>
        <v>1</v>
      </c>
      <c r="F2273" s="6">
        <f>IFERROR(__xludf.DUMMYFUNCTION("""COMPUTED_VALUE"""),2.0)</f>
        <v>2</v>
      </c>
      <c r="G2273" s="6">
        <f>IFERROR(__xludf.DUMMYFUNCTION("""COMPUTED_VALUE"""),4.0)</f>
        <v>4</v>
      </c>
    </row>
    <row r="2274">
      <c r="A2274" s="6">
        <f>IFERROR(__xludf.DUMMYFUNCTION("""COMPUTED_VALUE"""),2024.0)</f>
        <v>2024</v>
      </c>
      <c r="B2274" s="6" t="str">
        <f>IFERROR(__xludf.DUMMYFUNCTION("""COMPUTED_VALUE"""),"Agosto")</f>
        <v>Agosto</v>
      </c>
      <c r="C2274" s="6" t="str">
        <f>IFERROR(__xludf.DUMMYFUNCTION("""COMPUTED_VALUE"""),"FEMINICÍDIO")</f>
        <v>FEMINICÍDIO</v>
      </c>
      <c r="D2274" s="6">
        <f>IFERROR(__xludf.DUMMYFUNCTION("""COMPUTED_VALUE"""),3.0)</f>
        <v>3</v>
      </c>
      <c r="E2274" s="6">
        <f>IFERROR(__xludf.DUMMYFUNCTION("""COMPUTED_VALUE"""),3.0)</f>
        <v>3</v>
      </c>
      <c r="F2274" s="6">
        <f>IFERROR(__xludf.DUMMYFUNCTION("""COMPUTED_VALUE"""),6.0)</f>
        <v>6</v>
      </c>
      <c r="G2274" s="6">
        <f>IFERROR(__xludf.DUMMYFUNCTION("""COMPUTED_VALUE"""),12.0)</f>
        <v>12</v>
      </c>
    </row>
    <row r="2275">
      <c r="A2275" s="6">
        <f>IFERROR(__xludf.DUMMYFUNCTION("""COMPUTED_VALUE"""),2024.0)</f>
        <v>2024</v>
      </c>
      <c r="B2275" s="6" t="str">
        <f>IFERROR(__xludf.DUMMYFUNCTION("""COMPUTED_VALUE"""),"Agosto")</f>
        <v>Agosto</v>
      </c>
      <c r="C2275" s="6" t="str">
        <f>IFERROR(__xludf.DUMMYFUNCTION("""COMPUTED_VALUE"""),"HOMICÍDIO CULPOSO")</f>
        <v>HOMICÍDIO CULPOSO</v>
      </c>
      <c r="D2275" s="6">
        <f>IFERROR(__xludf.DUMMYFUNCTION("""COMPUTED_VALUE"""),0.0)</f>
        <v>0</v>
      </c>
      <c r="E2275" s="6">
        <f>IFERROR(__xludf.DUMMYFUNCTION("""COMPUTED_VALUE"""),0.0)</f>
        <v>0</v>
      </c>
      <c r="F2275" s="6">
        <f>IFERROR(__xludf.DUMMYFUNCTION("""COMPUTED_VALUE"""),0.0)</f>
        <v>0</v>
      </c>
      <c r="G2275" s="6">
        <f>IFERROR(__xludf.DUMMYFUNCTION("""COMPUTED_VALUE"""),0.0)</f>
        <v>0</v>
      </c>
    </row>
    <row r="2276">
      <c r="A2276" s="6">
        <f>IFERROR(__xludf.DUMMYFUNCTION("""COMPUTED_VALUE"""),2024.0)</f>
        <v>2024</v>
      </c>
      <c r="B2276" s="6" t="str">
        <f>IFERROR(__xludf.DUMMYFUNCTION("""COMPUTED_VALUE"""),"Agosto")</f>
        <v>Agosto</v>
      </c>
      <c r="C2276" s="6" t="str">
        <f>IFERROR(__xludf.DUMMYFUNCTION("""COMPUTED_VALUE"""),"TENTATIVA DE HOMICÍDIO")</f>
        <v>TENTATIVA DE HOMICÍDIO</v>
      </c>
      <c r="D2276" s="6">
        <f>IFERROR(__xludf.DUMMYFUNCTION("""COMPUTED_VALUE"""),2.0)</f>
        <v>2</v>
      </c>
      <c r="E2276" s="6">
        <f>IFERROR(__xludf.DUMMYFUNCTION("""COMPUTED_VALUE"""),2.0)</f>
        <v>2</v>
      </c>
      <c r="F2276" s="6">
        <f>IFERROR(__xludf.DUMMYFUNCTION("""COMPUTED_VALUE"""),12.0)</f>
        <v>12</v>
      </c>
      <c r="G2276" s="6">
        <f>IFERROR(__xludf.DUMMYFUNCTION("""COMPUTED_VALUE"""),16.0)</f>
        <v>16</v>
      </c>
    </row>
    <row r="2277">
      <c r="A2277" s="6">
        <f>IFERROR(__xludf.DUMMYFUNCTION("""COMPUTED_VALUE"""),2024.0)</f>
        <v>2024</v>
      </c>
      <c r="B2277" s="6" t="str">
        <f>IFERROR(__xludf.DUMMYFUNCTION("""COMPUTED_VALUE"""),"Agosto")</f>
        <v>Agosto</v>
      </c>
      <c r="C2277" s="6" t="str">
        <f>IFERROR(__xludf.DUMMYFUNCTION("""COMPUTED_VALUE"""),"LESÃO CORPORAL DOLOSA")</f>
        <v>LESÃO CORPORAL DOLOSA</v>
      </c>
      <c r="D2277" s="6">
        <f>IFERROR(__xludf.DUMMYFUNCTION("""COMPUTED_VALUE"""),948.0)</f>
        <v>948</v>
      </c>
      <c r="E2277" s="6">
        <f>IFERROR(__xludf.DUMMYFUNCTION("""COMPUTED_VALUE"""),812.0)</f>
        <v>812</v>
      </c>
      <c r="F2277" s="6">
        <f>IFERROR(__xludf.DUMMYFUNCTION("""COMPUTED_VALUE"""),2914.0)</f>
        <v>2914</v>
      </c>
      <c r="G2277" s="6">
        <f>IFERROR(__xludf.DUMMYFUNCTION("""COMPUTED_VALUE"""),4674.0)</f>
        <v>4674</v>
      </c>
    </row>
    <row r="2278">
      <c r="A2278" s="6">
        <f>IFERROR(__xludf.DUMMYFUNCTION("""COMPUTED_VALUE"""),2024.0)</f>
        <v>2024</v>
      </c>
      <c r="B2278" s="6" t="str">
        <f>IFERROR(__xludf.DUMMYFUNCTION("""COMPUTED_VALUE"""),"Agosto")</f>
        <v>Agosto</v>
      </c>
      <c r="C2278" s="6" t="str">
        <f>IFERROR(__xludf.DUMMYFUNCTION("""COMPUTED_VALUE"""),"MAUS TRATOS")</f>
        <v>MAUS TRATOS</v>
      </c>
      <c r="D2278" s="6">
        <f>IFERROR(__xludf.DUMMYFUNCTION("""COMPUTED_VALUE"""),3.0)</f>
        <v>3</v>
      </c>
      <c r="E2278" s="6">
        <f>IFERROR(__xludf.DUMMYFUNCTION("""COMPUTED_VALUE"""),2.0)</f>
        <v>2</v>
      </c>
      <c r="F2278" s="6">
        <f>IFERROR(__xludf.DUMMYFUNCTION("""COMPUTED_VALUE"""),16.0)</f>
        <v>16</v>
      </c>
      <c r="G2278" s="6">
        <f>IFERROR(__xludf.DUMMYFUNCTION("""COMPUTED_VALUE"""),21.0)</f>
        <v>21</v>
      </c>
    </row>
    <row r="2279">
      <c r="A2279" s="6">
        <f>IFERROR(__xludf.DUMMYFUNCTION("""COMPUTED_VALUE"""),2024.0)</f>
        <v>2024</v>
      </c>
      <c r="B2279" s="6" t="str">
        <f>IFERROR(__xludf.DUMMYFUNCTION("""COMPUTED_VALUE"""),"Agosto")</f>
        <v>Agosto</v>
      </c>
      <c r="C2279" s="6" t="str">
        <f>IFERROR(__xludf.DUMMYFUNCTION("""COMPUTED_VALUE"""),"CALÚNIA - DIFAMAÇÃO - INJÚRIA")</f>
        <v>CALÚNIA - DIFAMAÇÃO - INJÚRIA</v>
      </c>
      <c r="D2279" s="6">
        <f>IFERROR(__xludf.DUMMYFUNCTION("""COMPUTED_VALUE"""),187.0)</f>
        <v>187</v>
      </c>
      <c r="E2279" s="6">
        <f>IFERROR(__xludf.DUMMYFUNCTION("""COMPUTED_VALUE"""),159.0)</f>
        <v>159</v>
      </c>
      <c r="F2279" s="6">
        <f>IFERROR(__xludf.DUMMYFUNCTION("""COMPUTED_VALUE"""),694.0)</f>
        <v>694</v>
      </c>
      <c r="G2279" s="6">
        <f>IFERROR(__xludf.DUMMYFUNCTION("""COMPUTED_VALUE"""),1040.0)</f>
        <v>1040</v>
      </c>
    </row>
    <row r="2280">
      <c r="A2280" s="6">
        <f>IFERROR(__xludf.DUMMYFUNCTION("""COMPUTED_VALUE"""),2024.0)</f>
        <v>2024</v>
      </c>
      <c r="B2280" s="6" t="str">
        <f>IFERROR(__xludf.DUMMYFUNCTION("""COMPUTED_VALUE"""),"Agosto")</f>
        <v>Agosto</v>
      </c>
      <c r="C2280" s="6" t="str">
        <f>IFERROR(__xludf.DUMMYFUNCTION("""COMPUTED_VALUE"""),"CONSTRANGIMENTO ILEGAL")</f>
        <v>CONSTRANGIMENTO ILEGAL</v>
      </c>
      <c r="D2280" s="6">
        <f>IFERROR(__xludf.DUMMYFUNCTION("""COMPUTED_VALUE"""),1.0)</f>
        <v>1</v>
      </c>
      <c r="E2280" s="6">
        <f>IFERROR(__xludf.DUMMYFUNCTION("""COMPUTED_VALUE"""),0.0)</f>
        <v>0</v>
      </c>
      <c r="F2280" s="6">
        <f>IFERROR(__xludf.DUMMYFUNCTION("""COMPUTED_VALUE"""),6.0)</f>
        <v>6</v>
      </c>
      <c r="G2280" s="6">
        <f>IFERROR(__xludf.DUMMYFUNCTION("""COMPUTED_VALUE"""),7.0)</f>
        <v>7</v>
      </c>
    </row>
    <row r="2281">
      <c r="A2281" s="6">
        <f>IFERROR(__xludf.DUMMYFUNCTION("""COMPUTED_VALUE"""),2024.0)</f>
        <v>2024</v>
      </c>
      <c r="B2281" s="6" t="str">
        <f>IFERROR(__xludf.DUMMYFUNCTION("""COMPUTED_VALUE"""),"Agosto")</f>
        <v>Agosto</v>
      </c>
      <c r="C2281" s="6" t="str">
        <f>IFERROR(__xludf.DUMMYFUNCTION("""COMPUTED_VALUE"""),"AMEAÇA")</f>
        <v>AMEAÇA</v>
      </c>
      <c r="D2281" s="6">
        <f>IFERROR(__xludf.DUMMYFUNCTION("""COMPUTED_VALUE"""),872.0)</f>
        <v>872</v>
      </c>
      <c r="E2281" s="6">
        <f>IFERROR(__xludf.DUMMYFUNCTION("""COMPUTED_VALUE"""),804.0)</f>
        <v>804</v>
      </c>
      <c r="F2281" s="6">
        <f>IFERROR(__xludf.DUMMYFUNCTION("""COMPUTED_VALUE"""),2984.0)</f>
        <v>2984</v>
      </c>
      <c r="G2281" s="6">
        <f>IFERROR(__xludf.DUMMYFUNCTION("""COMPUTED_VALUE"""),4660.0)</f>
        <v>4660</v>
      </c>
    </row>
    <row r="2282">
      <c r="A2282" s="6">
        <f>IFERROR(__xludf.DUMMYFUNCTION("""COMPUTED_VALUE"""),2024.0)</f>
        <v>2024</v>
      </c>
      <c r="B2282" s="6" t="str">
        <f>IFERROR(__xludf.DUMMYFUNCTION("""COMPUTED_VALUE"""),"Agosto")</f>
        <v>Agosto</v>
      </c>
      <c r="C2282" s="6" t="str">
        <f>IFERROR(__xludf.DUMMYFUNCTION("""COMPUTED_VALUE"""),"INVASÃO DE DOMICÍLIO")</f>
        <v>INVASÃO DE DOMICÍLIO</v>
      </c>
      <c r="D2282" s="6">
        <f>IFERROR(__xludf.DUMMYFUNCTION("""COMPUTED_VALUE"""),1.0)</f>
        <v>1</v>
      </c>
      <c r="E2282" s="6">
        <f>IFERROR(__xludf.DUMMYFUNCTION("""COMPUTED_VALUE"""),2.0)</f>
        <v>2</v>
      </c>
      <c r="F2282" s="6">
        <f>IFERROR(__xludf.DUMMYFUNCTION("""COMPUTED_VALUE"""),13.0)</f>
        <v>13</v>
      </c>
      <c r="G2282" s="6">
        <f>IFERROR(__xludf.DUMMYFUNCTION("""COMPUTED_VALUE"""),16.0)</f>
        <v>16</v>
      </c>
    </row>
    <row r="2283">
      <c r="A2283" s="6">
        <f>IFERROR(__xludf.DUMMYFUNCTION("""COMPUTED_VALUE"""),2024.0)</f>
        <v>2024</v>
      </c>
      <c r="B2283" s="6" t="str">
        <f>IFERROR(__xludf.DUMMYFUNCTION("""COMPUTED_VALUE"""),"Agosto")</f>
        <v>Agosto</v>
      </c>
      <c r="C2283" s="6" t="str">
        <f>IFERROR(__xludf.DUMMYFUNCTION("""COMPUTED_VALUE"""),"DANO")</f>
        <v>DANO</v>
      </c>
      <c r="D2283" s="6">
        <f>IFERROR(__xludf.DUMMYFUNCTION("""COMPUTED_VALUE"""),11.0)</f>
        <v>11</v>
      </c>
      <c r="E2283" s="6">
        <f>IFERROR(__xludf.DUMMYFUNCTION("""COMPUTED_VALUE"""),10.0)</f>
        <v>10</v>
      </c>
      <c r="F2283" s="6">
        <f>IFERROR(__xludf.DUMMYFUNCTION("""COMPUTED_VALUE"""),54.0)</f>
        <v>54</v>
      </c>
      <c r="G2283" s="6">
        <f>IFERROR(__xludf.DUMMYFUNCTION("""COMPUTED_VALUE"""),75.0)</f>
        <v>75</v>
      </c>
    </row>
    <row r="2284">
      <c r="A2284" s="6">
        <f>IFERROR(__xludf.DUMMYFUNCTION("""COMPUTED_VALUE"""),2024.0)</f>
        <v>2024</v>
      </c>
      <c r="B2284" s="6" t="str">
        <f>IFERROR(__xludf.DUMMYFUNCTION("""COMPUTED_VALUE"""),"Agosto")</f>
        <v>Agosto</v>
      </c>
      <c r="C2284" s="6" t="str">
        <f>IFERROR(__xludf.DUMMYFUNCTION("""COMPUTED_VALUE"""),"ESTUPRO CONSUMADO")</f>
        <v>ESTUPRO CONSUMADO</v>
      </c>
      <c r="D2284" s="6">
        <f>IFERROR(__xludf.DUMMYFUNCTION("""COMPUTED_VALUE"""),10.0)</f>
        <v>10</v>
      </c>
      <c r="E2284" s="6">
        <f>IFERROR(__xludf.DUMMYFUNCTION("""COMPUTED_VALUE"""),7.0)</f>
        <v>7</v>
      </c>
      <c r="F2284" s="6">
        <f>IFERROR(__xludf.DUMMYFUNCTION("""COMPUTED_VALUE"""),17.0)</f>
        <v>17</v>
      </c>
      <c r="G2284" s="6">
        <f>IFERROR(__xludf.DUMMYFUNCTION("""COMPUTED_VALUE"""),34.0)</f>
        <v>34</v>
      </c>
    </row>
    <row r="2285">
      <c r="A2285" s="6">
        <f>IFERROR(__xludf.DUMMYFUNCTION("""COMPUTED_VALUE"""),2024.0)</f>
        <v>2024</v>
      </c>
      <c r="B2285" s="6" t="str">
        <f>IFERROR(__xludf.DUMMYFUNCTION("""COMPUTED_VALUE"""),"Agosto")</f>
        <v>Agosto</v>
      </c>
      <c r="C2285" s="6" t="str">
        <f>IFERROR(__xludf.DUMMYFUNCTION("""COMPUTED_VALUE"""),"ESTUPRO TENTADO")</f>
        <v>ESTUPRO TENTADO</v>
      </c>
      <c r="D2285" s="6">
        <f>IFERROR(__xludf.DUMMYFUNCTION("""COMPUTED_VALUE"""),0.0)</f>
        <v>0</v>
      </c>
      <c r="E2285" s="6">
        <f>IFERROR(__xludf.DUMMYFUNCTION("""COMPUTED_VALUE"""),0.0)</f>
        <v>0</v>
      </c>
      <c r="F2285" s="6">
        <f>IFERROR(__xludf.DUMMYFUNCTION("""COMPUTED_VALUE"""),1.0)</f>
        <v>1</v>
      </c>
      <c r="G2285" s="6">
        <f>IFERROR(__xludf.DUMMYFUNCTION("""COMPUTED_VALUE"""),1.0)</f>
        <v>1</v>
      </c>
    </row>
    <row r="2286">
      <c r="A2286" s="6">
        <f>IFERROR(__xludf.DUMMYFUNCTION("""COMPUTED_VALUE"""),2024.0)</f>
        <v>2024</v>
      </c>
      <c r="B2286" s="6" t="str">
        <f>IFERROR(__xludf.DUMMYFUNCTION("""COMPUTED_VALUE"""),"Agosto")</f>
        <v>Agosto</v>
      </c>
      <c r="C2286" s="6" t="str">
        <f>IFERROR(__xludf.DUMMYFUNCTION("""COMPUTED_VALUE"""),"ESTUPRO DE VULNERÁVEL CONSUMADO")</f>
        <v>ESTUPRO DE VULNERÁVEL CONSUMADO</v>
      </c>
      <c r="D2286" s="6">
        <f>IFERROR(__xludf.DUMMYFUNCTION("""COMPUTED_VALUE"""),3.0)</f>
        <v>3</v>
      </c>
      <c r="E2286" s="6">
        <f>IFERROR(__xludf.DUMMYFUNCTION("""COMPUTED_VALUE"""),4.0)</f>
        <v>4</v>
      </c>
      <c r="F2286" s="6">
        <f>IFERROR(__xludf.DUMMYFUNCTION("""COMPUTED_VALUE"""),17.0)</f>
        <v>17</v>
      </c>
      <c r="G2286" s="6">
        <f>IFERROR(__xludf.DUMMYFUNCTION("""COMPUTED_VALUE"""),24.0)</f>
        <v>24</v>
      </c>
    </row>
    <row r="2287">
      <c r="A2287" s="6">
        <f>IFERROR(__xludf.DUMMYFUNCTION("""COMPUTED_VALUE"""),2024.0)</f>
        <v>2024</v>
      </c>
      <c r="B2287" s="6" t="str">
        <f>IFERROR(__xludf.DUMMYFUNCTION("""COMPUTED_VALUE"""),"Agosto")</f>
        <v>Agosto</v>
      </c>
      <c r="C2287" s="6" t="str">
        <f>IFERROR(__xludf.DUMMYFUNCTION("""COMPUTED_VALUE"""),"OUTROS C/C/ DIGNIDADE SEXUAL")</f>
        <v>OUTROS C/C/ DIGNIDADE SEXUAL</v>
      </c>
      <c r="D2287" s="6">
        <f>IFERROR(__xludf.DUMMYFUNCTION("""COMPUTED_VALUE"""),0.0)</f>
        <v>0</v>
      </c>
      <c r="E2287" s="6">
        <f>IFERROR(__xludf.DUMMYFUNCTION("""COMPUTED_VALUE"""),0.0)</f>
        <v>0</v>
      </c>
      <c r="F2287" s="6">
        <f>IFERROR(__xludf.DUMMYFUNCTION("""COMPUTED_VALUE"""),2.0)</f>
        <v>2</v>
      </c>
      <c r="G2287" s="6">
        <f>IFERROR(__xludf.DUMMYFUNCTION("""COMPUTED_VALUE"""),2.0)</f>
        <v>2</v>
      </c>
    </row>
    <row r="2288">
      <c r="A2288" s="6">
        <f>IFERROR(__xludf.DUMMYFUNCTION("""COMPUTED_VALUE"""),2024.0)</f>
        <v>2024</v>
      </c>
      <c r="B2288" s="6" t="str">
        <f>IFERROR(__xludf.DUMMYFUNCTION("""COMPUTED_VALUE"""),"Setembro")</f>
        <v>Setembro</v>
      </c>
      <c r="C2288" s="6" t="str">
        <f>IFERROR(__xludf.DUMMYFUNCTION("""COMPUTED_VALUE"""),"HOMICÍDIO DOLOSO (exclui FEMINICÍDIO)")</f>
        <v>HOMICÍDIO DOLOSO (exclui FEMINICÍDIO)</v>
      </c>
      <c r="D2288" s="6">
        <f>IFERROR(__xludf.DUMMYFUNCTION("""COMPUTED_VALUE"""),1.0)</f>
        <v>1</v>
      </c>
      <c r="E2288" s="6">
        <f>IFERROR(__xludf.DUMMYFUNCTION("""COMPUTED_VALUE"""),0.0)</f>
        <v>0</v>
      </c>
      <c r="F2288" s="6">
        <f>IFERROR(__xludf.DUMMYFUNCTION("""COMPUTED_VALUE"""),2.0)</f>
        <v>2</v>
      </c>
      <c r="G2288" s="6">
        <f>IFERROR(__xludf.DUMMYFUNCTION("""COMPUTED_VALUE"""),3.0)</f>
        <v>3</v>
      </c>
    </row>
    <row r="2289">
      <c r="A2289" s="6">
        <f>IFERROR(__xludf.DUMMYFUNCTION("""COMPUTED_VALUE"""),2024.0)</f>
        <v>2024</v>
      </c>
      <c r="B2289" s="6" t="str">
        <f>IFERROR(__xludf.DUMMYFUNCTION("""COMPUTED_VALUE"""),"Setembro")</f>
        <v>Setembro</v>
      </c>
      <c r="C2289" s="6" t="str">
        <f>IFERROR(__xludf.DUMMYFUNCTION("""COMPUTED_VALUE"""),"FEMINICÍDIO")</f>
        <v>FEMINICÍDIO</v>
      </c>
      <c r="D2289" s="6">
        <f>IFERROR(__xludf.DUMMYFUNCTION("""COMPUTED_VALUE"""),4.0)</f>
        <v>4</v>
      </c>
      <c r="E2289" s="6">
        <f>IFERROR(__xludf.DUMMYFUNCTION("""COMPUTED_VALUE"""),4.0)</f>
        <v>4</v>
      </c>
      <c r="F2289" s="6">
        <f>IFERROR(__xludf.DUMMYFUNCTION("""COMPUTED_VALUE"""),8.0)</f>
        <v>8</v>
      </c>
      <c r="G2289" s="6">
        <f>IFERROR(__xludf.DUMMYFUNCTION("""COMPUTED_VALUE"""),16.0)</f>
        <v>16</v>
      </c>
    </row>
    <row r="2290">
      <c r="A2290" s="6">
        <f>IFERROR(__xludf.DUMMYFUNCTION("""COMPUTED_VALUE"""),2024.0)</f>
        <v>2024</v>
      </c>
      <c r="B2290" s="6" t="str">
        <f>IFERROR(__xludf.DUMMYFUNCTION("""COMPUTED_VALUE"""),"Setembro")</f>
        <v>Setembro</v>
      </c>
      <c r="C2290" s="6" t="str">
        <f>IFERROR(__xludf.DUMMYFUNCTION("""COMPUTED_VALUE"""),"HOMICÍDIO CULPOSO")</f>
        <v>HOMICÍDIO CULPOSO</v>
      </c>
      <c r="D2290" s="6">
        <f>IFERROR(__xludf.DUMMYFUNCTION("""COMPUTED_VALUE"""),0.0)</f>
        <v>0</v>
      </c>
      <c r="E2290" s="6">
        <f>IFERROR(__xludf.DUMMYFUNCTION("""COMPUTED_VALUE"""),0.0)</f>
        <v>0</v>
      </c>
      <c r="F2290" s="6">
        <f>IFERROR(__xludf.DUMMYFUNCTION("""COMPUTED_VALUE"""),0.0)</f>
        <v>0</v>
      </c>
      <c r="G2290" s="6">
        <f>IFERROR(__xludf.DUMMYFUNCTION("""COMPUTED_VALUE"""),0.0)</f>
        <v>0</v>
      </c>
    </row>
    <row r="2291">
      <c r="A2291" s="6">
        <f>IFERROR(__xludf.DUMMYFUNCTION("""COMPUTED_VALUE"""),2024.0)</f>
        <v>2024</v>
      </c>
      <c r="B2291" s="6" t="str">
        <f>IFERROR(__xludf.DUMMYFUNCTION("""COMPUTED_VALUE"""),"Setembro")</f>
        <v>Setembro</v>
      </c>
      <c r="C2291" s="6" t="str">
        <f>IFERROR(__xludf.DUMMYFUNCTION("""COMPUTED_VALUE"""),"TENTATIVA DE HOMICÍDIO")</f>
        <v>TENTATIVA DE HOMICÍDIO</v>
      </c>
      <c r="D2291" s="6">
        <f>IFERROR(__xludf.DUMMYFUNCTION("""COMPUTED_VALUE"""),1.0)</f>
        <v>1</v>
      </c>
      <c r="E2291" s="6">
        <f>IFERROR(__xludf.DUMMYFUNCTION("""COMPUTED_VALUE"""),1.0)</f>
        <v>1</v>
      </c>
      <c r="F2291" s="6">
        <f>IFERROR(__xludf.DUMMYFUNCTION("""COMPUTED_VALUE"""),11.0)</f>
        <v>11</v>
      </c>
      <c r="G2291" s="6">
        <f>IFERROR(__xludf.DUMMYFUNCTION("""COMPUTED_VALUE"""),13.0)</f>
        <v>13</v>
      </c>
    </row>
    <row r="2292">
      <c r="A2292" s="6">
        <f>IFERROR(__xludf.DUMMYFUNCTION("""COMPUTED_VALUE"""),2024.0)</f>
        <v>2024</v>
      </c>
      <c r="B2292" s="6" t="str">
        <f>IFERROR(__xludf.DUMMYFUNCTION("""COMPUTED_VALUE"""),"Setembro")</f>
        <v>Setembro</v>
      </c>
      <c r="C2292" s="6" t="str">
        <f>IFERROR(__xludf.DUMMYFUNCTION("""COMPUTED_VALUE"""),"LESÃO CORPORAL DOLOSA")</f>
        <v>LESÃO CORPORAL DOLOSA</v>
      </c>
      <c r="D2292" s="6">
        <f>IFERROR(__xludf.DUMMYFUNCTION("""COMPUTED_VALUE"""),912.0)</f>
        <v>912</v>
      </c>
      <c r="E2292" s="6">
        <f>IFERROR(__xludf.DUMMYFUNCTION("""COMPUTED_VALUE"""),784.0)</f>
        <v>784</v>
      </c>
      <c r="F2292" s="6">
        <f>IFERROR(__xludf.DUMMYFUNCTION("""COMPUTED_VALUE"""),2814.0)</f>
        <v>2814</v>
      </c>
      <c r="G2292" s="6">
        <f>IFERROR(__xludf.DUMMYFUNCTION("""COMPUTED_VALUE"""),4510.0)</f>
        <v>4510</v>
      </c>
    </row>
    <row r="2293">
      <c r="A2293" s="6">
        <f>IFERROR(__xludf.DUMMYFUNCTION("""COMPUTED_VALUE"""),2024.0)</f>
        <v>2024</v>
      </c>
      <c r="B2293" s="6" t="str">
        <f>IFERROR(__xludf.DUMMYFUNCTION("""COMPUTED_VALUE"""),"Setembro")</f>
        <v>Setembro</v>
      </c>
      <c r="C2293" s="6" t="str">
        <f>IFERROR(__xludf.DUMMYFUNCTION("""COMPUTED_VALUE"""),"MAUS TRATOS")</f>
        <v>MAUS TRATOS</v>
      </c>
      <c r="D2293" s="6">
        <f>IFERROR(__xludf.DUMMYFUNCTION("""COMPUTED_VALUE"""),2.0)</f>
        <v>2</v>
      </c>
      <c r="E2293" s="6">
        <f>IFERROR(__xludf.DUMMYFUNCTION("""COMPUTED_VALUE"""),2.0)</f>
        <v>2</v>
      </c>
      <c r="F2293" s="6">
        <f>IFERROR(__xludf.DUMMYFUNCTION("""COMPUTED_VALUE"""),14.0)</f>
        <v>14</v>
      </c>
      <c r="G2293" s="6">
        <f>IFERROR(__xludf.DUMMYFUNCTION("""COMPUTED_VALUE"""),18.0)</f>
        <v>18</v>
      </c>
    </row>
    <row r="2294">
      <c r="A2294" s="6">
        <f>IFERROR(__xludf.DUMMYFUNCTION("""COMPUTED_VALUE"""),2024.0)</f>
        <v>2024</v>
      </c>
      <c r="B2294" s="6" t="str">
        <f>IFERROR(__xludf.DUMMYFUNCTION("""COMPUTED_VALUE"""),"Setembro")</f>
        <v>Setembro</v>
      </c>
      <c r="C2294" s="6" t="str">
        <f>IFERROR(__xludf.DUMMYFUNCTION("""COMPUTED_VALUE"""),"CALÚNIA - DIFAMAÇÃO - INJÚRIA")</f>
        <v>CALÚNIA - DIFAMAÇÃO - INJÚRIA</v>
      </c>
      <c r="D2294" s="6">
        <f>IFERROR(__xludf.DUMMYFUNCTION("""COMPUTED_VALUE"""),178.0)</f>
        <v>178</v>
      </c>
      <c r="E2294" s="6">
        <f>IFERROR(__xludf.DUMMYFUNCTION("""COMPUTED_VALUE"""),151.0)</f>
        <v>151</v>
      </c>
      <c r="F2294" s="6">
        <f>IFERROR(__xludf.DUMMYFUNCTION("""COMPUTED_VALUE"""),654.0)</f>
        <v>654</v>
      </c>
      <c r="G2294" s="6">
        <f>IFERROR(__xludf.DUMMYFUNCTION("""COMPUTED_VALUE"""),983.0)</f>
        <v>983</v>
      </c>
    </row>
    <row r="2295">
      <c r="A2295" s="6">
        <f>IFERROR(__xludf.DUMMYFUNCTION("""COMPUTED_VALUE"""),2024.0)</f>
        <v>2024</v>
      </c>
      <c r="B2295" s="6" t="str">
        <f>IFERROR(__xludf.DUMMYFUNCTION("""COMPUTED_VALUE"""),"Setembro")</f>
        <v>Setembro</v>
      </c>
      <c r="C2295" s="6" t="str">
        <f>IFERROR(__xludf.DUMMYFUNCTION("""COMPUTED_VALUE"""),"CONSTRANGIMENTO ILEGAL")</f>
        <v>CONSTRANGIMENTO ILEGAL</v>
      </c>
      <c r="D2295" s="6">
        <f>IFERROR(__xludf.DUMMYFUNCTION("""COMPUTED_VALUE"""),1.0)</f>
        <v>1</v>
      </c>
      <c r="E2295" s="6">
        <f>IFERROR(__xludf.DUMMYFUNCTION("""COMPUTED_VALUE"""),0.0)</f>
        <v>0</v>
      </c>
      <c r="F2295" s="6">
        <f>IFERROR(__xludf.DUMMYFUNCTION("""COMPUTED_VALUE"""),5.0)</f>
        <v>5</v>
      </c>
      <c r="G2295" s="6">
        <f>IFERROR(__xludf.DUMMYFUNCTION("""COMPUTED_VALUE"""),6.0)</f>
        <v>6</v>
      </c>
    </row>
    <row r="2296">
      <c r="A2296" s="6">
        <f>IFERROR(__xludf.DUMMYFUNCTION("""COMPUTED_VALUE"""),2024.0)</f>
        <v>2024</v>
      </c>
      <c r="B2296" s="6" t="str">
        <f>IFERROR(__xludf.DUMMYFUNCTION("""COMPUTED_VALUE"""),"Setembro")</f>
        <v>Setembro</v>
      </c>
      <c r="C2296" s="6" t="str">
        <f>IFERROR(__xludf.DUMMYFUNCTION("""COMPUTED_VALUE"""),"AMEAÇA")</f>
        <v>AMEAÇA</v>
      </c>
      <c r="D2296" s="6">
        <f>IFERROR(__xludf.DUMMYFUNCTION("""COMPUTED_VALUE"""),842.0)</f>
        <v>842</v>
      </c>
      <c r="E2296" s="6">
        <f>IFERROR(__xludf.DUMMYFUNCTION("""COMPUTED_VALUE"""),771.0)</f>
        <v>771</v>
      </c>
      <c r="F2296" s="6">
        <f>IFERROR(__xludf.DUMMYFUNCTION("""COMPUTED_VALUE"""),2884.0)</f>
        <v>2884</v>
      </c>
      <c r="G2296" s="6">
        <f>IFERROR(__xludf.DUMMYFUNCTION("""COMPUTED_VALUE"""),4497.0)</f>
        <v>4497</v>
      </c>
    </row>
    <row r="2297">
      <c r="A2297" s="6">
        <f>IFERROR(__xludf.DUMMYFUNCTION("""COMPUTED_VALUE"""),2024.0)</f>
        <v>2024</v>
      </c>
      <c r="B2297" s="6" t="str">
        <f>IFERROR(__xludf.DUMMYFUNCTION("""COMPUTED_VALUE"""),"Setembro")</f>
        <v>Setembro</v>
      </c>
      <c r="C2297" s="6" t="str">
        <f>IFERROR(__xludf.DUMMYFUNCTION("""COMPUTED_VALUE"""),"INVASÃO DE DOMICÍLIO")</f>
        <v>INVASÃO DE DOMICÍLIO</v>
      </c>
      <c r="D2297" s="6">
        <f>IFERROR(__xludf.DUMMYFUNCTION("""COMPUTED_VALUE"""),1.0)</f>
        <v>1</v>
      </c>
      <c r="E2297" s="6">
        <f>IFERROR(__xludf.DUMMYFUNCTION("""COMPUTED_VALUE"""),1.0)</f>
        <v>1</v>
      </c>
      <c r="F2297" s="6">
        <f>IFERROR(__xludf.DUMMYFUNCTION("""COMPUTED_VALUE"""),11.0)</f>
        <v>11</v>
      </c>
      <c r="G2297" s="6">
        <f>IFERROR(__xludf.DUMMYFUNCTION("""COMPUTED_VALUE"""),13.0)</f>
        <v>13</v>
      </c>
    </row>
    <row r="2298">
      <c r="A2298" s="6">
        <f>IFERROR(__xludf.DUMMYFUNCTION("""COMPUTED_VALUE"""),2024.0)</f>
        <v>2024</v>
      </c>
      <c r="B2298" s="6" t="str">
        <f>IFERROR(__xludf.DUMMYFUNCTION("""COMPUTED_VALUE"""),"Setembro")</f>
        <v>Setembro</v>
      </c>
      <c r="C2298" s="6" t="str">
        <f>IFERROR(__xludf.DUMMYFUNCTION("""COMPUTED_VALUE"""),"DANO")</f>
        <v>DANO</v>
      </c>
      <c r="D2298" s="6">
        <f>IFERROR(__xludf.DUMMYFUNCTION("""COMPUTED_VALUE"""),9.0)</f>
        <v>9</v>
      </c>
      <c r="E2298" s="6">
        <f>IFERROR(__xludf.DUMMYFUNCTION("""COMPUTED_VALUE"""),9.0)</f>
        <v>9</v>
      </c>
      <c r="F2298" s="6">
        <f>IFERROR(__xludf.DUMMYFUNCTION("""COMPUTED_VALUE"""),51.0)</f>
        <v>51</v>
      </c>
      <c r="G2298" s="6">
        <f>IFERROR(__xludf.DUMMYFUNCTION("""COMPUTED_VALUE"""),69.0)</f>
        <v>69</v>
      </c>
    </row>
    <row r="2299">
      <c r="A2299" s="6">
        <f>IFERROR(__xludf.DUMMYFUNCTION("""COMPUTED_VALUE"""),2024.0)</f>
        <v>2024</v>
      </c>
      <c r="B2299" s="6" t="str">
        <f>IFERROR(__xludf.DUMMYFUNCTION("""COMPUTED_VALUE"""),"Setembro")</f>
        <v>Setembro</v>
      </c>
      <c r="C2299" s="6" t="str">
        <f>IFERROR(__xludf.DUMMYFUNCTION("""COMPUTED_VALUE"""),"ESTUPRO CONSUMADO")</f>
        <v>ESTUPRO CONSUMADO</v>
      </c>
      <c r="D2299" s="6">
        <f>IFERROR(__xludf.DUMMYFUNCTION("""COMPUTED_VALUE"""),9.0)</f>
        <v>9</v>
      </c>
      <c r="E2299" s="6">
        <f>IFERROR(__xludf.DUMMYFUNCTION("""COMPUTED_VALUE"""),6.0)</f>
        <v>6</v>
      </c>
      <c r="F2299" s="6">
        <f>IFERROR(__xludf.DUMMYFUNCTION("""COMPUTED_VALUE"""),16.0)</f>
        <v>16</v>
      </c>
      <c r="G2299" s="6">
        <f>IFERROR(__xludf.DUMMYFUNCTION("""COMPUTED_VALUE"""),31.0)</f>
        <v>31</v>
      </c>
    </row>
    <row r="2300">
      <c r="A2300" s="6">
        <f>IFERROR(__xludf.DUMMYFUNCTION("""COMPUTED_VALUE"""),2024.0)</f>
        <v>2024</v>
      </c>
      <c r="B2300" s="6" t="str">
        <f>IFERROR(__xludf.DUMMYFUNCTION("""COMPUTED_VALUE"""),"Setembro")</f>
        <v>Setembro</v>
      </c>
      <c r="C2300" s="6" t="str">
        <f>IFERROR(__xludf.DUMMYFUNCTION("""COMPUTED_VALUE"""),"ESTUPRO TENTADO")</f>
        <v>ESTUPRO TENTADO</v>
      </c>
      <c r="D2300" s="6">
        <f>IFERROR(__xludf.DUMMYFUNCTION("""COMPUTED_VALUE"""),0.0)</f>
        <v>0</v>
      </c>
      <c r="E2300" s="6">
        <f>IFERROR(__xludf.DUMMYFUNCTION("""COMPUTED_VALUE"""),0.0)</f>
        <v>0</v>
      </c>
      <c r="F2300" s="6">
        <f>IFERROR(__xludf.DUMMYFUNCTION("""COMPUTED_VALUE"""),1.0)</f>
        <v>1</v>
      </c>
      <c r="G2300" s="6">
        <f>IFERROR(__xludf.DUMMYFUNCTION("""COMPUTED_VALUE"""),1.0)</f>
        <v>1</v>
      </c>
    </row>
    <row r="2301">
      <c r="A2301" s="6">
        <f>IFERROR(__xludf.DUMMYFUNCTION("""COMPUTED_VALUE"""),2024.0)</f>
        <v>2024</v>
      </c>
      <c r="B2301" s="6" t="str">
        <f>IFERROR(__xludf.DUMMYFUNCTION("""COMPUTED_VALUE"""),"Setembro")</f>
        <v>Setembro</v>
      </c>
      <c r="C2301" s="6" t="str">
        <f>IFERROR(__xludf.DUMMYFUNCTION("""COMPUTED_VALUE"""),"ESTUPRO DE VULNERÁVEL CONSUMADO")</f>
        <v>ESTUPRO DE VULNERÁVEL CONSUMADO</v>
      </c>
      <c r="D2301" s="6">
        <f>IFERROR(__xludf.DUMMYFUNCTION("""COMPUTED_VALUE"""),2.0)</f>
        <v>2</v>
      </c>
      <c r="E2301" s="6">
        <f>IFERROR(__xludf.DUMMYFUNCTION("""COMPUTED_VALUE"""),3.0)</f>
        <v>3</v>
      </c>
      <c r="F2301" s="6">
        <f>IFERROR(__xludf.DUMMYFUNCTION("""COMPUTED_VALUE"""),15.0)</f>
        <v>15</v>
      </c>
      <c r="G2301" s="6">
        <f>IFERROR(__xludf.DUMMYFUNCTION("""COMPUTED_VALUE"""),20.0)</f>
        <v>20</v>
      </c>
    </row>
    <row r="2302">
      <c r="A2302" s="6">
        <f>IFERROR(__xludf.DUMMYFUNCTION("""COMPUTED_VALUE"""),2024.0)</f>
        <v>2024</v>
      </c>
      <c r="B2302" s="6" t="str">
        <f>IFERROR(__xludf.DUMMYFUNCTION("""COMPUTED_VALUE"""),"Setembro")</f>
        <v>Setembro</v>
      </c>
      <c r="C2302" s="6" t="str">
        <f>IFERROR(__xludf.DUMMYFUNCTION("""COMPUTED_VALUE"""),"OUTROS C/C/ DIGNIDADE SEXUAL")</f>
        <v>OUTROS C/C/ DIGNIDADE SEXUAL</v>
      </c>
      <c r="D2302" s="6">
        <f>IFERROR(__xludf.DUMMYFUNCTION("""COMPUTED_VALUE"""),0.0)</f>
        <v>0</v>
      </c>
      <c r="E2302" s="6">
        <f>IFERROR(__xludf.DUMMYFUNCTION("""COMPUTED_VALUE"""),0.0)</f>
        <v>0</v>
      </c>
      <c r="F2302" s="6">
        <f>IFERROR(__xludf.DUMMYFUNCTION("""COMPUTED_VALUE"""),1.0)</f>
        <v>1</v>
      </c>
      <c r="G2302" s="6">
        <f>IFERROR(__xludf.DUMMYFUNCTION("""COMPUTED_VALUE"""),1.0)</f>
        <v>1</v>
      </c>
    </row>
    <row r="2303">
      <c r="A2303" s="6">
        <f>IFERROR(__xludf.DUMMYFUNCTION("""COMPUTED_VALUE"""),2024.0)</f>
        <v>2024</v>
      </c>
      <c r="B2303" s="6" t="str">
        <f>IFERROR(__xludf.DUMMYFUNCTION("""COMPUTED_VALUE"""),"Outubro")</f>
        <v>Outubro</v>
      </c>
      <c r="C2303" s="6" t="str">
        <f>IFERROR(__xludf.DUMMYFUNCTION("""COMPUTED_VALUE"""),"HOMICÍDIO DOLOSO (exclui FEMINICÍDIO)")</f>
        <v>HOMICÍDIO DOLOSO (exclui FEMINICÍDIO)</v>
      </c>
      <c r="D2303" s="6">
        <f>IFERROR(__xludf.DUMMYFUNCTION("""COMPUTED_VALUE"""),2.0)</f>
        <v>2</v>
      </c>
      <c r="E2303" s="6">
        <f>IFERROR(__xludf.DUMMYFUNCTION("""COMPUTED_VALUE"""),1.0)</f>
        <v>1</v>
      </c>
      <c r="F2303" s="6">
        <f>IFERROR(__xludf.DUMMYFUNCTION("""COMPUTED_VALUE"""),3.0)</f>
        <v>3</v>
      </c>
      <c r="G2303" s="6">
        <f>IFERROR(__xludf.DUMMYFUNCTION("""COMPUTED_VALUE"""),6.0)</f>
        <v>6</v>
      </c>
    </row>
    <row r="2304">
      <c r="A2304" s="6">
        <f>IFERROR(__xludf.DUMMYFUNCTION("""COMPUTED_VALUE"""),2024.0)</f>
        <v>2024</v>
      </c>
      <c r="B2304" s="6" t="str">
        <f>IFERROR(__xludf.DUMMYFUNCTION("""COMPUTED_VALUE"""),"Outubro")</f>
        <v>Outubro</v>
      </c>
      <c r="C2304" s="6" t="str">
        <f>IFERROR(__xludf.DUMMYFUNCTION("""COMPUTED_VALUE"""),"FEMINICÍDIO")</f>
        <v>FEMINICÍDIO</v>
      </c>
      <c r="D2304" s="6">
        <f>IFERROR(__xludf.DUMMYFUNCTION("""COMPUTED_VALUE"""),4.0)</f>
        <v>4</v>
      </c>
      <c r="E2304" s="6">
        <f>IFERROR(__xludf.DUMMYFUNCTION("""COMPUTED_VALUE"""),4.0)</f>
        <v>4</v>
      </c>
      <c r="F2304" s="6">
        <f>IFERROR(__xludf.DUMMYFUNCTION("""COMPUTED_VALUE"""),8.0)</f>
        <v>8</v>
      </c>
      <c r="G2304" s="6">
        <f>IFERROR(__xludf.DUMMYFUNCTION("""COMPUTED_VALUE"""),16.0)</f>
        <v>16</v>
      </c>
    </row>
    <row r="2305">
      <c r="A2305" s="6">
        <f>IFERROR(__xludf.DUMMYFUNCTION("""COMPUTED_VALUE"""),2024.0)</f>
        <v>2024</v>
      </c>
      <c r="B2305" s="6" t="str">
        <f>IFERROR(__xludf.DUMMYFUNCTION("""COMPUTED_VALUE"""),"Outubro")</f>
        <v>Outubro</v>
      </c>
      <c r="C2305" s="6" t="str">
        <f>IFERROR(__xludf.DUMMYFUNCTION("""COMPUTED_VALUE"""),"HOMICÍDIO CULPOSO")</f>
        <v>HOMICÍDIO CULPOSO</v>
      </c>
      <c r="D2305" s="6">
        <f>IFERROR(__xludf.DUMMYFUNCTION("""COMPUTED_VALUE"""),0.0)</f>
        <v>0</v>
      </c>
      <c r="E2305" s="6">
        <f>IFERROR(__xludf.DUMMYFUNCTION("""COMPUTED_VALUE"""),0.0)</f>
        <v>0</v>
      </c>
      <c r="F2305" s="6">
        <f>IFERROR(__xludf.DUMMYFUNCTION("""COMPUTED_VALUE"""),0.0)</f>
        <v>0</v>
      </c>
      <c r="G2305" s="6">
        <f>IFERROR(__xludf.DUMMYFUNCTION("""COMPUTED_VALUE"""),0.0)</f>
        <v>0</v>
      </c>
    </row>
    <row r="2306">
      <c r="A2306" s="6">
        <f>IFERROR(__xludf.DUMMYFUNCTION("""COMPUTED_VALUE"""),2024.0)</f>
        <v>2024</v>
      </c>
      <c r="B2306" s="6" t="str">
        <f>IFERROR(__xludf.DUMMYFUNCTION("""COMPUTED_VALUE"""),"Outubro")</f>
        <v>Outubro</v>
      </c>
      <c r="C2306" s="6" t="str">
        <f>IFERROR(__xludf.DUMMYFUNCTION("""COMPUTED_VALUE"""),"TENTATIVA DE HOMICÍDIO")</f>
        <v>TENTATIVA DE HOMICÍDIO</v>
      </c>
      <c r="D2306" s="6">
        <f>IFERROR(__xludf.DUMMYFUNCTION("""COMPUTED_VALUE"""),2.0)</f>
        <v>2</v>
      </c>
      <c r="E2306" s="6">
        <f>IFERROR(__xludf.DUMMYFUNCTION("""COMPUTED_VALUE"""),2.0)</f>
        <v>2</v>
      </c>
      <c r="F2306" s="6">
        <f>IFERROR(__xludf.DUMMYFUNCTION("""COMPUTED_VALUE"""),13.0)</f>
        <v>13</v>
      </c>
      <c r="G2306" s="6">
        <f>IFERROR(__xludf.DUMMYFUNCTION("""COMPUTED_VALUE"""),17.0)</f>
        <v>17</v>
      </c>
    </row>
    <row r="2307">
      <c r="A2307" s="6">
        <f>IFERROR(__xludf.DUMMYFUNCTION("""COMPUTED_VALUE"""),2024.0)</f>
        <v>2024</v>
      </c>
      <c r="B2307" s="6" t="str">
        <f>IFERROR(__xludf.DUMMYFUNCTION("""COMPUTED_VALUE"""),"Outubro")</f>
        <v>Outubro</v>
      </c>
      <c r="C2307" s="6" t="str">
        <f>IFERROR(__xludf.DUMMYFUNCTION("""COMPUTED_VALUE"""),"LESÃO CORPORAL DOLOSA")</f>
        <v>LESÃO CORPORAL DOLOSA</v>
      </c>
      <c r="D2307" s="6">
        <f>IFERROR(__xludf.DUMMYFUNCTION("""COMPUTED_VALUE"""),1014.0)</f>
        <v>1014</v>
      </c>
      <c r="E2307" s="6">
        <f>IFERROR(__xludf.DUMMYFUNCTION("""COMPUTED_VALUE"""),864.0)</f>
        <v>864</v>
      </c>
      <c r="F2307" s="6">
        <f>IFERROR(__xludf.DUMMYFUNCTION("""COMPUTED_VALUE"""),3118.0)</f>
        <v>3118</v>
      </c>
      <c r="G2307" s="6">
        <f>IFERROR(__xludf.DUMMYFUNCTION("""COMPUTED_VALUE"""),4996.0)</f>
        <v>4996</v>
      </c>
    </row>
    <row r="2308">
      <c r="A2308" s="6">
        <f>IFERROR(__xludf.DUMMYFUNCTION("""COMPUTED_VALUE"""),2024.0)</f>
        <v>2024</v>
      </c>
      <c r="B2308" s="6" t="str">
        <f>IFERROR(__xludf.DUMMYFUNCTION("""COMPUTED_VALUE"""),"Outubro")</f>
        <v>Outubro</v>
      </c>
      <c r="C2308" s="6" t="str">
        <f>IFERROR(__xludf.DUMMYFUNCTION("""COMPUTED_VALUE"""),"MAUS TRATOS")</f>
        <v>MAUS TRATOS</v>
      </c>
      <c r="D2308" s="6">
        <f>IFERROR(__xludf.DUMMYFUNCTION("""COMPUTED_VALUE"""),3.0)</f>
        <v>3</v>
      </c>
      <c r="E2308" s="6">
        <f>IFERROR(__xludf.DUMMYFUNCTION("""COMPUTED_VALUE"""),2.0)</f>
        <v>2</v>
      </c>
      <c r="F2308" s="6">
        <f>IFERROR(__xludf.DUMMYFUNCTION("""COMPUTED_VALUE"""),18.0)</f>
        <v>18</v>
      </c>
      <c r="G2308" s="6">
        <f>IFERROR(__xludf.DUMMYFUNCTION("""COMPUTED_VALUE"""),23.0)</f>
        <v>23</v>
      </c>
    </row>
    <row r="2309">
      <c r="A2309" s="6">
        <f>IFERROR(__xludf.DUMMYFUNCTION("""COMPUTED_VALUE"""),2024.0)</f>
        <v>2024</v>
      </c>
      <c r="B2309" s="6" t="str">
        <f>IFERROR(__xludf.DUMMYFUNCTION("""COMPUTED_VALUE"""),"Outubro")</f>
        <v>Outubro</v>
      </c>
      <c r="C2309" s="6" t="str">
        <f>IFERROR(__xludf.DUMMYFUNCTION("""COMPUTED_VALUE"""),"CALÚNIA - DIFAMAÇÃO - INJÚRIA")</f>
        <v>CALÚNIA - DIFAMAÇÃO - INJÚRIA</v>
      </c>
      <c r="D2309" s="6">
        <f>IFERROR(__xludf.DUMMYFUNCTION("""COMPUTED_VALUE"""),198.0)</f>
        <v>198</v>
      </c>
      <c r="E2309" s="6">
        <f>IFERROR(__xludf.DUMMYFUNCTION("""COMPUTED_VALUE"""),168.0)</f>
        <v>168</v>
      </c>
      <c r="F2309" s="6">
        <f>IFERROR(__xludf.DUMMYFUNCTION("""COMPUTED_VALUE"""),724.0)</f>
        <v>724</v>
      </c>
      <c r="G2309" s="6">
        <f>IFERROR(__xludf.DUMMYFUNCTION("""COMPUTED_VALUE"""),1090.0)</f>
        <v>1090</v>
      </c>
    </row>
    <row r="2310">
      <c r="A2310" s="6">
        <f>IFERROR(__xludf.DUMMYFUNCTION("""COMPUTED_VALUE"""),2024.0)</f>
        <v>2024</v>
      </c>
      <c r="B2310" s="6" t="str">
        <f>IFERROR(__xludf.DUMMYFUNCTION("""COMPUTED_VALUE"""),"Outubro")</f>
        <v>Outubro</v>
      </c>
      <c r="C2310" s="6" t="str">
        <f>IFERROR(__xludf.DUMMYFUNCTION("""COMPUTED_VALUE"""),"CONSTRANGIMENTO ILEGAL")</f>
        <v>CONSTRANGIMENTO ILEGAL</v>
      </c>
      <c r="D2310" s="6">
        <f>IFERROR(__xludf.DUMMYFUNCTION("""COMPUTED_VALUE"""),1.0)</f>
        <v>1</v>
      </c>
      <c r="E2310" s="6">
        <f>IFERROR(__xludf.DUMMYFUNCTION("""COMPUTED_VALUE"""),1.0)</f>
        <v>1</v>
      </c>
      <c r="F2310" s="6">
        <f>IFERROR(__xludf.DUMMYFUNCTION("""COMPUTED_VALUE"""),7.0)</f>
        <v>7</v>
      </c>
      <c r="G2310" s="6">
        <f>IFERROR(__xludf.DUMMYFUNCTION("""COMPUTED_VALUE"""),9.0)</f>
        <v>9</v>
      </c>
    </row>
    <row r="2311">
      <c r="A2311" s="6">
        <f>IFERROR(__xludf.DUMMYFUNCTION("""COMPUTED_VALUE"""),2024.0)</f>
        <v>2024</v>
      </c>
      <c r="B2311" s="6" t="str">
        <f>IFERROR(__xludf.DUMMYFUNCTION("""COMPUTED_VALUE"""),"Outubro")</f>
        <v>Outubro</v>
      </c>
      <c r="C2311" s="6" t="str">
        <f>IFERROR(__xludf.DUMMYFUNCTION("""COMPUTED_VALUE"""),"AMEAÇA")</f>
        <v>AMEAÇA</v>
      </c>
      <c r="D2311" s="6">
        <f>IFERROR(__xludf.DUMMYFUNCTION("""COMPUTED_VALUE"""),948.0)</f>
        <v>948</v>
      </c>
      <c r="E2311" s="6">
        <f>IFERROR(__xludf.DUMMYFUNCTION("""COMPUTED_VALUE"""),852.0)</f>
        <v>852</v>
      </c>
      <c r="F2311" s="6">
        <f>IFERROR(__xludf.DUMMYFUNCTION("""COMPUTED_VALUE"""),3214.0)</f>
        <v>3214</v>
      </c>
      <c r="G2311" s="6">
        <f>IFERROR(__xludf.DUMMYFUNCTION("""COMPUTED_VALUE"""),5014.0)</f>
        <v>5014</v>
      </c>
    </row>
    <row r="2312">
      <c r="A2312" s="6">
        <f>IFERROR(__xludf.DUMMYFUNCTION("""COMPUTED_VALUE"""),2024.0)</f>
        <v>2024</v>
      </c>
      <c r="B2312" s="6" t="str">
        <f>IFERROR(__xludf.DUMMYFUNCTION("""COMPUTED_VALUE"""),"Outubro")</f>
        <v>Outubro</v>
      </c>
      <c r="C2312" s="6" t="str">
        <f>IFERROR(__xludf.DUMMYFUNCTION("""COMPUTED_VALUE"""),"INVASÃO DE DOMICÍLIO")</f>
        <v>INVASÃO DE DOMICÍLIO</v>
      </c>
      <c r="D2312" s="6">
        <f>IFERROR(__xludf.DUMMYFUNCTION("""COMPUTED_VALUE"""),1.0)</f>
        <v>1</v>
      </c>
      <c r="E2312" s="6">
        <f>IFERROR(__xludf.DUMMYFUNCTION("""COMPUTED_VALUE"""),2.0)</f>
        <v>2</v>
      </c>
      <c r="F2312" s="6">
        <f>IFERROR(__xludf.DUMMYFUNCTION("""COMPUTED_VALUE"""),13.0)</f>
        <v>13</v>
      </c>
      <c r="G2312" s="6">
        <f>IFERROR(__xludf.DUMMYFUNCTION("""COMPUTED_VALUE"""),16.0)</f>
        <v>16</v>
      </c>
    </row>
    <row r="2313">
      <c r="A2313" s="6">
        <f>IFERROR(__xludf.DUMMYFUNCTION("""COMPUTED_VALUE"""),2024.0)</f>
        <v>2024</v>
      </c>
      <c r="B2313" s="6" t="str">
        <f>IFERROR(__xludf.DUMMYFUNCTION("""COMPUTED_VALUE"""),"Outubro")</f>
        <v>Outubro</v>
      </c>
      <c r="C2313" s="6" t="str">
        <f>IFERROR(__xludf.DUMMYFUNCTION("""COMPUTED_VALUE"""),"DANO")</f>
        <v>DANO</v>
      </c>
      <c r="D2313" s="6">
        <f>IFERROR(__xludf.DUMMYFUNCTION("""COMPUTED_VALUE"""),11.0)</f>
        <v>11</v>
      </c>
      <c r="E2313" s="6">
        <f>IFERROR(__xludf.DUMMYFUNCTION("""COMPUTED_VALUE"""),11.0)</f>
        <v>11</v>
      </c>
      <c r="F2313" s="6">
        <f>IFERROR(__xludf.DUMMYFUNCTION("""COMPUTED_VALUE"""),62.0)</f>
        <v>62</v>
      </c>
      <c r="G2313" s="6">
        <f>IFERROR(__xludf.DUMMYFUNCTION("""COMPUTED_VALUE"""),84.0)</f>
        <v>84</v>
      </c>
    </row>
    <row r="2314">
      <c r="A2314" s="6">
        <f>IFERROR(__xludf.DUMMYFUNCTION("""COMPUTED_VALUE"""),2024.0)</f>
        <v>2024</v>
      </c>
      <c r="B2314" s="6" t="str">
        <f>IFERROR(__xludf.DUMMYFUNCTION("""COMPUTED_VALUE"""),"Outubro")</f>
        <v>Outubro</v>
      </c>
      <c r="C2314" s="6" t="str">
        <f>IFERROR(__xludf.DUMMYFUNCTION("""COMPUTED_VALUE"""),"ESTUPRO CONSUMADO")</f>
        <v>ESTUPRO CONSUMADO</v>
      </c>
      <c r="D2314" s="6">
        <f>IFERROR(__xludf.DUMMYFUNCTION("""COMPUTED_VALUE"""),10.0)</f>
        <v>10</v>
      </c>
      <c r="E2314" s="6">
        <f>IFERROR(__xludf.DUMMYFUNCTION("""COMPUTED_VALUE"""),7.0)</f>
        <v>7</v>
      </c>
      <c r="F2314" s="6">
        <f>IFERROR(__xludf.DUMMYFUNCTION("""COMPUTED_VALUE"""),19.0)</f>
        <v>19</v>
      </c>
      <c r="G2314" s="6">
        <f>IFERROR(__xludf.DUMMYFUNCTION("""COMPUTED_VALUE"""),36.0)</f>
        <v>36</v>
      </c>
    </row>
    <row r="2315">
      <c r="A2315" s="6">
        <f>IFERROR(__xludf.DUMMYFUNCTION("""COMPUTED_VALUE"""),2024.0)</f>
        <v>2024</v>
      </c>
      <c r="B2315" s="6" t="str">
        <f>IFERROR(__xludf.DUMMYFUNCTION("""COMPUTED_VALUE"""),"Outubro")</f>
        <v>Outubro</v>
      </c>
      <c r="C2315" s="6" t="str">
        <f>IFERROR(__xludf.DUMMYFUNCTION("""COMPUTED_VALUE"""),"ESTUPRO TENTADO")</f>
        <v>ESTUPRO TENTADO</v>
      </c>
      <c r="D2315" s="6">
        <f>IFERROR(__xludf.DUMMYFUNCTION("""COMPUTED_VALUE"""),1.0)</f>
        <v>1</v>
      </c>
      <c r="E2315" s="6">
        <f>IFERROR(__xludf.DUMMYFUNCTION("""COMPUTED_VALUE"""),0.0)</f>
        <v>0</v>
      </c>
      <c r="F2315" s="6">
        <f>IFERROR(__xludf.DUMMYFUNCTION("""COMPUTED_VALUE"""),1.0)</f>
        <v>1</v>
      </c>
      <c r="G2315" s="6">
        <f>IFERROR(__xludf.DUMMYFUNCTION("""COMPUTED_VALUE"""),2.0)</f>
        <v>2</v>
      </c>
    </row>
    <row r="2316">
      <c r="A2316" s="6">
        <f>IFERROR(__xludf.DUMMYFUNCTION("""COMPUTED_VALUE"""),2024.0)</f>
        <v>2024</v>
      </c>
      <c r="B2316" s="6" t="str">
        <f>IFERROR(__xludf.DUMMYFUNCTION("""COMPUTED_VALUE"""),"Outubro")</f>
        <v>Outubro</v>
      </c>
      <c r="C2316" s="6" t="str">
        <f>IFERROR(__xludf.DUMMYFUNCTION("""COMPUTED_VALUE"""),"ESTUPRO DE VULNERÁVEL CONSUMADO")</f>
        <v>ESTUPRO DE VULNERÁVEL CONSUMADO</v>
      </c>
      <c r="D2316" s="6">
        <f>IFERROR(__xludf.DUMMYFUNCTION("""COMPUTED_VALUE"""),3.0)</f>
        <v>3</v>
      </c>
      <c r="E2316" s="6">
        <f>IFERROR(__xludf.DUMMYFUNCTION("""COMPUTED_VALUE"""),4.0)</f>
        <v>4</v>
      </c>
      <c r="F2316" s="6">
        <f>IFERROR(__xludf.DUMMYFUNCTION("""COMPUTED_VALUE"""),18.0)</f>
        <v>18</v>
      </c>
      <c r="G2316" s="6">
        <f>IFERROR(__xludf.DUMMYFUNCTION("""COMPUTED_VALUE"""),25.0)</f>
        <v>25</v>
      </c>
    </row>
    <row r="2317">
      <c r="A2317" s="6">
        <f>IFERROR(__xludf.DUMMYFUNCTION("""COMPUTED_VALUE"""),2024.0)</f>
        <v>2024</v>
      </c>
      <c r="B2317" s="6" t="str">
        <f>IFERROR(__xludf.DUMMYFUNCTION("""COMPUTED_VALUE"""),"Outubro")</f>
        <v>Outubro</v>
      </c>
      <c r="C2317" s="6" t="str">
        <f>IFERROR(__xludf.DUMMYFUNCTION("""COMPUTED_VALUE"""),"OUTROS C/C/ DIGNIDADE SEXUAL")</f>
        <v>OUTROS C/C/ DIGNIDADE SEXUAL</v>
      </c>
      <c r="D2317" s="6">
        <f>IFERROR(__xludf.DUMMYFUNCTION("""COMPUTED_VALUE"""),0.0)</f>
        <v>0</v>
      </c>
      <c r="E2317" s="6">
        <f>IFERROR(__xludf.DUMMYFUNCTION("""COMPUTED_VALUE"""),1.0)</f>
        <v>1</v>
      </c>
      <c r="F2317" s="6">
        <f>IFERROR(__xludf.DUMMYFUNCTION("""COMPUTED_VALUE"""),2.0)</f>
        <v>2</v>
      </c>
      <c r="G2317" s="6">
        <f>IFERROR(__xludf.DUMMYFUNCTION("""COMPUTED_VALUE"""),3.0)</f>
        <v>3</v>
      </c>
    </row>
    <row r="2318">
      <c r="A2318" s="6">
        <f>IFERROR(__xludf.DUMMYFUNCTION("""COMPUTED_VALUE"""),2024.0)</f>
        <v>2024</v>
      </c>
      <c r="B2318" s="6" t="str">
        <f>IFERROR(__xludf.DUMMYFUNCTION("""COMPUTED_VALUE"""),"Novembro")</f>
        <v>Novembro</v>
      </c>
      <c r="C2318" s="6" t="str">
        <f>IFERROR(__xludf.DUMMYFUNCTION("""COMPUTED_VALUE"""),"HOMICÍDIO DOLOSO (exclui FEMINICÍDIO)")</f>
        <v>HOMICÍDIO DOLOSO (exclui FEMINICÍDIO)</v>
      </c>
      <c r="D2318" s="6">
        <f>IFERROR(__xludf.DUMMYFUNCTION("""COMPUTED_VALUE"""),1.0)</f>
        <v>1</v>
      </c>
      <c r="E2318" s="6">
        <f>IFERROR(__xludf.DUMMYFUNCTION("""COMPUTED_VALUE"""),0.0)</f>
        <v>0</v>
      </c>
      <c r="F2318" s="6">
        <f>IFERROR(__xludf.DUMMYFUNCTION("""COMPUTED_VALUE"""),2.0)</f>
        <v>2</v>
      </c>
      <c r="G2318" s="6">
        <f>IFERROR(__xludf.DUMMYFUNCTION("""COMPUTED_VALUE"""),3.0)</f>
        <v>3</v>
      </c>
    </row>
    <row r="2319">
      <c r="A2319" s="6">
        <f>IFERROR(__xludf.DUMMYFUNCTION("""COMPUTED_VALUE"""),2024.0)</f>
        <v>2024</v>
      </c>
      <c r="B2319" s="6" t="str">
        <f>IFERROR(__xludf.DUMMYFUNCTION("""COMPUTED_VALUE"""),"Novembro")</f>
        <v>Novembro</v>
      </c>
      <c r="C2319" s="6" t="str">
        <f>IFERROR(__xludf.DUMMYFUNCTION("""COMPUTED_VALUE"""),"FEMINICÍDIO")</f>
        <v>FEMINICÍDIO</v>
      </c>
      <c r="D2319" s="6">
        <f>IFERROR(__xludf.DUMMYFUNCTION("""COMPUTED_VALUE"""),3.0)</f>
        <v>3</v>
      </c>
      <c r="E2319" s="6">
        <f>IFERROR(__xludf.DUMMYFUNCTION("""COMPUTED_VALUE"""),3.0)</f>
        <v>3</v>
      </c>
      <c r="F2319" s="6">
        <f>IFERROR(__xludf.DUMMYFUNCTION("""COMPUTED_VALUE"""),6.0)</f>
        <v>6</v>
      </c>
      <c r="G2319" s="6">
        <f>IFERROR(__xludf.DUMMYFUNCTION("""COMPUTED_VALUE"""),12.0)</f>
        <v>12</v>
      </c>
    </row>
    <row r="2320">
      <c r="A2320" s="6">
        <f>IFERROR(__xludf.DUMMYFUNCTION("""COMPUTED_VALUE"""),2024.0)</f>
        <v>2024</v>
      </c>
      <c r="B2320" s="6" t="str">
        <f>IFERROR(__xludf.DUMMYFUNCTION("""COMPUTED_VALUE"""),"Novembro")</f>
        <v>Novembro</v>
      </c>
      <c r="C2320" s="6" t="str">
        <f>IFERROR(__xludf.DUMMYFUNCTION("""COMPUTED_VALUE"""),"HOMICÍDIO CULPOSO")</f>
        <v>HOMICÍDIO CULPOSO</v>
      </c>
      <c r="D2320" s="6">
        <f>IFERROR(__xludf.DUMMYFUNCTION("""COMPUTED_VALUE"""),0.0)</f>
        <v>0</v>
      </c>
      <c r="E2320" s="6">
        <f>IFERROR(__xludf.DUMMYFUNCTION("""COMPUTED_VALUE"""),0.0)</f>
        <v>0</v>
      </c>
      <c r="F2320" s="6">
        <f>IFERROR(__xludf.DUMMYFUNCTION("""COMPUTED_VALUE"""),0.0)</f>
        <v>0</v>
      </c>
      <c r="G2320" s="6">
        <f>IFERROR(__xludf.DUMMYFUNCTION("""COMPUTED_VALUE"""),0.0)</f>
        <v>0</v>
      </c>
    </row>
    <row r="2321">
      <c r="A2321" s="6">
        <f>IFERROR(__xludf.DUMMYFUNCTION("""COMPUTED_VALUE"""),2024.0)</f>
        <v>2024</v>
      </c>
      <c r="B2321" s="6" t="str">
        <f>IFERROR(__xludf.DUMMYFUNCTION("""COMPUTED_VALUE"""),"Novembro")</f>
        <v>Novembro</v>
      </c>
      <c r="C2321" s="6" t="str">
        <f>IFERROR(__xludf.DUMMYFUNCTION("""COMPUTED_VALUE"""),"TENTATIVA DE HOMICÍDIO")</f>
        <v>TENTATIVA DE HOMICÍDIO</v>
      </c>
      <c r="D2321" s="6">
        <f>IFERROR(__xludf.DUMMYFUNCTION("""COMPUTED_VALUE"""),1.0)</f>
        <v>1</v>
      </c>
      <c r="E2321" s="6">
        <f>IFERROR(__xludf.DUMMYFUNCTION("""COMPUTED_VALUE"""),1.0)</f>
        <v>1</v>
      </c>
      <c r="F2321" s="6">
        <f>IFERROR(__xludf.DUMMYFUNCTION("""COMPUTED_VALUE"""),11.0)</f>
        <v>11</v>
      </c>
      <c r="G2321" s="6">
        <f>IFERROR(__xludf.DUMMYFUNCTION("""COMPUTED_VALUE"""),13.0)</f>
        <v>13</v>
      </c>
    </row>
    <row r="2322">
      <c r="A2322" s="6">
        <f>IFERROR(__xludf.DUMMYFUNCTION("""COMPUTED_VALUE"""),2024.0)</f>
        <v>2024</v>
      </c>
      <c r="B2322" s="6" t="str">
        <f>IFERROR(__xludf.DUMMYFUNCTION("""COMPUTED_VALUE"""),"Novembro")</f>
        <v>Novembro</v>
      </c>
      <c r="C2322" s="6" t="str">
        <f>IFERROR(__xludf.DUMMYFUNCTION("""COMPUTED_VALUE"""),"LESÃO CORPORAL DOLOSA")</f>
        <v>LESÃO CORPORAL DOLOSA</v>
      </c>
      <c r="D2322" s="6">
        <f>IFERROR(__xludf.DUMMYFUNCTION("""COMPUTED_VALUE"""),912.0)</f>
        <v>912</v>
      </c>
      <c r="E2322" s="6">
        <f>IFERROR(__xludf.DUMMYFUNCTION("""COMPUTED_VALUE"""),784.0)</f>
        <v>784</v>
      </c>
      <c r="F2322" s="6">
        <f>IFERROR(__xludf.DUMMYFUNCTION("""COMPUTED_VALUE"""),2814.0)</f>
        <v>2814</v>
      </c>
      <c r="G2322" s="6">
        <f>IFERROR(__xludf.DUMMYFUNCTION("""COMPUTED_VALUE"""),4510.0)</f>
        <v>4510</v>
      </c>
    </row>
    <row r="2323">
      <c r="A2323" s="6">
        <f>IFERROR(__xludf.DUMMYFUNCTION("""COMPUTED_VALUE"""),2024.0)</f>
        <v>2024</v>
      </c>
      <c r="B2323" s="6" t="str">
        <f>IFERROR(__xludf.DUMMYFUNCTION("""COMPUTED_VALUE"""),"Novembro")</f>
        <v>Novembro</v>
      </c>
      <c r="C2323" s="6" t="str">
        <f>IFERROR(__xludf.DUMMYFUNCTION("""COMPUTED_VALUE"""),"MAUS TRATOS")</f>
        <v>MAUS TRATOS</v>
      </c>
      <c r="D2323" s="6">
        <f>IFERROR(__xludf.DUMMYFUNCTION("""COMPUTED_VALUE"""),2.0)</f>
        <v>2</v>
      </c>
      <c r="E2323" s="6">
        <f>IFERROR(__xludf.DUMMYFUNCTION("""COMPUTED_VALUE"""),2.0)</f>
        <v>2</v>
      </c>
      <c r="F2323" s="6">
        <f>IFERROR(__xludf.DUMMYFUNCTION("""COMPUTED_VALUE"""),14.0)</f>
        <v>14</v>
      </c>
      <c r="G2323" s="6">
        <f>IFERROR(__xludf.DUMMYFUNCTION("""COMPUTED_VALUE"""),18.0)</f>
        <v>18</v>
      </c>
    </row>
    <row r="2324">
      <c r="A2324" s="6">
        <f>IFERROR(__xludf.DUMMYFUNCTION("""COMPUTED_VALUE"""),2024.0)</f>
        <v>2024</v>
      </c>
      <c r="B2324" s="6" t="str">
        <f>IFERROR(__xludf.DUMMYFUNCTION("""COMPUTED_VALUE"""),"Novembro")</f>
        <v>Novembro</v>
      </c>
      <c r="C2324" s="6" t="str">
        <f>IFERROR(__xludf.DUMMYFUNCTION("""COMPUTED_VALUE"""),"CALÚNIA - DIFAMAÇÃO - INJÚRIA")</f>
        <v>CALÚNIA - DIFAMAÇÃO - INJÚRIA</v>
      </c>
      <c r="D2324" s="6">
        <f>IFERROR(__xludf.DUMMYFUNCTION("""COMPUTED_VALUE"""),178.0)</f>
        <v>178</v>
      </c>
      <c r="E2324" s="6">
        <f>IFERROR(__xludf.DUMMYFUNCTION("""COMPUTED_VALUE"""),151.0)</f>
        <v>151</v>
      </c>
      <c r="F2324" s="6">
        <f>IFERROR(__xludf.DUMMYFUNCTION("""COMPUTED_VALUE"""),654.0)</f>
        <v>654</v>
      </c>
      <c r="G2324" s="6">
        <f>IFERROR(__xludf.DUMMYFUNCTION("""COMPUTED_VALUE"""),983.0)</f>
        <v>983</v>
      </c>
    </row>
    <row r="2325">
      <c r="A2325" s="6">
        <f>IFERROR(__xludf.DUMMYFUNCTION("""COMPUTED_VALUE"""),2024.0)</f>
        <v>2024</v>
      </c>
      <c r="B2325" s="6" t="str">
        <f>IFERROR(__xludf.DUMMYFUNCTION("""COMPUTED_VALUE"""),"Novembro")</f>
        <v>Novembro</v>
      </c>
      <c r="C2325" s="6" t="str">
        <f>IFERROR(__xludf.DUMMYFUNCTION("""COMPUTED_VALUE"""),"CONSTRANGIMENTO ILEGAL")</f>
        <v>CONSTRANGIMENTO ILEGAL</v>
      </c>
      <c r="D2325" s="6">
        <f>IFERROR(__xludf.DUMMYFUNCTION("""COMPUTED_VALUE"""),1.0)</f>
        <v>1</v>
      </c>
      <c r="E2325" s="6">
        <f>IFERROR(__xludf.DUMMYFUNCTION("""COMPUTED_VALUE"""),0.0)</f>
        <v>0</v>
      </c>
      <c r="F2325" s="6">
        <f>IFERROR(__xludf.DUMMYFUNCTION("""COMPUTED_VALUE"""),5.0)</f>
        <v>5</v>
      </c>
      <c r="G2325" s="6">
        <f>IFERROR(__xludf.DUMMYFUNCTION("""COMPUTED_VALUE"""),6.0)</f>
        <v>6</v>
      </c>
    </row>
    <row r="2326">
      <c r="A2326" s="6">
        <f>IFERROR(__xludf.DUMMYFUNCTION("""COMPUTED_VALUE"""),2024.0)</f>
        <v>2024</v>
      </c>
      <c r="B2326" s="6" t="str">
        <f>IFERROR(__xludf.DUMMYFUNCTION("""COMPUTED_VALUE"""),"Novembro")</f>
        <v>Novembro</v>
      </c>
      <c r="C2326" s="6" t="str">
        <f>IFERROR(__xludf.DUMMYFUNCTION("""COMPUTED_VALUE"""),"AMEAÇA")</f>
        <v>AMEAÇA</v>
      </c>
      <c r="D2326" s="6">
        <f>IFERROR(__xludf.DUMMYFUNCTION("""COMPUTED_VALUE"""),842.0)</f>
        <v>842</v>
      </c>
      <c r="E2326" s="6">
        <f>IFERROR(__xludf.DUMMYFUNCTION("""COMPUTED_VALUE"""),771.0)</f>
        <v>771</v>
      </c>
      <c r="F2326" s="6">
        <f>IFERROR(__xludf.DUMMYFUNCTION("""COMPUTED_VALUE"""),2884.0)</f>
        <v>2884</v>
      </c>
      <c r="G2326" s="6">
        <f>IFERROR(__xludf.DUMMYFUNCTION("""COMPUTED_VALUE"""),4497.0)</f>
        <v>4497</v>
      </c>
    </row>
    <row r="2327">
      <c r="A2327" s="6">
        <f>IFERROR(__xludf.DUMMYFUNCTION("""COMPUTED_VALUE"""),2024.0)</f>
        <v>2024</v>
      </c>
      <c r="B2327" s="6" t="str">
        <f>IFERROR(__xludf.DUMMYFUNCTION("""COMPUTED_VALUE"""),"Novembro")</f>
        <v>Novembro</v>
      </c>
      <c r="C2327" s="6" t="str">
        <f>IFERROR(__xludf.DUMMYFUNCTION("""COMPUTED_VALUE"""),"INVASÃO DE DOMICÍLIO")</f>
        <v>INVASÃO DE DOMICÍLIO</v>
      </c>
      <c r="D2327" s="6">
        <f>IFERROR(__xludf.DUMMYFUNCTION("""COMPUTED_VALUE"""),1.0)</f>
        <v>1</v>
      </c>
      <c r="E2327" s="6">
        <f>IFERROR(__xludf.DUMMYFUNCTION("""COMPUTED_VALUE"""),1.0)</f>
        <v>1</v>
      </c>
      <c r="F2327" s="6">
        <f>IFERROR(__xludf.DUMMYFUNCTION("""COMPUTED_VALUE"""),11.0)</f>
        <v>11</v>
      </c>
      <c r="G2327" s="6">
        <f>IFERROR(__xludf.DUMMYFUNCTION("""COMPUTED_VALUE"""),13.0)</f>
        <v>13</v>
      </c>
    </row>
    <row r="2328">
      <c r="A2328" s="6">
        <f>IFERROR(__xludf.DUMMYFUNCTION("""COMPUTED_VALUE"""),2024.0)</f>
        <v>2024</v>
      </c>
      <c r="B2328" s="6" t="str">
        <f>IFERROR(__xludf.DUMMYFUNCTION("""COMPUTED_VALUE"""),"Novembro")</f>
        <v>Novembro</v>
      </c>
      <c r="C2328" s="6" t="str">
        <f>IFERROR(__xludf.DUMMYFUNCTION("""COMPUTED_VALUE"""),"DANO")</f>
        <v>DANO</v>
      </c>
      <c r="D2328" s="6">
        <f>IFERROR(__xludf.DUMMYFUNCTION("""COMPUTED_VALUE"""),9.0)</f>
        <v>9</v>
      </c>
      <c r="E2328" s="6">
        <f>IFERROR(__xludf.DUMMYFUNCTION("""COMPUTED_VALUE"""),9.0)</f>
        <v>9</v>
      </c>
      <c r="F2328" s="6">
        <f>IFERROR(__xludf.DUMMYFUNCTION("""COMPUTED_VALUE"""),51.0)</f>
        <v>51</v>
      </c>
      <c r="G2328" s="6">
        <f>IFERROR(__xludf.DUMMYFUNCTION("""COMPUTED_VALUE"""),69.0)</f>
        <v>69</v>
      </c>
    </row>
    <row r="2329">
      <c r="A2329" s="6">
        <f>IFERROR(__xludf.DUMMYFUNCTION("""COMPUTED_VALUE"""),2024.0)</f>
        <v>2024</v>
      </c>
      <c r="B2329" s="6" t="str">
        <f>IFERROR(__xludf.DUMMYFUNCTION("""COMPUTED_VALUE"""),"Novembro")</f>
        <v>Novembro</v>
      </c>
      <c r="C2329" s="6" t="str">
        <f>IFERROR(__xludf.DUMMYFUNCTION("""COMPUTED_VALUE"""),"ESTUPRO CONSUMADO")</f>
        <v>ESTUPRO CONSUMADO</v>
      </c>
      <c r="D2329" s="6">
        <f>IFERROR(__xludf.DUMMYFUNCTION("""COMPUTED_VALUE"""),9.0)</f>
        <v>9</v>
      </c>
      <c r="E2329" s="6">
        <f>IFERROR(__xludf.DUMMYFUNCTION("""COMPUTED_VALUE"""),6.0)</f>
        <v>6</v>
      </c>
      <c r="F2329" s="6">
        <f>IFERROR(__xludf.DUMMYFUNCTION("""COMPUTED_VALUE"""),16.0)</f>
        <v>16</v>
      </c>
      <c r="G2329" s="6">
        <f>IFERROR(__xludf.DUMMYFUNCTION("""COMPUTED_VALUE"""),31.0)</f>
        <v>31</v>
      </c>
    </row>
    <row r="2330">
      <c r="A2330" s="6">
        <f>IFERROR(__xludf.DUMMYFUNCTION("""COMPUTED_VALUE"""),2024.0)</f>
        <v>2024</v>
      </c>
      <c r="B2330" s="6" t="str">
        <f>IFERROR(__xludf.DUMMYFUNCTION("""COMPUTED_VALUE"""),"Novembro")</f>
        <v>Novembro</v>
      </c>
      <c r="C2330" s="6" t="str">
        <f>IFERROR(__xludf.DUMMYFUNCTION("""COMPUTED_VALUE"""),"ESTUPRO TENTADO")</f>
        <v>ESTUPRO TENTADO</v>
      </c>
      <c r="D2330" s="6">
        <f>IFERROR(__xludf.DUMMYFUNCTION("""COMPUTED_VALUE"""),0.0)</f>
        <v>0</v>
      </c>
      <c r="E2330" s="6">
        <f>IFERROR(__xludf.DUMMYFUNCTION("""COMPUTED_VALUE"""),0.0)</f>
        <v>0</v>
      </c>
      <c r="F2330" s="6">
        <f>IFERROR(__xludf.DUMMYFUNCTION("""COMPUTED_VALUE"""),1.0)</f>
        <v>1</v>
      </c>
      <c r="G2330" s="6">
        <f>IFERROR(__xludf.DUMMYFUNCTION("""COMPUTED_VALUE"""),1.0)</f>
        <v>1</v>
      </c>
    </row>
    <row r="2331">
      <c r="A2331" s="6">
        <f>IFERROR(__xludf.DUMMYFUNCTION("""COMPUTED_VALUE"""),2024.0)</f>
        <v>2024</v>
      </c>
      <c r="B2331" s="6" t="str">
        <f>IFERROR(__xludf.DUMMYFUNCTION("""COMPUTED_VALUE"""),"Novembro")</f>
        <v>Novembro</v>
      </c>
      <c r="C2331" s="6" t="str">
        <f>IFERROR(__xludf.DUMMYFUNCTION("""COMPUTED_VALUE"""),"ESTUPRO DE VULNERÁVEL CONSUMADO")</f>
        <v>ESTUPRO DE VULNERÁVEL CONSUMADO</v>
      </c>
      <c r="D2331" s="6">
        <f>IFERROR(__xludf.DUMMYFUNCTION("""COMPUTED_VALUE"""),2.0)</f>
        <v>2</v>
      </c>
      <c r="E2331" s="6">
        <f>IFERROR(__xludf.DUMMYFUNCTION("""COMPUTED_VALUE"""),3.0)</f>
        <v>3</v>
      </c>
      <c r="F2331" s="6">
        <f>IFERROR(__xludf.DUMMYFUNCTION("""COMPUTED_VALUE"""),15.0)</f>
        <v>15</v>
      </c>
      <c r="G2331" s="6">
        <f>IFERROR(__xludf.DUMMYFUNCTION("""COMPUTED_VALUE"""),20.0)</f>
        <v>20</v>
      </c>
    </row>
    <row r="2332">
      <c r="A2332" s="6">
        <f>IFERROR(__xludf.DUMMYFUNCTION("""COMPUTED_VALUE"""),2024.0)</f>
        <v>2024</v>
      </c>
      <c r="B2332" s="6" t="str">
        <f>IFERROR(__xludf.DUMMYFUNCTION("""COMPUTED_VALUE"""),"Novembro")</f>
        <v>Novembro</v>
      </c>
      <c r="C2332" s="6" t="str">
        <f>IFERROR(__xludf.DUMMYFUNCTION("""COMPUTED_VALUE"""),"OUTROS C/C/ DIGNIDADE SEXUAL")</f>
        <v>OUTROS C/C/ DIGNIDADE SEXUAL</v>
      </c>
      <c r="D2332" s="6">
        <f>IFERROR(__xludf.DUMMYFUNCTION("""COMPUTED_VALUE"""),0.0)</f>
        <v>0</v>
      </c>
      <c r="E2332" s="6">
        <f>IFERROR(__xludf.DUMMYFUNCTION("""COMPUTED_VALUE"""),0.0)</f>
        <v>0</v>
      </c>
      <c r="F2332" s="6">
        <f>IFERROR(__xludf.DUMMYFUNCTION("""COMPUTED_VALUE"""),1.0)</f>
        <v>1</v>
      </c>
      <c r="G2332" s="6">
        <f>IFERROR(__xludf.DUMMYFUNCTION("""COMPUTED_VALUE"""),1.0)</f>
        <v>1</v>
      </c>
    </row>
    <row r="2333">
      <c r="A2333" s="6">
        <f>IFERROR(__xludf.DUMMYFUNCTION("""COMPUTED_VALUE"""),2024.0)</f>
        <v>2024</v>
      </c>
      <c r="B2333" s="6" t="str">
        <f>IFERROR(__xludf.DUMMYFUNCTION("""COMPUTED_VALUE"""),"Dezembro")</f>
        <v>Dezembro</v>
      </c>
      <c r="C2333" s="6" t="str">
        <f>IFERROR(__xludf.DUMMYFUNCTION("""COMPUTED_VALUE"""),"HOMICÍDIO DOLOSO (exclui FEMINICÍDIO)")</f>
        <v>HOMICÍDIO DOLOSO (exclui FEMINICÍDIO)</v>
      </c>
      <c r="D2333" s="6">
        <f>IFERROR(__xludf.DUMMYFUNCTION("""COMPUTED_VALUE"""),1.0)</f>
        <v>1</v>
      </c>
      <c r="E2333" s="6">
        <f>IFERROR(__xludf.DUMMYFUNCTION("""COMPUTED_VALUE"""),0.0)</f>
        <v>0</v>
      </c>
      <c r="F2333" s="6">
        <f>IFERROR(__xludf.DUMMYFUNCTION("""COMPUTED_VALUE"""),2.0)</f>
        <v>2</v>
      </c>
      <c r="G2333" s="6">
        <f>IFERROR(__xludf.DUMMYFUNCTION("""COMPUTED_VALUE"""),3.0)</f>
        <v>3</v>
      </c>
    </row>
    <row r="2334">
      <c r="A2334" s="6">
        <f>IFERROR(__xludf.DUMMYFUNCTION("""COMPUTED_VALUE"""),2024.0)</f>
        <v>2024</v>
      </c>
      <c r="B2334" s="6" t="str">
        <f>IFERROR(__xludf.DUMMYFUNCTION("""COMPUTED_VALUE"""),"Dezembro")</f>
        <v>Dezembro</v>
      </c>
      <c r="C2334" s="6" t="str">
        <f>IFERROR(__xludf.DUMMYFUNCTION("""COMPUTED_VALUE"""),"FEMINICÍDIO")</f>
        <v>FEMINICÍDIO</v>
      </c>
      <c r="D2334" s="6">
        <f>IFERROR(__xludf.DUMMYFUNCTION("""COMPUTED_VALUE"""),4.0)</f>
        <v>4</v>
      </c>
      <c r="E2334" s="6">
        <f>IFERROR(__xludf.DUMMYFUNCTION("""COMPUTED_VALUE"""),4.0)</f>
        <v>4</v>
      </c>
      <c r="F2334" s="6">
        <f>IFERROR(__xludf.DUMMYFUNCTION("""COMPUTED_VALUE"""),8.0)</f>
        <v>8</v>
      </c>
      <c r="G2334" s="6">
        <f>IFERROR(__xludf.DUMMYFUNCTION("""COMPUTED_VALUE"""),16.0)</f>
        <v>16</v>
      </c>
    </row>
    <row r="2335">
      <c r="A2335" s="6">
        <f>IFERROR(__xludf.DUMMYFUNCTION("""COMPUTED_VALUE"""),2024.0)</f>
        <v>2024</v>
      </c>
      <c r="B2335" s="6" t="str">
        <f>IFERROR(__xludf.DUMMYFUNCTION("""COMPUTED_VALUE"""),"Dezembro")</f>
        <v>Dezembro</v>
      </c>
      <c r="C2335" s="6" t="str">
        <f>IFERROR(__xludf.DUMMYFUNCTION("""COMPUTED_VALUE"""),"HOMICÍDIO CULPOSO")</f>
        <v>HOMICÍDIO CULPOSO</v>
      </c>
      <c r="D2335" s="6">
        <f>IFERROR(__xludf.DUMMYFUNCTION("""COMPUTED_VALUE"""),0.0)</f>
        <v>0</v>
      </c>
      <c r="E2335" s="6">
        <f>IFERROR(__xludf.DUMMYFUNCTION("""COMPUTED_VALUE"""),0.0)</f>
        <v>0</v>
      </c>
      <c r="F2335" s="6">
        <f>IFERROR(__xludf.DUMMYFUNCTION("""COMPUTED_VALUE"""),0.0)</f>
        <v>0</v>
      </c>
      <c r="G2335" s="6">
        <f>IFERROR(__xludf.DUMMYFUNCTION("""COMPUTED_VALUE"""),0.0)</f>
        <v>0</v>
      </c>
    </row>
    <row r="2336">
      <c r="A2336" s="6">
        <f>IFERROR(__xludf.DUMMYFUNCTION("""COMPUTED_VALUE"""),2024.0)</f>
        <v>2024</v>
      </c>
      <c r="B2336" s="6" t="str">
        <f>IFERROR(__xludf.DUMMYFUNCTION("""COMPUTED_VALUE"""),"Dezembro")</f>
        <v>Dezembro</v>
      </c>
      <c r="C2336" s="6" t="str">
        <f>IFERROR(__xludf.DUMMYFUNCTION("""COMPUTED_VALUE"""),"TENTATIVA DE HOMICÍDIO")</f>
        <v>TENTATIVA DE HOMICÍDIO</v>
      </c>
      <c r="D2336" s="6">
        <f>IFERROR(__xludf.DUMMYFUNCTION("""COMPUTED_VALUE"""),1.0)</f>
        <v>1</v>
      </c>
      <c r="E2336" s="6">
        <f>IFERROR(__xludf.DUMMYFUNCTION("""COMPUTED_VALUE"""),1.0)</f>
        <v>1</v>
      </c>
      <c r="F2336" s="6">
        <f>IFERROR(__xludf.DUMMYFUNCTION("""COMPUTED_VALUE"""),11.0)</f>
        <v>11</v>
      </c>
      <c r="G2336" s="6">
        <f>IFERROR(__xludf.DUMMYFUNCTION("""COMPUTED_VALUE"""),13.0)</f>
        <v>13</v>
      </c>
    </row>
    <row r="2337">
      <c r="A2337" s="6">
        <f>IFERROR(__xludf.DUMMYFUNCTION("""COMPUTED_VALUE"""),2024.0)</f>
        <v>2024</v>
      </c>
      <c r="B2337" s="6" t="str">
        <f>IFERROR(__xludf.DUMMYFUNCTION("""COMPUTED_VALUE"""),"Dezembro")</f>
        <v>Dezembro</v>
      </c>
      <c r="C2337" s="6" t="str">
        <f>IFERROR(__xludf.DUMMYFUNCTION("""COMPUTED_VALUE"""),"LESÃO CORPORAL DOLOSA")</f>
        <v>LESÃO CORPORAL DOLOSA</v>
      </c>
      <c r="D2337" s="6">
        <f>IFERROR(__xludf.DUMMYFUNCTION("""COMPUTED_VALUE"""),912.0)</f>
        <v>912</v>
      </c>
      <c r="E2337" s="6">
        <f>IFERROR(__xludf.DUMMYFUNCTION("""COMPUTED_VALUE"""),784.0)</f>
        <v>784</v>
      </c>
      <c r="F2337" s="6">
        <f>IFERROR(__xludf.DUMMYFUNCTION("""COMPUTED_VALUE"""),2814.0)</f>
        <v>2814</v>
      </c>
      <c r="G2337" s="6">
        <f>IFERROR(__xludf.DUMMYFUNCTION("""COMPUTED_VALUE"""),4510.0)</f>
        <v>4510</v>
      </c>
    </row>
    <row r="2338">
      <c r="A2338" s="6">
        <f>IFERROR(__xludf.DUMMYFUNCTION("""COMPUTED_VALUE"""),2024.0)</f>
        <v>2024</v>
      </c>
      <c r="B2338" s="6" t="str">
        <f>IFERROR(__xludf.DUMMYFUNCTION("""COMPUTED_VALUE"""),"Dezembro")</f>
        <v>Dezembro</v>
      </c>
      <c r="C2338" s="6" t="str">
        <f>IFERROR(__xludf.DUMMYFUNCTION("""COMPUTED_VALUE"""),"MAUS TRATOS")</f>
        <v>MAUS TRATOS</v>
      </c>
      <c r="D2338" s="6">
        <f>IFERROR(__xludf.DUMMYFUNCTION("""COMPUTED_VALUE"""),2.0)</f>
        <v>2</v>
      </c>
      <c r="E2338" s="6">
        <f>IFERROR(__xludf.DUMMYFUNCTION("""COMPUTED_VALUE"""),2.0)</f>
        <v>2</v>
      </c>
      <c r="F2338" s="6">
        <f>IFERROR(__xludf.DUMMYFUNCTION("""COMPUTED_VALUE"""),14.0)</f>
        <v>14</v>
      </c>
      <c r="G2338" s="6">
        <f>IFERROR(__xludf.DUMMYFUNCTION("""COMPUTED_VALUE"""),18.0)</f>
        <v>18</v>
      </c>
    </row>
    <row r="2339">
      <c r="A2339" s="6">
        <f>IFERROR(__xludf.DUMMYFUNCTION("""COMPUTED_VALUE"""),2024.0)</f>
        <v>2024</v>
      </c>
      <c r="B2339" s="6" t="str">
        <f>IFERROR(__xludf.DUMMYFUNCTION("""COMPUTED_VALUE"""),"Dezembro")</f>
        <v>Dezembro</v>
      </c>
      <c r="C2339" s="6" t="str">
        <f>IFERROR(__xludf.DUMMYFUNCTION("""COMPUTED_VALUE"""),"CALÚNIA - DIFAMAÇÃO - INJÚRIA")</f>
        <v>CALÚNIA - DIFAMAÇÃO - INJÚRIA</v>
      </c>
      <c r="D2339" s="6">
        <f>IFERROR(__xludf.DUMMYFUNCTION("""COMPUTED_VALUE"""),178.0)</f>
        <v>178</v>
      </c>
      <c r="E2339" s="6">
        <f>IFERROR(__xludf.DUMMYFUNCTION("""COMPUTED_VALUE"""),151.0)</f>
        <v>151</v>
      </c>
      <c r="F2339" s="6">
        <f>IFERROR(__xludf.DUMMYFUNCTION("""COMPUTED_VALUE"""),654.0)</f>
        <v>654</v>
      </c>
      <c r="G2339" s="6">
        <f>IFERROR(__xludf.DUMMYFUNCTION("""COMPUTED_VALUE"""),983.0)</f>
        <v>983</v>
      </c>
    </row>
    <row r="2340">
      <c r="A2340" s="6">
        <f>IFERROR(__xludf.DUMMYFUNCTION("""COMPUTED_VALUE"""),2024.0)</f>
        <v>2024</v>
      </c>
      <c r="B2340" s="6" t="str">
        <f>IFERROR(__xludf.DUMMYFUNCTION("""COMPUTED_VALUE"""),"Dezembro")</f>
        <v>Dezembro</v>
      </c>
      <c r="C2340" s="6" t="str">
        <f>IFERROR(__xludf.DUMMYFUNCTION("""COMPUTED_VALUE"""),"CONSTRANGIMENTO ILEGAL")</f>
        <v>CONSTRANGIMENTO ILEGAL</v>
      </c>
      <c r="D2340" s="6">
        <f>IFERROR(__xludf.DUMMYFUNCTION("""COMPUTED_VALUE"""),1.0)</f>
        <v>1</v>
      </c>
      <c r="E2340" s="6">
        <f>IFERROR(__xludf.DUMMYFUNCTION("""COMPUTED_VALUE"""),0.0)</f>
        <v>0</v>
      </c>
      <c r="F2340" s="6">
        <f>IFERROR(__xludf.DUMMYFUNCTION("""COMPUTED_VALUE"""),5.0)</f>
        <v>5</v>
      </c>
      <c r="G2340" s="6">
        <f>IFERROR(__xludf.DUMMYFUNCTION("""COMPUTED_VALUE"""),6.0)</f>
        <v>6</v>
      </c>
    </row>
    <row r="2341">
      <c r="A2341" s="6">
        <f>IFERROR(__xludf.DUMMYFUNCTION("""COMPUTED_VALUE"""),2024.0)</f>
        <v>2024</v>
      </c>
      <c r="B2341" s="6" t="str">
        <f>IFERROR(__xludf.DUMMYFUNCTION("""COMPUTED_VALUE"""),"Dezembro")</f>
        <v>Dezembro</v>
      </c>
      <c r="C2341" s="6" t="str">
        <f>IFERROR(__xludf.DUMMYFUNCTION("""COMPUTED_VALUE"""),"AMEAÇA")</f>
        <v>AMEAÇA</v>
      </c>
      <c r="D2341" s="6">
        <f>IFERROR(__xludf.DUMMYFUNCTION("""COMPUTED_VALUE"""),842.0)</f>
        <v>842</v>
      </c>
      <c r="E2341" s="6">
        <f>IFERROR(__xludf.DUMMYFUNCTION("""COMPUTED_VALUE"""),771.0)</f>
        <v>771</v>
      </c>
      <c r="F2341" s="6">
        <f>IFERROR(__xludf.DUMMYFUNCTION("""COMPUTED_VALUE"""),2884.0)</f>
        <v>2884</v>
      </c>
      <c r="G2341" s="6">
        <f>IFERROR(__xludf.DUMMYFUNCTION("""COMPUTED_VALUE"""),4497.0)</f>
        <v>4497</v>
      </c>
    </row>
    <row r="2342">
      <c r="A2342" s="6">
        <f>IFERROR(__xludf.DUMMYFUNCTION("""COMPUTED_VALUE"""),2024.0)</f>
        <v>2024</v>
      </c>
      <c r="B2342" s="6" t="str">
        <f>IFERROR(__xludf.DUMMYFUNCTION("""COMPUTED_VALUE"""),"Dezembro")</f>
        <v>Dezembro</v>
      </c>
      <c r="C2342" s="6" t="str">
        <f>IFERROR(__xludf.DUMMYFUNCTION("""COMPUTED_VALUE"""),"INVASÃO DE DOMICÍLIO")</f>
        <v>INVASÃO DE DOMICÍLIO</v>
      </c>
      <c r="D2342" s="6">
        <f>IFERROR(__xludf.DUMMYFUNCTION("""COMPUTED_VALUE"""),1.0)</f>
        <v>1</v>
      </c>
      <c r="E2342" s="6">
        <f>IFERROR(__xludf.DUMMYFUNCTION("""COMPUTED_VALUE"""),1.0)</f>
        <v>1</v>
      </c>
      <c r="F2342" s="6">
        <f>IFERROR(__xludf.DUMMYFUNCTION("""COMPUTED_VALUE"""),11.0)</f>
        <v>11</v>
      </c>
      <c r="G2342" s="6">
        <f>IFERROR(__xludf.DUMMYFUNCTION("""COMPUTED_VALUE"""),13.0)</f>
        <v>13</v>
      </c>
    </row>
    <row r="2343">
      <c r="A2343" s="6">
        <f>IFERROR(__xludf.DUMMYFUNCTION("""COMPUTED_VALUE"""),2024.0)</f>
        <v>2024</v>
      </c>
      <c r="B2343" s="6" t="str">
        <f>IFERROR(__xludf.DUMMYFUNCTION("""COMPUTED_VALUE"""),"Dezembro")</f>
        <v>Dezembro</v>
      </c>
      <c r="C2343" s="6" t="str">
        <f>IFERROR(__xludf.DUMMYFUNCTION("""COMPUTED_VALUE"""),"DANO")</f>
        <v>DANO</v>
      </c>
      <c r="D2343" s="6">
        <f>IFERROR(__xludf.DUMMYFUNCTION("""COMPUTED_VALUE"""),9.0)</f>
        <v>9</v>
      </c>
      <c r="E2343" s="6">
        <f>IFERROR(__xludf.DUMMYFUNCTION("""COMPUTED_VALUE"""),9.0)</f>
        <v>9</v>
      </c>
      <c r="F2343" s="6">
        <f>IFERROR(__xludf.DUMMYFUNCTION("""COMPUTED_VALUE"""),51.0)</f>
        <v>51</v>
      </c>
      <c r="G2343" s="6">
        <f>IFERROR(__xludf.DUMMYFUNCTION("""COMPUTED_VALUE"""),69.0)</f>
        <v>69</v>
      </c>
    </row>
    <row r="2344">
      <c r="A2344" s="6">
        <f>IFERROR(__xludf.DUMMYFUNCTION("""COMPUTED_VALUE"""),2024.0)</f>
        <v>2024</v>
      </c>
      <c r="B2344" s="6" t="str">
        <f>IFERROR(__xludf.DUMMYFUNCTION("""COMPUTED_VALUE"""),"Dezembro")</f>
        <v>Dezembro</v>
      </c>
      <c r="C2344" s="6" t="str">
        <f>IFERROR(__xludf.DUMMYFUNCTION("""COMPUTED_VALUE"""),"ESTUPRO CONSUMADO")</f>
        <v>ESTUPRO CONSUMADO</v>
      </c>
      <c r="D2344" s="6">
        <f>IFERROR(__xludf.DUMMYFUNCTION("""COMPUTED_VALUE"""),9.0)</f>
        <v>9</v>
      </c>
      <c r="E2344" s="6">
        <f>IFERROR(__xludf.DUMMYFUNCTION("""COMPUTED_VALUE"""),6.0)</f>
        <v>6</v>
      </c>
      <c r="F2344" s="6">
        <f>IFERROR(__xludf.DUMMYFUNCTION("""COMPUTED_VALUE"""),16.0)</f>
        <v>16</v>
      </c>
      <c r="G2344" s="6">
        <f>IFERROR(__xludf.DUMMYFUNCTION("""COMPUTED_VALUE"""),31.0)</f>
        <v>31</v>
      </c>
    </row>
    <row r="2345">
      <c r="A2345" s="6">
        <f>IFERROR(__xludf.DUMMYFUNCTION("""COMPUTED_VALUE"""),2024.0)</f>
        <v>2024</v>
      </c>
      <c r="B2345" s="6" t="str">
        <f>IFERROR(__xludf.DUMMYFUNCTION("""COMPUTED_VALUE"""),"Dezembro")</f>
        <v>Dezembro</v>
      </c>
      <c r="C2345" s="6" t="str">
        <f>IFERROR(__xludf.DUMMYFUNCTION("""COMPUTED_VALUE"""),"ESTUPRO TENTADO")</f>
        <v>ESTUPRO TENTADO</v>
      </c>
      <c r="D2345" s="6">
        <f>IFERROR(__xludf.DUMMYFUNCTION("""COMPUTED_VALUE"""),0.0)</f>
        <v>0</v>
      </c>
      <c r="E2345" s="6">
        <f>IFERROR(__xludf.DUMMYFUNCTION("""COMPUTED_VALUE"""),0.0)</f>
        <v>0</v>
      </c>
      <c r="F2345" s="6">
        <f>IFERROR(__xludf.DUMMYFUNCTION("""COMPUTED_VALUE"""),1.0)</f>
        <v>1</v>
      </c>
      <c r="G2345" s="6">
        <f>IFERROR(__xludf.DUMMYFUNCTION("""COMPUTED_VALUE"""),1.0)</f>
        <v>1</v>
      </c>
    </row>
    <row r="2346">
      <c r="A2346" s="6">
        <f>IFERROR(__xludf.DUMMYFUNCTION("""COMPUTED_VALUE"""),2024.0)</f>
        <v>2024</v>
      </c>
      <c r="B2346" s="6" t="str">
        <f>IFERROR(__xludf.DUMMYFUNCTION("""COMPUTED_VALUE"""),"Dezembro")</f>
        <v>Dezembro</v>
      </c>
      <c r="C2346" s="6" t="str">
        <f>IFERROR(__xludf.DUMMYFUNCTION("""COMPUTED_VALUE"""),"ESTUPRO DE VULNERÁVEL CONSUMADO")</f>
        <v>ESTUPRO DE VULNERÁVEL CONSUMADO</v>
      </c>
      <c r="D2346" s="6">
        <f>IFERROR(__xludf.DUMMYFUNCTION("""COMPUTED_VALUE"""),2.0)</f>
        <v>2</v>
      </c>
      <c r="E2346" s="6">
        <f>IFERROR(__xludf.DUMMYFUNCTION("""COMPUTED_VALUE"""),3.0)</f>
        <v>3</v>
      </c>
      <c r="F2346" s="6">
        <f>IFERROR(__xludf.DUMMYFUNCTION("""COMPUTED_VALUE"""),15.0)</f>
        <v>15</v>
      </c>
      <c r="G2346" s="6">
        <f>IFERROR(__xludf.DUMMYFUNCTION("""COMPUTED_VALUE"""),20.0)</f>
        <v>20</v>
      </c>
    </row>
    <row r="2347">
      <c r="A2347" s="6">
        <f>IFERROR(__xludf.DUMMYFUNCTION("""COMPUTED_VALUE"""),2024.0)</f>
        <v>2024</v>
      </c>
      <c r="B2347" s="6" t="str">
        <f>IFERROR(__xludf.DUMMYFUNCTION("""COMPUTED_VALUE"""),"Dezembro")</f>
        <v>Dezembro</v>
      </c>
      <c r="C2347" s="6" t="str">
        <f>IFERROR(__xludf.DUMMYFUNCTION("""COMPUTED_VALUE"""),"OUTROS C/C/ DIGNIDADE SEXUAL")</f>
        <v>OUTROS C/C/ DIGNIDADE SEXUAL</v>
      </c>
      <c r="D2347" s="6">
        <f>IFERROR(__xludf.DUMMYFUNCTION("""COMPUTED_VALUE"""),0.0)</f>
        <v>0</v>
      </c>
      <c r="E2347" s="6">
        <f>IFERROR(__xludf.DUMMYFUNCTION("""COMPUTED_VALUE"""),0.0)</f>
        <v>0</v>
      </c>
      <c r="F2347" s="6">
        <f>IFERROR(__xludf.DUMMYFUNCTION("""COMPUTED_VALUE"""),1.0)</f>
        <v>1</v>
      </c>
      <c r="G2347" s="6">
        <f>IFERROR(__xludf.DUMMYFUNCTION("""COMPUTED_VALUE"""),1.0)</f>
        <v>1</v>
      </c>
    </row>
    <row r="2348">
      <c r="A2348" s="6">
        <f>IFERROR(__xludf.DUMMYFUNCTION("""COMPUTED_VALUE"""),2025.0)</f>
        <v>2025</v>
      </c>
      <c r="B2348" s="6" t="str">
        <f>IFERROR(__xludf.DUMMYFUNCTION("""COMPUTED_VALUE"""),"Janeiro")</f>
        <v>Janeiro</v>
      </c>
      <c r="C2348" s="6" t="str">
        <f>IFERROR(__xludf.DUMMYFUNCTION("""COMPUTED_VALUE"""),"HOMICÍDIO DOLOSO (exclui FEMINICÍDIO)")</f>
        <v>HOMICÍDIO DOLOSO (exclui FEMINICÍDIO)</v>
      </c>
      <c r="D2348" s="6">
        <f>IFERROR(__xludf.DUMMYFUNCTION("""COMPUTED_VALUE"""),1.0)</f>
        <v>1</v>
      </c>
      <c r="E2348" s="6">
        <f>IFERROR(__xludf.DUMMYFUNCTION("""COMPUTED_VALUE"""),0.0)</f>
        <v>0</v>
      </c>
      <c r="F2348" s="6">
        <f>IFERROR(__xludf.DUMMYFUNCTION("""COMPUTED_VALUE"""),2.0)</f>
        <v>2</v>
      </c>
      <c r="G2348" s="6">
        <f>IFERROR(__xludf.DUMMYFUNCTION("""COMPUTED_VALUE"""),3.0)</f>
        <v>3</v>
      </c>
    </row>
    <row r="2349">
      <c r="A2349" s="6">
        <f>IFERROR(__xludf.DUMMYFUNCTION("""COMPUTED_VALUE"""),2025.0)</f>
        <v>2025</v>
      </c>
      <c r="B2349" s="6" t="str">
        <f>IFERROR(__xludf.DUMMYFUNCTION("""COMPUTED_VALUE"""),"Janeiro")</f>
        <v>Janeiro</v>
      </c>
      <c r="C2349" s="6" t="str">
        <f>IFERROR(__xludf.DUMMYFUNCTION("""COMPUTED_VALUE"""),"FEMINICÍDIO")</f>
        <v>FEMINICÍDIO</v>
      </c>
      <c r="D2349" s="6">
        <f>IFERROR(__xludf.DUMMYFUNCTION("""COMPUTED_VALUE"""),4.0)</f>
        <v>4</v>
      </c>
      <c r="E2349" s="6">
        <f>IFERROR(__xludf.DUMMYFUNCTION("""COMPUTED_VALUE"""),4.0)</f>
        <v>4</v>
      </c>
      <c r="F2349" s="6">
        <f>IFERROR(__xludf.DUMMYFUNCTION("""COMPUTED_VALUE"""),8.0)</f>
        <v>8</v>
      </c>
      <c r="G2349" s="6">
        <f>IFERROR(__xludf.DUMMYFUNCTION("""COMPUTED_VALUE"""),16.0)</f>
        <v>16</v>
      </c>
    </row>
    <row r="2350">
      <c r="A2350" s="6">
        <f>IFERROR(__xludf.DUMMYFUNCTION("""COMPUTED_VALUE"""),2025.0)</f>
        <v>2025</v>
      </c>
      <c r="B2350" s="6" t="str">
        <f>IFERROR(__xludf.DUMMYFUNCTION("""COMPUTED_VALUE"""),"Janeiro")</f>
        <v>Janeiro</v>
      </c>
      <c r="C2350" s="6" t="str">
        <f>IFERROR(__xludf.DUMMYFUNCTION("""COMPUTED_VALUE"""),"HOMICÍDIO CULPOSO")</f>
        <v>HOMICÍDIO CULPOSO</v>
      </c>
      <c r="D2350" s="6">
        <f>IFERROR(__xludf.DUMMYFUNCTION("""COMPUTED_VALUE"""),0.0)</f>
        <v>0</v>
      </c>
      <c r="E2350" s="6">
        <f>IFERROR(__xludf.DUMMYFUNCTION("""COMPUTED_VALUE"""),0.0)</f>
        <v>0</v>
      </c>
      <c r="F2350" s="6">
        <f>IFERROR(__xludf.DUMMYFUNCTION("""COMPUTED_VALUE"""),0.0)</f>
        <v>0</v>
      </c>
      <c r="G2350" s="6">
        <f>IFERROR(__xludf.DUMMYFUNCTION("""COMPUTED_VALUE"""),0.0)</f>
        <v>0</v>
      </c>
    </row>
    <row r="2351">
      <c r="A2351" s="6">
        <f>IFERROR(__xludf.DUMMYFUNCTION("""COMPUTED_VALUE"""),2025.0)</f>
        <v>2025</v>
      </c>
      <c r="B2351" s="6" t="str">
        <f>IFERROR(__xludf.DUMMYFUNCTION("""COMPUTED_VALUE"""),"Janeiro")</f>
        <v>Janeiro</v>
      </c>
      <c r="C2351" s="6" t="str">
        <f>IFERROR(__xludf.DUMMYFUNCTION("""COMPUTED_VALUE"""),"TENTATIVA DE HOMICÍDIO")</f>
        <v>TENTATIVA DE HOMICÍDIO</v>
      </c>
      <c r="D2351" s="6">
        <f>IFERROR(__xludf.DUMMYFUNCTION("""COMPUTED_VALUE"""),2.0)</f>
        <v>2</v>
      </c>
      <c r="E2351" s="6">
        <f>IFERROR(__xludf.DUMMYFUNCTION("""COMPUTED_VALUE"""),2.0)</f>
        <v>2</v>
      </c>
      <c r="F2351" s="6">
        <f>IFERROR(__xludf.DUMMYFUNCTION("""COMPUTED_VALUE"""),12.0)</f>
        <v>12</v>
      </c>
      <c r="G2351" s="6">
        <f>IFERROR(__xludf.DUMMYFUNCTION("""COMPUTED_VALUE"""),16.0)</f>
        <v>16</v>
      </c>
    </row>
    <row r="2352">
      <c r="A2352" s="6">
        <f>IFERROR(__xludf.DUMMYFUNCTION("""COMPUTED_VALUE"""),2025.0)</f>
        <v>2025</v>
      </c>
      <c r="B2352" s="6" t="str">
        <f>IFERROR(__xludf.DUMMYFUNCTION("""COMPUTED_VALUE"""),"Janeiro")</f>
        <v>Janeiro</v>
      </c>
      <c r="C2352" s="6" t="str">
        <f>IFERROR(__xludf.DUMMYFUNCTION("""COMPUTED_VALUE"""),"LESÃO CORPORAL DOLOSA")</f>
        <v>LESÃO CORPORAL DOLOSA</v>
      </c>
      <c r="D2352" s="6">
        <f>IFERROR(__xludf.DUMMYFUNCTION("""COMPUTED_VALUE"""),948.0)</f>
        <v>948</v>
      </c>
      <c r="E2352" s="6">
        <f>IFERROR(__xludf.DUMMYFUNCTION("""COMPUTED_VALUE"""),812.0)</f>
        <v>812</v>
      </c>
      <c r="F2352" s="6">
        <f>IFERROR(__xludf.DUMMYFUNCTION("""COMPUTED_VALUE"""),2914.0)</f>
        <v>2914</v>
      </c>
      <c r="G2352" s="6">
        <f>IFERROR(__xludf.DUMMYFUNCTION("""COMPUTED_VALUE"""),4674.0)</f>
        <v>4674</v>
      </c>
    </row>
    <row r="2353">
      <c r="A2353" s="6">
        <f>IFERROR(__xludf.DUMMYFUNCTION("""COMPUTED_VALUE"""),2025.0)</f>
        <v>2025</v>
      </c>
      <c r="B2353" s="6" t="str">
        <f>IFERROR(__xludf.DUMMYFUNCTION("""COMPUTED_VALUE"""),"Janeiro")</f>
        <v>Janeiro</v>
      </c>
      <c r="C2353" s="6" t="str">
        <f>IFERROR(__xludf.DUMMYFUNCTION("""COMPUTED_VALUE"""),"MAUS TRATOS")</f>
        <v>MAUS TRATOS</v>
      </c>
      <c r="D2353" s="6">
        <f>IFERROR(__xludf.DUMMYFUNCTION("""COMPUTED_VALUE"""),3.0)</f>
        <v>3</v>
      </c>
      <c r="E2353" s="6">
        <f>IFERROR(__xludf.DUMMYFUNCTION("""COMPUTED_VALUE"""),2.0)</f>
        <v>2</v>
      </c>
      <c r="F2353" s="6">
        <f>IFERROR(__xludf.DUMMYFUNCTION("""COMPUTED_VALUE"""),16.0)</f>
        <v>16</v>
      </c>
      <c r="G2353" s="6">
        <f>IFERROR(__xludf.DUMMYFUNCTION("""COMPUTED_VALUE"""),21.0)</f>
        <v>21</v>
      </c>
    </row>
    <row r="2354">
      <c r="A2354" s="6">
        <f>IFERROR(__xludf.DUMMYFUNCTION("""COMPUTED_VALUE"""),2025.0)</f>
        <v>2025</v>
      </c>
      <c r="B2354" s="6" t="str">
        <f>IFERROR(__xludf.DUMMYFUNCTION("""COMPUTED_VALUE"""),"Janeiro")</f>
        <v>Janeiro</v>
      </c>
      <c r="C2354" s="6" t="str">
        <f>IFERROR(__xludf.DUMMYFUNCTION("""COMPUTED_VALUE"""),"CALÚNIA - DIFAMAÇÃO - INJÚRIA")</f>
        <v>CALÚNIA - DIFAMAÇÃO - INJÚRIA</v>
      </c>
      <c r="D2354" s="6">
        <f>IFERROR(__xludf.DUMMYFUNCTION("""COMPUTED_VALUE"""),187.0)</f>
        <v>187</v>
      </c>
      <c r="E2354" s="6">
        <f>IFERROR(__xludf.DUMMYFUNCTION("""COMPUTED_VALUE"""),159.0)</f>
        <v>159</v>
      </c>
      <c r="F2354" s="6">
        <f>IFERROR(__xludf.DUMMYFUNCTION("""COMPUTED_VALUE"""),694.0)</f>
        <v>694</v>
      </c>
      <c r="G2354" s="6">
        <f>IFERROR(__xludf.DUMMYFUNCTION("""COMPUTED_VALUE"""),1040.0)</f>
        <v>1040</v>
      </c>
    </row>
    <row r="2355">
      <c r="A2355" s="6">
        <f>IFERROR(__xludf.DUMMYFUNCTION("""COMPUTED_VALUE"""),2025.0)</f>
        <v>2025</v>
      </c>
      <c r="B2355" s="6" t="str">
        <f>IFERROR(__xludf.DUMMYFUNCTION("""COMPUTED_VALUE"""),"Janeiro")</f>
        <v>Janeiro</v>
      </c>
      <c r="C2355" s="6" t="str">
        <f>IFERROR(__xludf.DUMMYFUNCTION("""COMPUTED_VALUE"""),"CONSTRANGIMENTO ILEGAL")</f>
        <v>CONSTRANGIMENTO ILEGAL</v>
      </c>
      <c r="D2355" s="6">
        <f>IFERROR(__xludf.DUMMYFUNCTION("""COMPUTED_VALUE"""),1.0)</f>
        <v>1</v>
      </c>
      <c r="E2355" s="6">
        <f>IFERROR(__xludf.DUMMYFUNCTION("""COMPUTED_VALUE"""),0.0)</f>
        <v>0</v>
      </c>
      <c r="F2355" s="6">
        <f>IFERROR(__xludf.DUMMYFUNCTION("""COMPUTED_VALUE"""),6.0)</f>
        <v>6</v>
      </c>
      <c r="G2355" s="6">
        <f>IFERROR(__xludf.DUMMYFUNCTION("""COMPUTED_VALUE"""),7.0)</f>
        <v>7</v>
      </c>
    </row>
    <row r="2356">
      <c r="A2356" s="6">
        <f>IFERROR(__xludf.DUMMYFUNCTION("""COMPUTED_VALUE"""),2025.0)</f>
        <v>2025</v>
      </c>
      <c r="B2356" s="6" t="str">
        <f>IFERROR(__xludf.DUMMYFUNCTION("""COMPUTED_VALUE"""),"Janeiro")</f>
        <v>Janeiro</v>
      </c>
      <c r="C2356" s="6" t="str">
        <f>IFERROR(__xludf.DUMMYFUNCTION("""COMPUTED_VALUE"""),"AMEAÇA")</f>
        <v>AMEAÇA</v>
      </c>
      <c r="D2356" s="6">
        <f>IFERROR(__xludf.DUMMYFUNCTION("""COMPUTED_VALUE"""),872.0)</f>
        <v>872</v>
      </c>
      <c r="E2356" s="6">
        <f>IFERROR(__xludf.DUMMYFUNCTION("""COMPUTED_VALUE"""),804.0)</f>
        <v>804</v>
      </c>
      <c r="F2356" s="6">
        <f>IFERROR(__xludf.DUMMYFUNCTION("""COMPUTED_VALUE"""),2984.0)</f>
        <v>2984</v>
      </c>
      <c r="G2356" s="6">
        <f>IFERROR(__xludf.DUMMYFUNCTION("""COMPUTED_VALUE"""),4660.0)</f>
        <v>4660</v>
      </c>
    </row>
    <row r="2357">
      <c r="A2357" s="6">
        <f>IFERROR(__xludf.DUMMYFUNCTION("""COMPUTED_VALUE"""),2025.0)</f>
        <v>2025</v>
      </c>
      <c r="B2357" s="6" t="str">
        <f>IFERROR(__xludf.DUMMYFUNCTION("""COMPUTED_VALUE"""),"Janeiro")</f>
        <v>Janeiro</v>
      </c>
      <c r="C2357" s="6" t="str">
        <f>IFERROR(__xludf.DUMMYFUNCTION("""COMPUTED_VALUE"""),"INVASÃO DE DOMICÍLIO")</f>
        <v>INVASÃO DE DOMICÍLIO</v>
      </c>
      <c r="D2357" s="6">
        <f>IFERROR(__xludf.DUMMYFUNCTION("""COMPUTED_VALUE"""),1.0)</f>
        <v>1</v>
      </c>
      <c r="E2357" s="6">
        <f>IFERROR(__xludf.DUMMYFUNCTION("""COMPUTED_VALUE"""),2.0)</f>
        <v>2</v>
      </c>
      <c r="F2357" s="6">
        <f>IFERROR(__xludf.DUMMYFUNCTION("""COMPUTED_VALUE"""),13.0)</f>
        <v>13</v>
      </c>
      <c r="G2357" s="6">
        <f>IFERROR(__xludf.DUMMYFUNCTION("""COMPUTED_VALUE"""),16.0)</f>
        <v>16</v>
      </c>
    </row>
    <row r="2358">
      <c r="A2358" s="6">
        <f>IFERROR(__xludf.DUMMYFUNCTION("""COMPUTED_VALUE"""),2025.0)</f>
        <v>2025</v>
      </c>
      <c r="B2358" s="6" t="str">
        <f>IFERROR(__xludf.DUMMYFUNCTION("""COMPUTED_VALUE"""),"Janeiro")</f>
        <v>Janeiro</v>
      </c>
      <c r="C2358" s="6" t="str">
        <f>IFERROR(__xludf.DUMMYFUNCTION("""COMPUTED_VALUE"""),"DANO")</f>
        <v>DANO</v>
      </c>
      <c r="D2358" s="6">
        <f>IFERROR(__xludf.DUMMYFUNCTION("""COMPUTED_VALUE"""),11.0)</f>
        <v>11</v>
      </c>
      <c r="E2358" s="6">
        <f>IFERROR(__xludf.DUMMYFUNCTION("""COMPUTED_VALUE"""),10.0)</f>
        <v>10</v>
      </c>
      <c r="F2358" s="6">
        <f>IFERROR(__xludf.DUMMYFUNCTION("""COMPUTED_VALUE"""),54.0)</f>
        <v>54</v>
      </c>
      <c r="G2358" s="6">
        <f>IFERROR(__xludf.DUMMYFUNCTION("""COMPUTED_VALUE"""),75.0)</f>
        <v>75</v>
      </c>
    </row>
    <row r="2359">
      <c r="A2359" s="6">
        <f>IFERROR(__xludf.DUMMYFUNCTION("""COMPUTED_VALUE"""),2025.0)</f>
        <v>2025</v>
      </c>
      <c r="B2359" s="6" t="str">
        <f>IFERROR(__xludf.DUMMYFUNCTION("""COMPUTED_VALUE"""),"Janeiro")</f>
        <v>Janeiro</v>
      </c>
      <c r="C2359" s="6" t="str">
        <f>IFERROR(__xludf.DUMMYFUNCTION("""COMPUTED_VALUE"""),"ESTUPRO CONSUMADO")</f>
        <v>ESTUPRO CONSUMADO</v>
      </c>
      <c r="D2359" s="6">
        <f>IFERROR(__xludf.DUMMYFUNCTION("""COMPUTED_VALUE"""),10.0)</f>
        <v>10</v>
      </c>
      <c r="E2359" s="6">
        <f>IFERROR(__xludf.DUMMYFUNCTION("""COMPUTED_VALUE"""),7.0)</f>
        <v>7</v>
      </c>
      <c r="F2359" s="6">
        <f>IFERROR(__xludf.DUMMYFUNCTION("""COMPUTED_VALUE"""),17.0)</f>
        <v>17</v>
      </c>
      <c r="G2359" s="6">
        <f>IFERROR(__xludf.DUMMYFUNCTION("""COMPUTED_VALUE"""),34.0)</f>
        <v>34</v>
      </c>
    </row>
    <row r="2360">
      <c r="A2360" s="6">
        <f>IFERROR(__xludf.DUMMYFUNCTION("""COMPUTED_VALUE"""),2025.0)</f>
        <v>2025</v>
      </c>
      <c r="B2360" s="6" t="str">
        <f>IFERROR(__xludf.DUMMYFUNCTION("""COMPUTED_VALUE"""),"Janeiro")</f>
        <v>Janeiro</v>
      </c>
      <c r="C2360" s="6" t="str">
        <f>IFERROR(__xludf.DUMMYFUNCTION("""COMPUTED_VALUE"""),"ESTUPRO TENTADO")</f>
        <v>ESTUPRO TENTADO</v>
      </c>
      <c r="D2360" s="6">
        <f>IFERROR(__xludf.DUMMYFUNCTION("""COMPUTED_VALUE"""),0.0)</f>
        <v>0</v>
      </c>
      <c r="E2360" s="6">
        <f>IFERROR(__xludf.DUMMYFUNCTION("""COMPUTED_VALUE"""),0.0)</f>
        <v>0</v>
      </c>
      <c r="F2360" s="6">
        <f>IFERROR(__xludf.DUMMYFUNCTION("""COMPUTED_VALUE"""),1.0)</f>
        <v>1</v>
      </c>
      <c r="G2360" s="6">
        <f>IFERROR(__xludf.DUMMYFUNCTION("""COMPUTED_VALUE"""),1.0)</f>
        <v>1</v>
      </c>
    </row>
    <row r="2361">
      <c r="A2361" s="6">
        <f>IFERROR(__xludf.DUMMYFUNCTION("""COMPUTED_VALUE"""),2025.0)</f>
        <v>2025</v>
      </c>
      <c r="B2361" s="6" t="str">
        <f>IFERROR(__xludf.DUMMYFUNCTION("""COMPUTED_VALUE"""),"Janeiro")</f>
        <v>Janeiro</v>
      </c>
      <c r="C2361" s="6" t="str">
        <f>IFERROR(__xludf.DUMMYFUNCTION("""COMPUTED_VALUE"""),"ESTUPRO DE VULNERÁVEL CONSUMADO")</f>
        <v>ESTUPRO DE VULNERÁVEL CONSUMADO</v>
      </c>
      <c r="D2361" s="6">
        <f>IFERROR(__xludf.DUMMYFUNCTION("""COMPUTED_VALUE"""),3.0)</f>
        <v>3</v>
      </c>
      <c r="E2361" s="6">
        <f>IFERROR(__xludf.DUMMYFUNCTION("""COMPUTED_VALUE"""),4.0)</f>
        <v>4</v>
      </c>
      <c r="F2361" s="6">
        <f>IFERROR(__xludf.DUMMYFUNCTION("""COMPUTED_VALUE"""),17.0)</f>
        <v>17</v>
      </c>
      <c r="G2361" s="6">
        <f>IFERROR(__xludf.DUMMYFUNCTION("""COMPUTED_VALUE"""),24.0)</f>
        <v>24</v>
      </c>
    </row>
    <row r="2362">
      <c r="A2362" s="6">
        <f>IFERROR(__xludf.DUMMYFUNCTION("""COMPUTED_VALUE"""),2025.0)</f>
        <v>2025</v>
      </c>
      <c r="B2362" s="6" t="str">
        <f>IFERROR(__xludf.DUMMYFUNCTION("""COMPUTED_VALUE"""),"Janeiro")</f>
        <v>Janeiro</v>
      </c>
      <c r="C2362" s="6" t="str">
        <f>IFERROR(__xludf.DUMMYFUNCTION("""COMPUTED_VALUE"""),"OUTROS C/C/ DIGNIDADE SEXUAL")</f>
        <v>OUTROS C/C/ DIGNIDADE SEXUAL</v>
      </c>
      <c r="D2362" s="6">
        <f>IFERROR(__xludf.DUMMYFUNCTION("""COMPUTED_VALUE"""),0.0)</f>
        <v>0</v>
      </c>
      <c r="E2362" s="6">
        <f>IFERROR(__xludf.DUMMYFUNCTION("""COMPUTED_VALUE"""),0.0)</f>
        <v>0</v>
      </c>
      <c r="F2362" s="6">
        <f>IFERROR(__xludf.DUMMYFUNCTION("""COMPUTED_VALUE"""),2.0)</f>
        <v>2</v>
      </c>
      <c r="G2362" s="6">
        <f>IFERROR(__xludf.DUMMYFUNCTION("""COMPUTED_VALUE"""),2.0)</f>
        <v>2</v>
      </c>
    </row>
    <row r="2363">
      <c r="A2363" s="6">
        <f>IFERROR(__xludf.DUMMYFUNCTION("""COMPUTED_VALUE"""),2025.0)</f>
        <v>2025</v>
      </c>
      <c r="B2363" s="6" t="str">
        <f>IFERROR(__xludf.DUMMYFUNCTION("""COMPUTED_VALUE"""),"Fevereiro")</f>
        <v>Fevereiro</v>
      </c>
      <c r="C2363" s="6" t="str">
        <f>IFERROR(__xludf.DUMMYFUNCTION("""COMPUTED_VALUE"""),"HOMICÍDIO DOLOSO (exclui FEMINICÍDIO)")</f>
        <v>HOMICÍDIO DOLOSO (exclui FEMINICÍDIO)</v>
      </c>
      <c r="D2363" s="6">
        <f>IFERROR(__xludf.DUMMYFUNCTION("""COMPUTED_VALUE"""),1.0)</f>
        <v>1</v>
      </c>
      <c r="E2363" s="6">
        <f>IFERROR(__xludf.DUMMYFUNCTION("""COMPUTED_VALUE"""),0.0)</f>
        <v>0</v>
      </c>
      <c r="F2363" s="6">
        <f>IFERROR(__xludf.DUMMYFUNCTION("""COMPUTED_VALUE"""),2.0)</f>
        <v>2</v>
      </c>
      <c r="G2363" s="6">
        <f>IFERROR(__xludf.DUMMYFUNCTION("""COMPUTED_VALUE"""),3.0)</f>
        <v>3</v>
      </c>
    </row>
    <row r="2364">
      <c r="A2364" s="6">
        <f>IFERROR(__xludf.DUMMYFUNCTION("""COMPUTED_VALUE"""),2025.0)</f>
        <v>2025</v>
      </c>
      <c r="B2364" s="6" t="str">
        <f>IFERROR(__xludf.DUMMYFUNCTION("""COMPUTED_VALUE"""),"Fevereiro")</f>
        <v>Fevereiro</v>
      </c>
      <c r="C2364" s="6" t="str">
        <f>IFERROR(__xludf.DUMMYFUNCTION("""COMPUTED_VALUE"""),"FEMINICÍDIO")</f>
        <v>FEMINICÍDIO</v>
      </c>
      <c r="D2364" s="6">
        <f>IFERROR(__xludf.DUMMYFUNCTION("""COMPUTED_VALUE"""),3.0)</f>
        <v>3</v>
      </c>
      <c r="E2364" s="6">
        <f>IFERROR(__xludf.DUMMYFUNCTION("""COMPUTED_VALUE"""),4.0)</f>
        <v>4</v>
      </c>
      <c r="F2364" s="6">
        <f>IFERROR(__xludf.DUMMYFUNCTION("""COMPUTED_VALUE"""),7.0)</f>
        <v>7</v>
      </c>
      <c r="G2364" s="6">
        <f>IFERROR(__xludf.DUMMYFUNCTION("""COMPUTED_VALUE"""),14.0)</f>
        <v>14</v>
      </c>
    </row>
    <row r="2365">
      <c r="A2365" s="6">
        <f>IFERROR(__xludf.DUMMYFUNCTION("""COMPUTED_VALUE"""),2025.0)</f>
        <v>2025</v>
      </c>
      <c r="B2365" s="6" t="str">
        <f>IFERROR(__xludf.DUMMYFUNCTION("""COMPUTED_VALUE"""),"Fevereiro")</f>
        <v>Fevereiro</v>
      </c>
      <c r="C2365" s="6" t="str">
        <f>IFERROR(__xludf.DUMMYFUNCTION("""COMPUTED_VALUE"""),"HOMICÍDIO CULPOSO")</f>
        <v>HOMICÍDIO CULPOSO</v>
      </c>
      <c r="D2365" s="6">
        <f>IFERROR(__xludf.DUMMYFUNCTION("""COMPUTED_VALUE"""),0.0)</f>
        <v>0</v>
      </c>
      <c r="E2365" s="6">
        <f>IFERROR(__xludf.DUMMYFUNCTION("""COMPUTED_VALUE"""),0.0)</f>
        <v>0</v>
      </c>
      <c r="F2365" s="6">
        <f>IFERROR(__xludf.DUMMYFUNCTION("""COMPUTED_VALUE"""),0.0)</f>
        <v>0</v>
      </c>
      <c r="G2365" s="6">
        <f>IFERROR(__xludf.DUMMYFUNCTION("""COMPUTED_VALUE"""),0.0)</f>
        <v>0</v>
      </c>
    </row>
    <row r="2366">
      <c r="A2366" s="6">
        <f>IFERROR(__xludf.DUMMYFUNCTION("""COMPUTED_VALUE"""),2025.0)</f>
        <v>2025</v>
      </c>
      <c r="B2366" s="6" t="str">
        <f>IFERROR(__xludf.DUMMYFUNCTION("""COMPUTED_VALUE"""),"Fevereiro")</f>
        <v>Fevereiro</v>
      </c>
      <c r="C2366" s="6" t="str">
        <f>IFERROR(__xludf.DUMMYFUNCTION("""COMPUTED_VALUE"""),"TENTATIVA DE HOMICÍDIO")</f>
        <v>TENTATIVA DE HOMICÍDIO</v>
      </c>
      <c r="D2366" s="6">
        <f>IFERROR(__xludf.DUMMYFUNCTION("""COMPUTED_VALUE"""),2.0)</f>
        <v>2</v>
      </c>
      <c r="E2366" s="6">
        <f>IFERROR(__xludf.DUMMYFUNCTION("""COMPUTED_VALUE"""),2.0)</f>
        <v>2</v>
      </c>
      <c r="F2366" s="6">
        <f>IFERROR(__xludf.DUMMYFUNCTION("""COMPUTED_VALUE"""),12.0)</f>
        <v>12</v>
      </c>
      <c r="G2366" s="6">
        <f>IFERROR(__xludf.DUMMYFUNCTION("""COMPUTED_VALUE"""),16.0)</f>
        <v>16</v>
      </c>
    </row>
    <row r="2367">
      <c r="A2367" s="6">
        <f>IFERROR(__xludf.DUMMYFUNCTION("""COMPUTED_VALUE"""),2025.0)</f>
        <v>2025</v>
      </c>
      <c r="B2367" s="6" t="str">
        <f>IFERROR(__xludf.DUMMYFUNCTION("""COMPUTED_VALUE"""),"Fevereiro")</f>
        <v>Fevereiro</v>
      </c>
      <c r="C2367" s="6" t="str">
        <f>IFERROR(__xludf.DUMMYFUNCTION("""COMPUTED_VALUE"""),"LESÃO CORPORAL DOLOSA")</f>
        <v>LESÃO CORPORAL DOLOSA</v>
      </c>
      <c r="D2367" s="6">
        <f>IFERROR(__xludf.DUMMYFUNCTION("""COMPUTED_VALUE"""),948.0)</f>
        <v>948</v>
      </c>
      <c r="E2367" s="6">
        <f>IFERROR(__xludf.DUMMYFUNCTION("""COMPUTED_VALUE"""),812.0)</f>
        <v>812</v>
      </c>
      <c r="F2367" s="6">
        <f>IFERROR(__xludf.DUMMYFUNCTION("""COMPUTED_VALUE"""),2914.0)</f>
        <v>2914</v>
      </c>
      <c r="G2367" s="6">
        <f>IFERROR(__xludf.DUMMYFUNCTION("""COMPUTED_VALUE"""),4674.0)</f>
        <v>4674</v>
      </c>
    </row>
    <row r="2368">
      <c r="A2368" s="6">
        <f>IFERROR(__xludf.DUMMYFUNCTION("""COMPUTED_VALUE"""),2025.0)</f>
        <v>2025</v>
      </c>
      <c r="B2368" s="6" t="str">
        <f>IFERROR(__xludf.DUMMYFUNCTION("""COMPUTED_VALUE"""),"Fevereiro")</f>
        <v>Fevereiro</v>
      </c>
      <c r="C2368" s="6" t="str">
        <f>IFERROR(__xludf.DUMMYFUNCTION("""COMPUTED_VALUE"""),"MAUS TRATOS")</f>
        <v>MAUS TRATOS</v>
      </c>
      <c r="D2368" s="6">
        <f>IFERROR(__xludf.DUMMYFUNCTION("""COMPUTED_VALUE"""),3.0)</f>
        <v>3</v>
      </c>
      <c r="E2368" s="6">
        <f>IFERROR(__xludf.DUMMYFUNCTION("""COMPUTED_VALUE"""),2.0)</f>
        <v>2</v>
      </c>
      <c r="F2368" s="6">
        <f>IFERROR(__xludf.DUMMYFUNCTION("""COMPUTED_VALUE"""),16.0)</f>
        <v>16</v>
      </c>
      <c r="G2368" s="6">
        <f>IFERROR(__xludf.DUMMYFUNCTION("""COMPUTED_VALUE"""),21.0)</f>
        <v>21</v>
      </c>
    </row>
    <row r="2369">
      <c r="A2369" s="6">
        <f>IFERROR(__xludf.DUMMYFUNCTION("""COMPUTED_VALUE"""),2025.0)</f>
        <v>2025</v>
      </c>
      <c r="B2369" s="6" t="str">
        <f>IFERROR(__xludf.DUMMYFUNCTION("""COMPUTED_VALUE"""),"Fevereiro")</f>
        <v>Fevereiro</v>
      </c>
      <c r="C2369" s="6" t="str">
        <f>IFERROR(__xludf.DUMMYFUNCTION("""COMPUTED_VALUE"""),"CALÚNIA - DIFAMAÇÃO - INJÚRIA")</f>
        <v>CALÚNIA - DIFAMAÇÃO - INJÚRIA</v>
      </c>
      <c r="D2369" s="6">
        <f>IFERROR(__xludf.DUMMYFUNCTION("""COMPUTED_VALUE"""),187.0)</f>
        <v>187</v>
      </c>
      <c r="E2369" s="6">
        <f>IFERROR(__xludf.DUMMYFUNCTION("""COMPUTED_VALUE"""),159.0)</f>
        <v>159</v>
      </c>
      <c r="F2369" s="6">
        <f>IFERROR(__xludf.DUMMYFUNCTION("""COMPUTED_VALUE"""),694.0)</f>
        <v>694</v>
      </c>
      <c r="G2369" s="6">
        <f>IFERROR(__xludf.DUMMYFUNCTION("""COMPUTED_VALUE"""),1040.0)</f>
        <v>1040</v>
      </c>
    </row>
    <row r="2370">
      <c r="A2370" s="6">
        <f>IFERROR(__xludf.DUMMYFUNCTION("""COMPUTED_VALUE"""),2025.0)</f>
        <v>2025</v>
      </c>
      <c r="B2370" s="6" t="str">
        <f>IFERROR(__xludf.DUMMYFUNCTION("""COMPUTED_VALUE"""),"Fevereiro")</f>
        <v>Fevereiro</v>
      </c>
      <c r="C2370" s="6" t="str">
        <f>IFERROR(__xludf.DUMMYFUNCTION("""COMPUTED_VALUE"""),"CONSTRANGIMENTO ILEGAL")</f>
        <v>CONSTRANGIMENTO ILEGAL</v>
      </c>
      <c r="D2370" s="6">
        <f>IFERROR(__xludf.DUMMYFUNCTION("""COMPUTED_VALUE"""),1.0)</f>
        <v>1</v>
      </c>
      <c r="E2370" s="6">
        <f>IFERROR(__xludf.DUMMYFUNCTION("""COMPUTED_VALUE"""),0.0)</f>
        <v>0</v>
      </c>
      <c r="F2370" s="6">
        <f>IFERROR(__xludf.DUMMYFUNCTION("""COMPUTED_VALUE"""),6.0)</f>
        <v>6</v>
      </c>
      <c r="G2370" s="6">
        <f>IFERROR(__xludf.DUMMYFUNCTION("""COMPUTED_VALUE"""),7.0)</f>
        <v>7</v>
      </c>
    </row>
    <row r="2371">
      <c r="A2371" s="6">
        <f>IFERROR(__xludf.DUMMYFUNCTION("""COMPUTED_VALUE"""),2025.0)</f>
        <v>2025</v>
      </c>
      <c r="B2371" s="6" t="str">
        <f>IFERROR(__xludf.DUMMYFUNCTION("""COMPUTED_VALUE"""),"Fevereiro")</f>
        <v>Fevereiro</v>
      </c>
      <c r="C2371" s="6" t="str">
        <f>IFERROR(__xludf.DUMMYFUNCTION("""COMPUTED_VALUE"""),"AMEAÇA")</f>
        <v>AMEAÇA</v>
      </c>
      <c r="D2371" s="6">
        <f>IFERROR(__xludf.DUMMYFUNCTION("""COMPUTED_VALUE"""),872.0)</f>
        <v>872</v>
      </c>
      <c r="E2371" s="6">
        <f>IFERROR(__xludf.DUMMYFUNCTION("""COMPUTED_VALUE"""),804.0)</f>
        <v>804</v>
      </c>
      <c r="F2371" s="6">
        <f>IFERROR(__xludf.DUMMYFUNCTION("""COMPUTED_VALUE"""),2984.0)</f>
        <v>2984</v>
      </c>
      <c r="G2371" s="6">
        <f>IFERROR(__xludf.DUMMYFUNCTION("""COMPUTED_VALUE"""),4660.0)</f>
        <v>4660</v>
      </c>
    </row>
    <row r="2372">
      <c r="A2372" s="6">
        <f>IFERROR(__xludf.DUMMYFUNCTION("""COMPUTED_VALUE"""),2025.0)</f>
        <v>2025</v>
      </c>
      <c r="B2372" s="6" t="str">
        <f>IFERROR(__xludf.DUMMYFUNCTION("""COMPUTED_VALUE"""),"Fevereiro")</f>
        <v>Fevereiro</v>
      </c>
      <c r="C2372" s="6" t="str">
        <f>IFERROR(__xludf.DUMMYFUNCTION("""COMPUTED_VALUE"""),"INVASÃO DE DOMICÍLIO")</f>
        <v>INVASÃO DE DOMICÍLIO</v>
      </c>
      <c r="D2372" s="6">
        <f>IFERROR(__xludf.DUMMYFUNCTION("""COMPUTED_VALUE"""),1.0)</f>
        <v>1</v>
      </c>
      <c r="E2372" s="6">
        <f>IFERROR(__xludf.DUMMYFUNCTION("""COMPUTED_VALUE"""),2.0)</f>
        <v>2</v>
      </c>
      <c r="F2372" s="6">
        <f>IFERROR(__xludf.DUMMYFUNCTION("""COMPUTED_VALUE"""),13.0)</f>
        <v>13</v>
      </c>
      <c r="G2372" s="6">
        <f>IFERROR(__xludf.DUMMYFUNCTION("""COMPUTED_VALUE"""),16.0)</f>
        <v>16</v>
      </c>
    </row>
    <row r="2373">
      <c r="A2373" s="6">
        <f>IFERROR(__xludf.DUMMYFUNCTION("""COMPUTED_VALUE"""),2025.0)</f>
        <v>2025</v>
      </c>
      <c r="B2373" s="6" t="str">
        <f>IFERROR(__xludf.DUMMYFUNCTION("""COMPUTED_VALUE"""),"Fevereiro")</f>
        <v>Fevereiro</v>
      </c>
      <c r="C2373" s="6" t="str">
        <f>IFERROR(__xludf.DUMMYFUNCTION("""COMPUTED_VALUE"""),"DANO")</f>
        <v>DANO</v>
      </c>
      <c r="D2373" s="6">
        <f>IFERROR(__xludf.DUMMYFUNCTION("""COMPUTED_VALUE"""),11.0)</f>
        <v>11</v>
      </c>
      <c r="E2373" s="6">
        <f>IFERROR(__xludf.DUMMYFUNCTION("""COMPUTED_VALUE"""),10.0)</f>
        <v>10</v>
      </c>
      <c r="F2373" s="6">
        <f>IFERROR(__xludf.DUMMYFUNCTION("""COMPUTED_VALUE"""),54.0)</f>
        <v>54</v>
      </c>
      <c r="G2373" s="6">
        <f>IFERROR(__xludf.DUMMYFUNCTION("""COMPUTED_VALUE"""),75.0)</f>
        <v>75</v>
      </c>
    </row>
    <row r="2374">
      <c r="A2374" s="6">
        <f>IFERROR(__xludf.DUMMYFUNCTION("""COMPUTED_VALUE"""),2025.0)</f>
        <v>2025</v>
      </c>
      <c r="B2374" s="6" t="str">
        <f>IFERROR(__xludf.DUMMYFUNCTION("""COMPUTED_VALUE"""),"Fevereiro")</f>
        <v>Fevereiro</v>
      </c>
      <c r="C2374" s="6" t="str">
        <f>IFERROR(__xludf.DUMMYFUNCTION("""COMPUTED_VALUE"""),"ESTUPRO CONSUMADO")</f>
        <v>ESTUPRO CONSUMADO</v>
      </c>
      <c r="D2374" s="6">
        <f>IFERROR(__xludf.DUMMYFUNCTION("""COMPUTED_VALUE"""),10.0)</f>
        <v>10</v>
      </c>
      <c r="E2374" s="6">
        <f>IFERROR(__xludf.DUMMYFUNCTION("""COMPUTED_VALUE"""),7.0)</f>
        <v>7</v>
      </c>
      <c r="F2374" s="6">
        <f>IFERROR(__xludf.DUMMYFUNCTION("""COMPUTED_VALUE"""),17.0)</f>
        <v>17</v>
      </c>
      <c r="G2374" s="6">
        <f>IFERROR(__xludf.DUMMYFUNCTION("""COMPUTED_VALUE"""),34.0)</f>
        <v>34</v>
      </c>
    </row>
    <row r="2375">
      <c r="A2375" s="6">
        <f>IFERROR(__xludf.DUMMYFUNCTION("""COMPUTED_VALUE"""),2025.0)</f>
        <v>2025</v>
      </c>
      <c r="B2375" s="6" t="str">
        <f>IFERROR(__xludf.DUMMYFUNCTION("""COMPUTED_VALUE"""),"Fevereiro")</f>
        <v>Fevereiro</v>
      </c>
      <c r="C2375" s="6" t="str">
        <f>IFERROR(__xludf.DUMMYFUNCTION("""COMPUTED_VALUE"""),"ESTUPRO TENTADO")</f>
        <v>ESTUPRO TENTADO</v>
      </c>
      <c r="D2375" s="6">
        <f>IFERROR(__xludf.DUMMYFUNCTION("""COMPUTED_VALUE"""),0.0)</f>
        <v>0</v>
      </c>
      <c r="E2375" s="6">
        <f>IFERROR(__xludf.DUMMYFUNCTION("""COMPUTED_VALUE"""),0.0)</f>
        <v>0</v>
      </c>
      <c r="F2375" s="6">
        <f>IFERROR(__xludf.DUMMYFUNCTION("""COMPUTED_VALUE"""),1.0)</f>
        <v>1</v>
      </c>
      <c r="G2375" s="6">
        <f>IFERROR(__xludf.DUMMYFUNCTION("""COMPUTED_VALUE"""),1.0)</f>
        <v>1</v>
      </c>
    </row>
    <row r="2376">
      <c r="A2376" s="6">
        <f>IFERROR(__xludf.DUMMYFUNCTION("""COMPUTED_VALUE"""),2025.0)</f>
        <v>2025</v>
      </c>
      <c r="B2376" s="6" t="str">
        <f>IFERROR(__xludf.DUMMYFUNCTION("""COMPUTED_VALUE"""),"Fevereiro")</f>
        <v>Fevereiro</v>
      </c>
      <c r="C2376" s="6" t="str">
        <f>IFERROR(__xludf.DUMMYFUNCTION("""COMPUTED_VALUE"""),"ESTUPRO DE VULNERÁVEL CONSUMADO")</f>
        <v>ESTUPRO DE VULNERÁVEL CONSUMADO</v>
      </c>
      <c r="D2376" s="6">
        <f>IFERROR(__xludf.DUMMYFUNCTION("""COMPUTED_VALUE"""),3.0)</f>
        <v>3</v>
      </c>
      <c r="E2376" s="6">
        <f>IFERROR(__xludf.DUMMYFUNCTION("""COMPUTED_VALUE"""),4.0)</f>
        <v>4</v>
      </c>
      <c r="F2376" s="6">
        <f>IFERROR(__xludf.DUMMYFUNCTION("""COMPUTED_VALUE"""),17.0)</f>
        <v>17</v>
      </c>
      <c r="G2376" s="6">
        <f>IFERROR(__xludf.DUMMYFUNCTION("""COMPUTED_VALUE"""),24.0)</f>
        <v>24</v>
      </c>
    </row>
    <row r="2377">
      <c r="A2377" s="6">
        <f>IFERROR(__xludf.DUMMYFUNCTION("""COMPUTED_VALUE"""),2025.0)</f>
        <v>2025</v>
      </c>
      <c r="B2377" s="6" t="str">
        <f>IFERROR(__xludf.DUMMYFUNCTION("""COMPUTED_VALUE"""),"Fevereiro")</f>
        <v>Fevereiro</v>
      </c>
      <c r="C2377" s="6" t="str">
        <f>IFERROR(__xludf.DUMMYFUNCTION("""COMPUTED_VALUE"""),"OUTROS C/C/ DIGNIDADE SEXUAL")</f>
        <v>OUTROS C/C/ DIGNIDADE SEXUAL</v>
      </c>
      <c r="D2377" s="6">
        <f>IFERROR(__xludf.DUMMYFUNCTION("""COMPUTED_VALUE"""),0.0)</f>
        <v>0</v>
      </c>
      <c r="E2377" s="6">
        <f>IFERROR(__xludf.DUMMYFUNCTION("""COMPUTED_VALUE"""),0.0)</f>
        <v>0</v>
      </c>
      <c r="F2377" s="6">
        <f>IFERROR(__xludf.DUMMYFUNCTION("""COMPUTED_VALUE"""),2.0)</f>
        <v>2</v>
      </c>
      <c r="G2377" s="6">
        <f>IFERROR(__xludf.DUMMYFUNCTION("""COMPUTED_VALUE"""),2.0)</f>
        <v>2</v>
      </c>
    </row>
    <row r="2378">
      <c r="A2378" s="6">
        <f>IFERROR(__xludf.DUMMYFUNCTION("""COMPUTED_VALUE"""),2025.0)</f>
        <v>2025</v>
      </c>
      <c r="B2378" s="6" t="str">
        <f>IFERROR(__xludf.DUMMYFUNCTION("""COMPUTED_VALUE"""),"Março")</f>
        <v>Março</v>
      </c>
      <c r="C2378" s="6" t="str">
        <f>IFERROR(__xludf.DUMMYFUNCTION("""COMPUTED_VALUE"""),"HOMICÍDIO DOLOSO (exclui FEMINICÍDIO)")</f>
        <v>HOMICÍDIO DOLOSO (exclui FEMINICÍDIO)</v>
      </c>
      <c r="D2378" s="6">
        <f>IFERROR(__xludf.DUMMYFUNCTION("""COMPUTED_VALUE"""),1.0)</f>
        <v>1</v>
      </c>
      <c r="E2378" s="6">
        <f>IFERROR(__xludf.DUMMYFUNCTION("""COMPUTED_VALUE"""),0.0)</f>
        <v>0</v>
      </c>
      <c r="F2378" s="6">
        <f>IFERROR(__xludf.DUMMYFUNCTION("""COMPUTED_VALUE"""),2.0)</f>
        <v>2</v>
      </c>
      <c r="G2378" s="6">
        <f>IFERROR(__xludf.DUMMYFUNCTION("""COMPUTED_VALUE"""),3.0)</f>
        <v>3</v>
      </c>
    </row>
    <row r="2379">
      <c r="A2379" s="6">
        <f>IFERROR(__xludf.DUMMYFUNCTION("""COMPUTED_VALUE"""),2025.0)</f>
        <v>2025</v>
      </c>
      <c r="B2379" s="6" t="str">
        <f>IFERROR(__xludf.DUMMYFUNCTION("""COMPUTED_VALUE"""),"Março")</f>
        <v>Março</v>
      </c>
      <c r="C2379" s="6" t="str">
        <f>IFERROR(__xludf.DUMMYFUNCTION("""COMPUTED_VALUE"""),"FEMINICÍDIO")</f>
        <v>FEMINICÍDIO</v>
      </c>
      <c r="D2379" s="6">
        <f>IFERROR(__xludf.DUMMYFUNCTION("""COMPUTED_VALUE"""),4.0)</f>
        <v>4</v>
      </c>
      <c r="E2379" s="6">
        <f>IFERROR(__xludf.DUMMYFUNCTION("""COMPUTED_VALUE"""),4.0)</f>
        <v>4</v>
      </c>
      <c r="F2379" s="6">
        <f>IFERROR(__xludf.DUMMYFUNCTION("""COMPUTED_VALUE"""),9.0)</f>
        <v>9</v>
      </c>
      <c r="G2379" s="6">
        <f>IFERROR(__xludf.DUMMYFUNCTION("""COMPUTED_VALUE"""),17.0)</f>
        <v>17</v>
      </c>
    </row>
    <row r="2380">
      <c r="A2380" s="6">
        <f>IFERROR(__xludf.DUMMYFUNCTION("""COMPUTED_VALUE"""),2025.0)</f>
        <v>2025</v>
      </c>
      <c r="B2380" s="6" t="str">
        <f>IFERROR(__xludf.DUMMYFUNCTION("""COMPUTED_VALUE"""),"Março")</f>
        <v>Março</v>
      </c>
      <c r="C2380" s="6" t="str">
        <f>IFERROR(__xludf.DUMMYFUNCTION("""COMPUTED_VALUE"""),"HOMICÍDIO CULPOSO")</f>
        <v>HOMICÍDIO CULPOSO</v>
      </c>
      <c r="D2380" s="6">
        <f>IFERROR(__xludf.DUMMYFUNCTION("""COMPUTED_VALUE"""),0.0)</f>
        <v>0</v>
      </c>
      <c r="E2380" s="6">
        <f>IFERROR(__xludf.DUMMYFUNCTION("""COMPUTED_VALUE"""),0.0)</f>
        <v>0</v>
      </c>
      <c r="F2380" s="6">
        <f>IFERROR(__xludf.DUMMYFUNCTION("""COMPUTED_VALUE"""),0.0)</f>
        <v>0</v>
      </c>
      <c r="G2380" s="6">
        <f>IFERROR(__xludf.DUMMYFUNCTION("""COMPUTED_VALUE"""),0.0)</f>
        <v>0</v>
      </c>
    </row>
    <row r="2381">
      <c r="A2381" s="6">
        <f>IFERROR(__xludf.DUMMYFUNCTION("""COMPUTED_VALUE"""),2025.0)</f>
        <v>2025</v>
      </c>
      <c r="B2381" s="6" t="str">
        <f>IFERROR(__xludf.DUMMYFUNCTION("""COMPUTED_VALUE"""),"Março")</f>
        <v>Março</v>
      </c>
      <c r="C2381" s="6" t="str">
        <f>IFERROR(__xludf.DUMMYFUNCTION("""COMPUTED_VALUE"""),"TENTATIVA DE HOMICÍDIO")</f>
        <v>TENTATIVA DE HOMICÍDIO</v>
      </c>
      <c r="D2381" s="6">
        <f>IFERROR(__xludf.DUMMYFUNCTION("""COMPUTED_VALUE"""),2.0)</f>
        <v>2</v>
      </c>
      <c r="E2381" s="6">
        <f>IFERROR(__xludf.DUMMYFUNCTION("""COMPUTED_VALUE"""),2.0)</f>
        <v>2</v>
      </c>
      <c r="F2381" s="6">
        <f>IFERROR(__xludf.DUMMYFUNCTION("""COMPUTED_VALUE"""),12.0)</f>
        <v>12</v>
      </c>
      <c r="G2381" s="6">
        <f>IFERROR(__xludf.DUMMYFUNCTION("""COMPUTED_VALUE"""),16.0)</f>
        <v>16</v>
      </c>
    </row>
    <row r="2382">
      <c r="A2382" s="6">
        <f>IFERROR(__xludf.DUMMYFUNCTION("""COMPUTED_VALUE"""),2025.0)</f>
        <v>2025</v>
      </c>
      <c r="B2382" s="6" t="str">
        <f>IFERROR(__xludf.DUMMYFUNCTION("""COMPUTED_VALUE"""),"Março")</f>
        <v>Março</v>
      </c>
      <c r="C2382" s="6" t="str">
        <f>IFERROR(__xludf.DUMMYFUNCTION("""COMPUTED_VALUE"""),"LESÃO CORPORAL DOLOSA")</f>
        <v>LESÃO CORPORAL DOLOSA</v>
      </c>
      <c r="D2382" s="6">
        <f>IFERROR(__xludf.DUMMYFUNCTION("""COMPUTED_VALUE"""),948.0)</f>
        <v>948</v>
      </c>
      <c r="E2382" s="6">
        <f>IFERROR(__xludf.DUMMYFUNCTION("""COMPUTED_VALUE"""),812.0)</f>
        <v>812</v>
      </c>
      <c r="F2382" s="6">
        <f>IFERROR(__xludf.DUMMYFUNCTION("""COMPUTED_VALUE"""),2914.0)</f>
        <v>2914</v>
      </c>
      <c r="G2382" s="6">
        <f>IFERROR(__xludf.DUMMYFUNCTION("""COMPUTED_VALUE"""),4674.0)</f>
        <v>4674</v>
      </c>
    </row>
    <row r="2383">
      <c r="A2383" s="6">
        <f>IFERROR(__xludf.DUMMYFUNCTION("""COMPUTED_VALUE"""),2025.0)</f>
        <v>2025</v>
      </c>
      <c r="B2383" s="6" t="str">
        <f>IFERROR(__xludf.DUMMYFUNCTION("""COMPUTED_VALUE"""),"Março")</f>
        <v>Março</v>
      </c>
      <c r="C2383" s="6" t="str">
        <f>IFERROR(__xludf.DUMMYFUNCTION("""COMPUTED_VALUE"""),"MAUS TRATOS")</f>
        <v>MAUS TRATOS</v>
      </c>
      <c r="D2383" s="6">
        <f>IFERROR(__xludf.DUMMYFUNCTION("""COMPUTED_VALUE"""),3.0)</f>
        <v>3</v>
      </c>
      <c r="E2383" s="6">
        <f>IFERROR(__xludf.DUMMYFUNCTION("""COMPUTED_VALUE"""),2.0)</f>
        <v>2</v>
      </c>
      <c r="F2383" s="6">
        <f>IFERROR(__xludf.DUMMYFUNCTION("""COMPUTED_VALUE"""),16.0)</f>
        <v>16</v>
      </c>
      <c r="G2383" s="6">
        <f>IFERROR(__xludf.DUMMYFUNCTION("""COMPUTED_VALUE"""),21.0)</f>
        <v>21</v>
      </c>
    </row>
    <row r="2384">
      <c r="A2384" s="6">
        <f>IFERROR(__xludf.DUMMYFUNCTION("""COMPUTED_VALUE"""),2025.0)</f>
        <v>2025</v>
      </c>
      <c r="B2384" s="6" t="str">
        <f>IFERROR(__xludf.DUMMYFUNCTION("""COMPUTED_VALUE"""),"Março")</f>
        <v>Março</v>
      </c>
      <c r="C2384" s="6" t="str">
        <f>IFERROR(__xludf.DUMMYFUNCTION("""COMPUTED_VALUE"""),"CALÚNIA - DIFAMAÇÃO - INJÚRIA")</f>
        <v>CALÚNIA - DIFAMAÇÃO - INJÚRIA</v>
      </c>
      <c r="D2384" s="6">
        <f>IFERROR(__xludf.DUMMYFUNCTION("""COMPUTED_VALUE"""),187.0)</f>
        <v>187</v>
      </c>
      <c r="E2384" s="6">
        <f>IFERROR(__xludf.DUMMYFUNCTION("""COMPUTED_VALUE"""),159.0)</f>
        <v>159</v>
      </c>
      <c r="F2384" s="6">
        <f>IFERROR(__xludf.DUMMYFUNCTION("""COMPUTED_VALUE"""),694.0)</f>
        <v>694</v>
      </c>
      <c r="G2384" s="6">
        <f>IFERROR(__xludf.DUMMYFUNCTION("""COMPUTED_VALUE"""),1040.0)</f>
        <v>1040</v>
      </c>
    </row>
    <row r="2385">
      <c r="A2385" s="6">
        <f>IFERROR(__xludf.DUMMYFUNCTION("""COMPUTED_VALUE"""),2025.0)</f>
        <v>2025</v>
      </c>
      <c r="B2385" s="6" t="str">
        <f>IFERROR(__xludf.DUMMYFUNCTION("""COMPUTED_VALUE"""),"Março")</f>
        <v>Março</v>
      </c>
      <c r="C2385" s="6" t="str">
        <f>IFERROR(__xludf.DUMMYFUNCTION("""COMPUTED_VALUE"""),"CONSTRANGIMENTO ILEGAL")</f>
        <v>CONSTRANGIMENTO ILEGAL</v>
      </c>
      <c r="D2385" s="6">
        <f>IFERROR(__xludf.DUMMYFUNCTION("""COMPUTED_VALUE"""),1.0)</f>
        <v>1</v>
      </c>
      <c r="E2385" s="6">
        <f>IFERROR(__xludf.DUMMYFUNCTION("""COMPUTED_VALUE"""),0.0)</f>
        <v>0</v>
      </c>
      <c r="F2385" s="6">
        <f>IFERROR(__xludf.DUMMYFUNCTION("""COMPUTED_VALUE"""),6.0)</f>
        <v>6</v>
      </c>
      <c r="G2385" s="6">
        <f>IFERROR(__xludf.DUMMYFUNCTION("""COMPUTED_VALUE"""),7.0)</f>
        <v>7</v>
      </c>
    </row>
    <row r="2386">
      <c r="A2386" s="6">
        <f>IFERROR(__xludf.DUMMYFUNCTION("""COMPUTED_VALUE"""),2025.0)</f>
        <v>2025</v>
      </c>
      <c r="B2386" s="6" t="str">
        <f>IFERROR(__xludf.DUMMYFUNCTION("""COMPUTED_VALUE"""),"Março")</f>
        <v>Março</v>
      </c>
      <c r="C2386" s="6" t="str">
        <f>IFERROR(__xludf.DUMMYFUNCTION("""COMPUTED_VALUE"""),"AMEAÇA")</f>
        <v>AMEAÇA</v>
      </c>
      <c r="D2386" s="6">
        <f>IFERROR(__xludf.DUMMYFUNCTION("""COMPUTED_VALUE"""),872.0)</f>
        <v>872</v>
      </c>
      <c r="E2386" s="6">
        <f>IFERROR(__xludf.DUMMYFUNCTION("""COMPUTED_VALUE"""),804.0)</f>
        <v>804</v>
      </c>
      <c r="F2386" s="6">
        <f>IFERROR(__xludf.DUMMYFUNCTION("""COMPUTED_VALUE"""),2984.0)</f>
        <v>2984</v>
      </c>
      <c r="G2386" s="6">
        <f>IFERROR(__xludf.DUMMYFUNCTION("""COMPUTED_VALUE"""),4660.0)</f>
        <v>4660</v>
      </c>
    </row>
    <row r="2387">
      <c r="A2387" s="6">
        <f>IFERROR(__xludf.DUMMYFUNCTION("""COMPUTED_VALUE"""),2025.0)</f>
        <v>2025</v>
      </c>
      <c r="B2387" s="6" t="str">
        <f>IFERROR(__xludf.DUMMYFUNCTION("""COMPUTED_VALUE"""),"Março")</f>
        <v>Março</v>
      </c>
      <c r="C2387" s="6" t="str">
        <f>IFERROR(__xludf.DUMMYFUNCTION("""COMPUTED_VALUE"""),"INVASÃO DE DOMICÍLIO")</f>
        <v>INVASÃO DE DOMICÍLIO</v>
      </c>
      <c r="D2387" s="6">
        <f>IFERROR(__xludf.DUMMYFUNCTION("""COMPUTED_VALUE"""),1.0)</f>
        <v>1</v>
      </c>
      <c r="E2387" s="6">
        <f>IFERROR(__xludf.DUMMYFUNCTION("""COMPUTED_VALUE"""),2.0)</f>
        <v>2</v>
      </c>
      <c r="F2387" s="6">
        <f>IFERROR(__xludf.DUMMYFUNCTION("""COMPUTED_VALUE"""),13.0)</f>
        <v>13</v>
      </c>
      <c r="G2387" s="6">
        <f>IFERROR(__xludf.DUMMYFUNCTION("""COMPUTED_VALUE"""),16.0)</f>
        <v>16</v>
      </c>
    </row>
    <row r="2388">
      <c r="A2388" s="6">
        <f>IFERROR(__xludf.DUMMYFUNCTION("""COMPUTED_VALUE"""),2025.0)</f>
        <v>2025</v>
      </c>
      <c r="B2388" s="6" t="str">
        <f>IFERROR(__xludf.DUMMYFUNCTION("""COMPUTED_VALUE"""),"Março")</f>
        <v>Março</v>
      </c>
      <c r="C2388" s="6" t="str">
        <f>IFERROR(__xludf.DUMMYFUNCTION("""COMPUTED_VALUE"""),"DANO")</f>
        <v>DANO</v>
      </c>
      <c r="D2388" s="6">
        <f>IFERROR(__xludf.DUMMYFUNCTION("""COMPUTED_VALUE"""),11.0)</f>
        <v>11</v>
      </c>
      <c r="E2388" s="6">
        <f>IFERROR(__xludf.DUMMYFUNCTION("""COMPUTED_VALUE"""),10.0)</f>
        <v>10</v>
      </c>
      <c r="F2388" s="6">
        <f>IFERROR(__xludf.DUMMYFUNCTION("""COMPUTED_VALUE"""),54.0)</f>
        <v>54</v>
      </c>
      <c r="G2388" s="6">
        <f>IFERROR(__xludf.DUMMYFUNCTION("""COMPUTED_VALUE"""),75.0)</f>
        <v>75</v>
      </c>
    </row>
    <row r="2389">
      <c r="A2389" s="6">
        <f>IFERROR(__xludf.DUMMYFUNCTION("""COMPUTED_VALUE"""),2025.0)</f>
        <v>2025</v>
      </c>
      <c r="B2389" s="6" t="str">
        <f>IFERROR(__xludf.DUMMYFUNCTION("""COMPUTED_VALUE"""),"Março")</f>
        <v>Março</v>
      </c>
      <c r="C2389" s="6" t="str">
        <f>IFERROR(__xludf.DUMMYFUNCTION("""COMPUTED_VALUE"""),"ESTUPRO CONSUMADO")</f>
        <v>ESTUPRO CONSUMADO</v>
      </c>
      <c r="D2389" s="6">
        <f>IFERROR(__xludf.DUMMYFUNCTION("""COMPUTED_VALUE"""),10.0)</f>
        <v>10</v>
      </c>
      <c r="E2389" s="6">
        <f>IFERROR(__xludf.DUMMYFUNCTION("""COMPUTED_VALUE"""),7.0)</f>
        <v>7</v>
      </c>
      <c r="F2389" s="6">
        <f>IFERROR(__xludf.DUMMYFUNCTION("""COMPUTED_VALUE"""),17.0)</f>
        <v>17</v>
      </c>
      <c r="G2389" s="6">
        <f>IFERROR(__xludf.DUMMYFUNCTION("""COMPUTED_VALUE"""),34.0)</f>
        <v>34</v>
      </c>
    </row>
    <row r="2390">
      <c r="A2390" s="6">
        <f>IFERROR(__xludf.DUMMYFUNCTION("""COMPUTED_VALUE"""),2025.0)</f>
        <v>2025</v>
      </c>
      <c r="B2390" s="6" t="str">
        <f>IFERROR(__xludf.DUMMYFUNCTION("""COMPUTED_VALUE"""),"Março")</f>
        <v>Março</v>
      </c>
      <c r="C2390" s="6" t="str">
        <f>IFERROR(__xludf.DUMMYFUNCTION("""COMPUTED_VALUE"""),"ESTUPRO TENTADO")</f>
        <v>ESTUPRO TENTADO</v>
      </c>
      <c r="D2390" s="6">
        <f>IFERROR(__xludf.DUMMYFUNCTION("""COMPUTED_VALUE"""),0.0)</f>
        <v>0</v>
      </c>
      <c r="E2390" s="6">
        <f>IFERROR(__xludf.DUMMYFUNCTION("""COMPUTED_VALUE"""),0.0)</f>
        <v>0</v>
      </c>
      <c r="F2390" s="6">
        <f>IFERROR(__xludf.DUMMYFUNCTION("""COMPUTED_VALUE"""),1.0)</f>
        <v>1</v>
      </c>
      <c r="G2390" s="6">
        <f>IFERROR(__xludf.DUMMYFUNCTION("""COMPUTED_VALUE"""),1.0)</f>
        <v>1</v>
      </c>
    </row>
    <row r="2391">
      <c r="A2391" s="6">
        <f>IFERROR(__xludf.DUMMYFUNCTION("""COMPUTED_VALUE"""),2025.0)</f>
        <v>2025</v>
      </c>
      <c r="B2391" s="6" t="str">
        <f>IFERROR(__xludf.DUMMYFUNCTION("""COMPUTED_VALUE"""),"Março")</f>
        <v>Março</v>
      </c>
      <c r="C2391" s="6" t="str">
        <f>IFERROR(__xludf.DUMMYFUNCTION("""COMPUTED_VALUE"""),"ESTUPRO DE VULNERÁVEL CONSUMADO")</f>
        <v>ESTUPRO DE VULNERÁVEL CONSUMADO</v>
      </c>
      <c r="D2391" s="6">
        <f>IFERROR(__xludf.DUMMYFUNCTION("""COMPUTED_VALUE"""),3.0)</f>
        <v>3</v>
      </c>
      <c r="E2391" s="6">
        <f>IFERROR(__xludf.DUMMYFUNCTION("""COMPUTED_VALUE"""),4.0)</f>
        <v>4</v>
      </c>
      <c r="F2391" s="6">
        <f>IFERROR(__xludf.DUMMYFUNCTION("""COMPUTED_VALUE"""),17.0)</f>
        <v>17</v>
      </c>
      <c r="G2391" s="6">
        <f>IFERROR(__xludf.DUMMYFUNCTION("""COMPUTED_VALUE"""),24.0)</f>
        <v>24</v>
      </c>
    </row>
    <row r="2392">
      <c r="A2392" s="6">
        <f>IFERROR(__xludf.DUMMYFUNCTION("""COMPUTED_VALUE"""),2025.0)</f>
        <v>2025</v>
      </c>
      <c r="B2392" s="6" t="str">
        <f>IFERROR(__xludf.DUMMYFUNCTION("""COMPUTED_VALUE"""),"Março")</f>
        <v>Março</v>
      </c>
      <c r="C2392" s="6" t="str">
        <f>IFERROR(__xludf.DUMMYFUNCTION("""COMPUTED_VALUE"""),"OUTROS C/C/ DIGNIDADE SEXUAL")</f>
        <v>OUTROS C/C/ DIGNIDADE SEXUAL</v>
      </c>
      <c r="D2392" s="6">
        <f>IFERROR(__xludf.DUMMYFUNCTION("""COMPUTED_VALUE"""),0.0)</f>
        <v>0</v>
      </c>
      <c r="E2392" s="6">
        <f>IFERROR(__xludf.DUMMYFUNCTION("""COMPUTED_VALUE"""),0.0)</f>
        <v>0</v>
      </c>
      <c r="F2392" s="6">
        <f>IFERROR(__xludf.DUMMYFUNCTION("""COMPUTED_VALUE"""),2.0)</f>
        <v>2</v>
      </c>
      <c r="G2392" s="6">
        <f>IFERROR(__xludf.DUMMYFUNCTION("""COMPUTED_VALUE"""),2.0)</f>
        <v>2</v>
      </c>
    </row>
    <row r="2393">
      <c r="A2393" s="6">
        <f>IFERROR(__xludf.DUMMYFUNCTION("""COMPUTED_VALUE"""),2025.0)</f>
        <v>2025</v>
      </c>
      <c r="B2393" s="6" t="str">
        <f>IFERROR(__xludf.DUMMYFUNCTION("""COMPUTED_VALUE"""),"Abril")</f>
        <v>Abril</v>
      </c>
      <c r="C2393" s="6" t="str">
        <f>IFERROR(__xludf.DUMMYFUNCTION("""COMPUTED_VALUE"""),"HOMICÍDIO DOLOSO (exclui FEMINICÍDIO)")</f>
        <v>HOMICÍDIO DOLOSO (exclui FEMINICÍDIO)</v>
      </c>
      <c r="D2393" s="6">
        <f>IFERROR(__xludf.DUMMYFUNCTION("""COMPUTED_VALUE"""),1.0)</f>
        <v>1</v>
      </c>
      <c r="E2393" s="6">
        <f>IFERROR(__xludf.DUMMYFUNCTION("""COMPUTED_VALUE"""),0.0)</f>
        <v>0</v>
      </c>
      <c r="F2393" s="6">
        <f>IFERROR(__xludf.DUMMYFUNCTION("""COMPUTED_VALUE"""),2.0)</f>
        <v>2</v>
      </c>
      <c r="G2393" s="6">
        <f>IFERROR(__xludf.DUMMYFUNCTION("""COMPUTED_VALUE"""),3.0)</f>
        <v>3</v>
      </c>
    </row>
    <row r="2394">
      <c r="A2394" s="6">
        <f>IFERROR(__xludf.DUMMYFUNCTION("""COMPUTED_VALUE"""),2025.0)</f>
        <v>2025</v>
      </c>
      <c r="B2394" s="6" t="str">
        <f>IFERROR(__xludf.DUMMYFUNCTION("""COMPUTED_VALUE"""),"Abril")</f>
        <v>Abril</v>
      </c>
      <c r="C2394" s="6" t="str">
        <f>IFERROR(__xludf.DUMMYFUNCTION("""COMPUTED_VALUE"""),"FEMINICÍDIO")</f>
        <v>FEMINICÍDIO</v>
      </c>
      <c r="D2394" s="6">
        <f>IFERROR(__xludf.DUMMYFUNCTION("""COMPUTED_VALUE"""),3.0)</f>
        <v>3</v>
      </c>
      <c r="E2394" s="6">
        <f>IFERROR(__xludf.DUMMYFUNCTION("""COMPUTED_VALUE"""),3.0)</f>
        <v>3</v>
      </c>
      <c r="F2394" s="6">
        <f>IFERROR(__xludf.DUMMYFUNCTION("""COMPUTED_VALUE"""),6.0)</f>
        <v>6</v>
      </c>
      <c r="G2394" s="6">
        <f>IFERROR(__xludf.DUMMYFUNCTION("""COMPUTED_VALUE"""),12.0)</f>
        <v>12</v>
      </c>
    </row>
    <row r="2395">
      <c r="A2395" s="6">
        <f>IFERROR(__xludf.DUMMYFUNCTION("""COMPUTED_VALUE"""),2025.0)</f>
        <v>2025</v>
      </c>
      <c r="B2395" s="6" t="str">
        <f>IFERROR(__xludf.DUMMYFUNCTION("""COMPUTED_VALUE"""),"Abril")</f>
        <v>Abril</v>
      </c>
      <c r="C2395" s="6" t="str">
        <f>IFERROR(__xludf.DUMMYFUNCTION("""COMPUTED_VALUE"""),"HOMICÍDIO CULPOSO")</f>
        <v>HOMICÍDIO CULPOSO</v>
      </c>
      <c r="D2395" s="6">
        <f>IFERROR(__xludf.DUMMYFUNCTION("""COMPUTED_VALUE"""),0.0)</f>
        <v>0</v>
      </c>
      <c r="E2395" s="6">
        <f>IFERROR(__xludf.DUMMYFUNCTION("""COMPUTED_VALUE"""),0.0)</f>
        <v>0</v>
      </c>
      <c r="F2395" s="6">
        <f>IFERROR(__xludf.DUMMYFUNCTION("""COMPUTED_VALUE"""),0.0)</f>
        <v>0</v>
      </c>
      <c r="G2395" s="6">
        <f>IFERROR(__xludf.DUMMYFUNCTION("""COMPUTED_VALUE"""),0.0)</f>
        <v>0</v>
      </c>
    </row>
    <row r="2396">
      <c r="A2396" s="6">
        <f>IFERROR(__xludf.DUMMYFUNCTION("""COMPUTED_VALUE"""),2025.0)</f>
        <v>2025</v>
      </c>
      <c r="B2396" s="6" t="str">
        <f>IFERROR(__xludf.DUMMYFUNCTION("""COMPUTED_VALUE"""),"Abril")</f>
        <v>Abril</v>
      </c>
      <c r="C2396" s="6" t="str">
        <f>IFERROR(__xludf.DUMMYFUNCTION("""COMPUTED_VALUE"""),"TENTATIVA DE HOMICÍDIO")</f>
        <v>TENTATIVA DE HOMICÍDIO</v>
      </c>
      <c r="D2396" s="6">
        <f>IFERROR(__xludf.DUMMYFUNCTION("""COMPUTED_VALUE"""),1.0)</f>
        <v>1</v>
      </c>
      <c r="E2396" s="6">
        <f>IFERROR(__xludf.DUMMYFUNCTION("""COMPUTED_VALUE"""),1.0)</f>
        <v>1</v>
      </c>
      <c r="F2396" s="6">
        <f>IFERROR(__xludf.DUMMYFUNCTION("""COMPUTED_VALUE"""),11.0)</f>
        <v>11</v>
      </c>
      <c r="G2396" s="6">
        <f>IFERROR(__xludf.DUMMYFUNCTION("""COMPUTED_VALUE"""),13.0)</f>
        <v>13</v>
      </c>
    </row>
    <row r="2397">
      <c r="A2397" s="6">
        <f>IFERROR(__xludf.DUMMYFUNCTION("""COMPUTED_VALUE"""),2025.0)</f>
        <v>2025</v>
      </c>
      <c r="B2397" s="6" t="str">
        <f>IFERROR(__xludf.DUMMYFUNCTION("""COMPUTED_VALUE"""),"Abril")</f>
        <v>Abril</v>
      </c>
      <c r="C2397" s="6" t="str">
        <f>IFERROR(__xludf.DUMMYFUNCTION("""COMPUTED_VALUE"""),"LESÃO CORPORAL DOLOSA")</f>
        <v>LESÃO CORPORAL DOLOSA</v>
      </c>
      <c r="D2397" s="6">
        <f>IFERROR(__xludf.DUMMYFUNCTION("""COMPUTED_VALUE"""),912.0)</f>
        <v>912</v>
      </c>
      <c r="E2397" s="6">
        <f>IFERROR(__xludf.DUMMYFUNCTION("""COMPUTED_VALUE"""),784.0)</f>
        <v>784</v>
      </c>
      <c r="F2397" s="6">
        <f>IFERROR(__xludf.DUMMYFUNCTION("""COMPUTED_VALUE"""),2814.0)</f>
        <v>2814</v>
      </c>
      <c r="G2397" s="6">
        <f>IFERROR(__xludf.DUMMYFUNCTION("""COMPUTED_VALUE"""),4510.0)</f>
        <v>4510</v>
      </c>
    </row>
    <row r="2398">
      <c r="A2398" s="6">
        <f>IFERROR(__xludf.DUMMYFUNCTION("""COMPUTED_VALUE"""),2025.0)</f>
        <v>2025</v>
      </c>
      <c r="B2398" s="6" t="str">
        <f>IFERROR(__xludf.DUMMYFUNCTION("""COMPUTED_VALUE"""),"Abril")</f>
        <v>Abril</v>
      </c>
      <c r="C2398" s="6" t="str">
        <f>IFERROR(__xludf.DUMMYFUNCTION("""COMPUTED_VALUE"""),"MAUS TRATOS")</f>
        <v>MAUS TRATOS</v>
      </c>
      <c r="D2398" s="6">
        <f>IFERROR(__xludf.DUMMYFUNCTION("""COMPUTED_VALUE"""),2.0)</f>
        <v>2</v>
      </c>
      <c r="E2398" s="6">
        <f>IFERROR(__xludf.DUMMYFUNCTION("""COMPUTED_VALUE"""),2.0)</f>
        <v>2</v>
      </c>
      <c r="F2398" s="6">
        <f>IFERROR(__xludf.DUMMYFUNCTION("""COMPUTED_VALUE"""),14.0)</f>
        <v>14</v>
      </c>
      <c r="G2398" s="6">
        <f>IFERROR(__xludf.DUMMYFUNCTION("""COMPUTED_VALUE"""),18.0)</f>
        <v>18</v>
      </c>
    </row>
    <row r="2399">
      <c r="A2399" s="6">
        <f>IFERROR(__xludf.DUMMYFUNCTION("""COMPUTED_VALUE"""),2025.0)</f>
        <v>2025</v>
      </c>
      <c r="B2399" s="6" t="str">
        <f>IFERROR(__xludf.DUMMYFUNCTION("""COMPUTED_VALUE"""),"Abril")</f>
        <v>Abril</v>
      </c>
      <c r="C2399" s="6" t="str">
        <f>IFERROR(__xludf.DUMMYFUNCTION("""COMPUTED_VALUE"""),"CALÚNIA - DIFAMAÇÃO - INJÚRIA")</f>
        <v>CALÚNIA - DIFAMAÇÃO - INJÚRIA</v>
      </c>
      <c r="D2399" s="6">
        <f>IFERROR(__xludf.DUMMYFUNCTION("""COMPUTED_VALUE"""),178.0)</f>
        <v>178</v>
      </c>
      <c r="E2399" s="6">
        <f>IFERROR(__xludf.DUMMYFUNCTION("""COMPUTED_VALUE"""),151.0)</f>
        <v>151</v>
      </c>
      <c r="F2399" s="6">
        <f>IFERROR(__xludf.DUMMYFUNCTION("""COMPUTED_VALUE"""),654.0)</f>
        <v>654</v>
      </c>
      <c r="G2399" s="6">
        <f>IFERROR(__xludf.DUMMYFUNCTION("""COMPUTED_VALUE"""),983.0)</f>
        <v>983</v>
      </c>
    </row>
    <row r="2400">
      <c r="A2400" s="6">
        <f>IFERROR(__xludf.DUMMYFUNCTION("""COMPUTED_VALUE"""),2025.0)</f>
        <v>2025</v>
      </c>
      <c r="B2400" s="6" t="str">
        <f>IFERROR(__xludf.DUMMYFUNCTION("""COMPUTED_VALUE"""),"Abril")</f>
        <v>Abril</v>
      </c>
      <c r="C2400" s="6" t="str">
        <f>IFERROR(__xludf.DUMMYFUNCTION("""COMPUTED_VALUE"""),"CONSTRANGIMENTO ILEGAL")</f>
        <v>CONSTRANGIMENTO ILEGAL</v>
      </c>
      <c r="D2400" s="6">
        <f>IFERROR(__xludf.DUMMYFUNCTION("""COMPUTED_VALUE"""),1.0)</f>
        <v>1</v>
      </c>
      <c r="E2400" s="6">
        <f>IFERROR(__xludf.DUMMYFUNCTION("""COMPUTED_VALUE"""),0.0)</f>
        <v>0</v>
      </c>
      <c r="F2400" s="6">
        <f>IFERROR(__xludf.DUMMYFUNCTION("""COMPUTED_VALUE"""),5.0)</f>
        <v>5</v>
      </c>
      <c r="G2400" s="6">
        <f>IFERROR(__xludf.DUMMYFUNCTION("""COMPUTED_VALUE"""),6.0)</f>
        <v>6</v>
      </c>
    </row>
    <row r="2401">
      <c r="A2401" s="6">
        <f>IFERROR(__xludf.DUMMYFUNCTION("""COMPUTED_VALUE"""),2025.0)</f>
        <v>2025</v>
      </c>
      <c r="B2401" s="6" t="str">
        <f>IFERROR(__xludf.DUMMYFUNCTION("""COMPUTED_VALUE"""),"Abril")</f>
        <v>Abril</v>
      </c>
      <c r="C2401" s="6" t="str">
        <f>IFERROR(__xludf.DUMMYFUNCTION("""COMPUTED_VALUE"""),"AMEAÇA")</f>
        <v>AMEAÇA</v>
      </c>
      <c r="D2401" s="6">
        <f>IFERROR(__xludf.DUMMYFUNCTION("""COMPUTED_VALUE"""),842.0)</f>
        <v>842</v>
      </c>
      <c r="E2401" s="6">
        <f>IFERROR(__xludf.DUMMYFUNCTION("""COMPUTED_VALUE"""),771.0)</f>
        <v>771</v>
      </c>
      <c r="F2401" s="6">
        <f>IFERROR(__xludf.DUMMYFUNCTION("""COMPUTED_VALUE"""),2884.0)</f>
        <v>2884</v>
      </c>
      <c r="G2401" s="6">
        <f>IFERROR(__xludf.DUMMYFUNCTION("""COMPUTED_VALUE"""),4497.0)</f>
        <v>4497</v>
      </c>
    </row>
    <row r="2402">
      <c r="A2402" s="6">
        <f>IFERROR(__xludf.DUMMYFUNCTION("""COMPUTED_VALUE"""),2025.0)</f>
        <v>2025</v>
      </c>
      <c r="B2402" s="6" t="str">
        <f>IFERROR(__xludf.DUMMYFUNCTION("""COMPUTED_VALUE"""),"Abril")</f>
        <v>Abril</v>
      </c>
      <c r="C2402" s="6" t="str">
        <f>IFERROR(__xludf.DUMMYFUNCTION("""COMPUTED_VALUE"""),"INVASÃO DE DOMICÍLIO")</f>
        <v>INVASÃO DE DOMICÍLIO</v>
      </c>
      <c r="D2402" s="6">
        <f>IFERROR(__xludf.DUMMYFUNCTION("""COMPUTED_VALUE"""),1.0)</f>
        <v>1</v>
      </c>
      <c r="E2402" s="6">
        <f>IFERROR(__xludf.DUMMYFUNCTION("""COMPUTED_VALUE"""),1.0)</f>
        <v>1</v>
      </c>
      <c r="F2402" s="6">
        <f>IFERROR(__xludf.DUMMYFUNCTION("""COMPUTED_VALUE"""),11.0)</f>
        <v>11</v>
      </c>
      <c r="G2402" s="6">
        <f>IFERROR(__xludf.DUMMYFUNCTION("""COMPUTED_VALUE"""),13.0)</f>
        <v>13</v>
      </c>
    </row>
    <row r="2403">
      <c r="A2403" s="6">
        <f>IFERROR(__xludf.DUMMYFUNCTION("""COMPUTED_VALUE"""),2025.0)</f>
        <v>2025</v>
      </c>
      <c r="B2403" s="6" t="str">
        <f>IFERROR(__xludf.DUMMYFUNCTION("""COMPUTED_VALUE"""),"Abril")</f>
        <v>Abril</v>
      </c>
      <c r="C2403" s="6" t="str">
        <f>IFERROR(__xludf.DUMMYFUNCTION("""COMPUTED_VALUE"""),"DANO")</f>
        <v>DANO</v>
      </c>
      <c r="D2403" s="6">
        <f>IFERROR(__xludf.DUMMYFUNCTION("""COMPUTED_VALUE"""),9.0)</f>
        <v>9</v>
      </c>
      <c r="E2403" s="6">
        <f>IFERROR(__xludf.DUMMYFUNCTION("""COMPUTED_VALUE"""),9.0)</f>
        <v>9</v>
      </c>
      <c r="F2403" s="6">
        <f>IFERROR(__xludf.DUMMYFUNCTION("""COMPUTED_VALUE"""),51.0)</f>
        <v>51</v>
      </c>
      <c r="G2403" s="6">
        <f>IFERROR(__xludf.DUMMYFUNCTION("""COMPUTED_VALUE"""),69.0)</f>
        <v>69</v>
      </c>
    </row>
    <row r="2404">
      <c r="A2404" s="6">
        <f>IFERROR(__xludf.DUMMYFUNCTION("""COMPUTED_VALUE"""),2025.0)</f>
        <v>2025</v>
      </c>
      <c r="B2404" s="6" t="str">
        <f>IFERROR(__xludf.DUMMYFUNCTION("""COMPUTED_VALUE"""),"Abril")</f>
        <v>Abril</v>
      </c>
      <c r="C2404" s="6" t="str">
        <f>IFERROR(__xludf.DUMMYFUNCTION("""COMPUTED_VALUE"""),"ESTUPRO CONSUMADO")</f>
        <v>ESTUPRO CONSUMADO</v>
      </c>
      <c r="D2404" s="6">
        <f>IFERROR(__xludf.DUMMYFUNCTION("""COMPUTED_VALUE"""),9.0)</f>
        <v>9</v>
      </c>
      <c r="E2404" s="6">
        <f>IFERROR(__xludf.DUMMYFUNCTION("""COMPUTED_VALUE"""),6.0)</f>
        <v>6</v>
      </c>
      <c r="F2404" s="6">
        <f>IFERROR(__xludf.DUMMYFUNCTION("""COMPUTED_VALUE"""),16.0)</f>
        <v>16</v>
      </c>
      <c r="G2404" s="6">
        <f>IFERROR(__xludf.DUMMYFUNCTION("""COMPUTED_VALUE"""),31.0)</f>
        <v>31</v>
      </c>
    </row>
    <row r="2405">
      <c r="A2405" s="6">
        <f>IFERROR(__xludf.DUMMYFUNCTION("""COMPUTED_VALUE"""),2025.0)</f>
        <v>2025</v>
      </c>
      <c r="B2405" s="6" t="str">
        <f>IFERROR(__xludf.DUMMYFUNCTION("""COMPUTED_VALUE"""),"Abril")</f>
        <v>Abril</v>
      </c>
      <c r="C2405" s="6" t="str">
        <f>IFERROR(__xludf.DUMMYFUNCTION("""COMPUTED_VALUE"""),"ESTUPRO TENTADO")</f>
        <v>ESTUPRO TENTADO</v>
      </c>
      <c r="D2405" s="6">
        <f>IFERROR(__xludf.DUMMYFUNCTION("""COMPUTED_VALUE"""),0.0)</f>
        <v>0</v>
      </c>
      <c r="E2405" s="6">
        <f>IFERROR(__xludf.DUMMYFUNCTION("""COMPUTED_VALUE"""),0.0)</f>
        <v>0</v>
      </c>
      <c r="F2405" s="6">
        <f>IFERROR(__xludf.DUMMYFUNCTION("""COMPUTED_VALUE"""),1.0)</f>
        <v>1</v>
      </c>
      <c r="G2405" s="6">
        <f>IFERROR(__xludf.DUMMYFUNCTION("""COMPUTED_VALUE"""),1.0)</f>
        <v>1</v>
      </c>
    </row>
    <row r="2406">
      <c r="A2406" s="6">
        <f>IFERROR(__xludf.DUMMYFUNCTION("""COMPUTED_VALUE"""),2025.0)</f>
        <v>2025</v>
      </c>
      <c r="B2406" s="6" t="str">
        <f>IFERROR(__xludf.DUMMYFUNCTION("""COMPUTED_VALUE"""),"Abril")</f>
        <v>Abril</v>
      </c>
      <c r="C2406" s="6" t="str">
        <f>IFERROR(__xludf.DUMMYFUNCTION("""COMPUTED_VALUE"""),"ESTUPRO DE VULNERÁVEL CONSUMADO")</f>
        <v>ESTUPRO DE VULNERÁVEL CONSUMADO</v>
      </c>
      <c r="D2406" s="6">
        <f>IFERROR(__xludf.DUMMYFUNCTION("""COMPUTED_VALUE"""),2.0)</f>
        <v>2</v>
      </c>
      <c r="E2406" s="6">
        <f>IFERROR(__xludf.DUMMYFUNCTION("""COMPUTED_VALUE"""),3.0)</f>
        <v>3</v>
      </c>
      <c r="F2406" s="6">
        <f>IFERROR(__xludf.DUMMYFUNCTION("""COMPUTED_VALUE"""),15.0)</f>
        <v>15</v>
      </c>
      <c r="G2406" s="6">
        <f>IFERROR(__xludf.DUMMYFUNCTION("""COMPUTED_VALUE"""),20.0)</f>
        <v>20</v>
      </c>
    </row>
    <row r="2407">
      <c r="A2407" s="6">
        <f>IFERROR(__xludf.DUMMYFUNCTION("""COMPUTED_VALUE"""),2025.0)</f>
        <v>2025</v>
      </c>
      <c r="B2407" s="6" t="str">
        <f>IFERROR(__xludf.DUMMYFUNCTION("""COMPUTED_VALUE"""),"Abril")</f>
        <v>Abril</v>
      </c>
      <c r="C2407" s="6" t="str">
        <f>IFERROR(__xludf.DUMMYFUNCTION("""COMPUTED_VALUE"""),"OUTROS C/C/ DIGNIDADE SEXUAL")</f>
        <v>OUTROS C/C/ DIGNIDADE SEXUAL</v>
      </c>
      <c r="D2407" s="6">
        <f>IFERROR(__xludf.DUMMYFUNCTION("""COMPUTED_VALUE"""),0.0)</f>
        <v>0</v>
      </c>
      <c r="E2407" s="6">
        <f>IFERROR(__xludf.DUMMYFUNCTION("""COMPUTED_VALUE"""),0.0)</f>
        <v>0</v>
      </c>
      <c r="F2407" s="6">
        <f>IFERROR(__xludf.DUMMYFUNCTION("""COMPUTED_VALUE"""),1.0)</f>
        <v>1</v>
      </c>
      <c r="G2407" s="6">
        <f>IFERROR(__xludf.DUMMYFUNCTION("""COMPUTED_VALUE"""),1.0)</f>
        <v>1</v>
      </c>
    </row>
    <row r="2408">
      <c r="A2408" s="6">
        <f>IFERROR(__xludf.DUMMYFUNCTION("""COMPUTED_VALUE"""),2025.0)</f>
        <v>2025</v>
      </c>
      <c r="B2408" s="6" t="str">
        <f>IFERROR(__xludf.DUMMYFUNCTION("""COMPUTED_VALUE"""),"Maio")</f>
        <v>Maio</v>
      </c>
      <c r="C2408" s="6" t="str">
        <f>IFERROR(__xludf.DUMMYFUNCTION("""COMPUTED_VALUE"""),"HOMICÍDIO DOLOSO (exclui FEMINICÍDIO)")</f>
        <v>HOMICÍDIO DOLOSO (exclui FEMINICÍDIO)</v>
      </c>
      <c r="D2408" s="6">
        <f>IFERROR(__xludf.DUMMYFUNCTION("""COMPUTED_VALUE"""),2.0)</f>
        <v>2</v>
      </c>
      <c r="E2408" s="6">
        <f>IFERROR(__xludf.DUMMYFUNCTION("""COMPUTED_VALUE"""),1.0)</f>
        <v>1</v>
      </c>
      <c r="F2408" s="6">
        <f>IFERROR(__xludf.DUMMYFUNCTION("""COMPUTED_VALUE"""),3.0)</f>
        <v>3</v>
      </c>
      <c r="G2408" s="6">
        <f>IFERROR(__xludf.DUMMYFUNCTION("""COMPUTED_VALUE"""),6.0)</f>
        <v>6</v>
      </c>
    </row>
    <row r="2409">
      <c r="A2409" s="6">
        <f>IFERROR(__xludf.DUMMYFUNCTION("""COMPUTED_VALUE"""),2025.0)</f>
        <v>2025</v>
      </c>
      <c r="B2409" s="6" t="str">
        <f>IFERROR(__xludf.DUMMYFUNCTION("""COMPUTED_VALUE"""),"Maio")</f>
        <v>Maio</v>
      </c>
      <c r="C2409" s="6" t="str">
        <f>IFERROR(__xludf.DUMMYFUNCTION("""COMPUTED_VALUE"""),"FEMINICÍDIO")</f>
        <v>FEMINICÍDIO</v>
      </c>
      <c r="D2409" s="6">
        <f>IFERROR(__xludf.DUMMYFUNCTION("""COMPUTED_VALUE"""),4.0)</f>
        <v>4</v>
      </c>
      <c r="E2409" s="6">
        <f>IFERROR(__xludf.DUMMYFUNCTION("""COMPUTED_VALUE"""),4.0)</f>
        <v>4</v>
      </c>
      <c r="F2409" s="6">
        <f>IFERROR(__xludf.DUMMYFUNCTION("""COMPUTED_VALUE"""),8.0)</f>
        <v>8</v>
      </c>
      <c r="G2409" s="6">
        <f>IFERROR(__xludf.DUMMYFUNCTION("""COMPUTED_VALUE"""),16.0)</f>
        <v>16</v>
      </c>
    </row>
    <row r="2410">
      <c r="A2410" s="6">
        <f>IFERROR(__xludf.DUMMYFUNCTION("""COMPUTED_VALUE"""),2025.0)</f>
        <v>2025</v>
      </c>
      <c r="B2410" s="6" t="str">
        <f>IFERROR(__xludf.DUMMYFUNCTION("""COMPUTED_VALUE"""),"Maio")</f>
        <v>Maio</v>
      </c>
      <c r="C2410" s="6" t="str">
        <f>IFERROR(__xludf.DUMMYFUNCTION("""COMPUTED_VALUE"""),"HOMICÍDIO CULPOSO")</f>
        <v>HOMICÍDIO CULPOSO</v>
      </c>
      <c r="D2410" s="6">
        <f>IFERROR(__xludf.DUMMYFUNCTION("""COMPUTED_VALUE"""),0.0)</f>
        <v>0</v>
      </c>
      <c r="E2410" s="6">
        <f>IFERROR(__xludf.DUMMYFUNCTION("""COMPUTED_VALUE"""),0.0)</f>
        <v>0</v>
      </c>
      <c r="F2410" s="6">
        <f>IFERROR(__xludf.DUMMYFUNCTION("""COMPUTED_VALUE"""),0.0)</f>
        <v>0</v>
      </c>
      <c r="G2410" s="6">
        <f>IFERROR(__xludf.DUMMYFUNCTION("""COMPUTED_VALUE"""),0.0)</f>
        <v>0</v>
      </c>
    </row>
    <row r="2411">
      <c r="A2411" s="6">
        <f>IFERROR(__xludf.DUMMYFUNCTION("""COMPUTED_VALUE"""),2025.0)</f>
        <v>2025</v>
      </c>
      <c r="B2411" s="6" t="str">
        <f>IFERROR(__xludf.DUMMYFUNCTION("""COMPUTED_VALUE"""),"Maio")</f>
        <v>Maio</v>
      </c>
      <c r="C2411" s="6" t="str">
        <f>IFERROR(__xludf.DUMMYFUNCTION("""COMPUTED_VALUE"""),"TENTATIVA DE HOMICÍDIO")</f>
        <v>TENTATIVA DE HOMICÍDIO</v>
      </c>
      <c r="D2411" s="6">
        <f>IFERROR(__xludf.DUMMYFUNCTION("""COMPUTED_VALUE"""),2.0)</f>
        <v>2</v>
      </c>
      <c r="E2411" s="6">
        <f>IFERROR(__xludf.DUMMYFUNCTION("""COMPUTED_VALUE"""),2.0)</f>
        <v>2</v>
      </c>
      <c r="F2411" s="6">
        <f>IFERROR(__xludf.DUMMYFUNCTION("""COMPUTED_VALUE"""),13.0)</f>
        <v>13</v>
      </c>
      <c r="G2411" s="6">
        <f>IFERROR(__xludf.DUMMYFUNCTION("""COMPUTED_VALUE"""),17.0)</f>
        <v>17</v>
      </c>
    </row>
    <row r="2412">
      <c r="A2412" s="6">
        <f>IFERROR(__xludf.DUMMYFUNCTION("""COMPUTED_VALUE"""),2025.0)</f>
        <v>2025</v>
      </c>
      <c r="B2412" s="6" t="str">
        <f>IFERROR(__xludf.DUMMYFUNCTION("""COMPUTED_VALUE"""),"Maio")</f>
        <v>Maio</v>
      </c>
      <c r="C2412" s="6" t="str">
        <f>IFERROR(__xludf.DUMMYFUNCTION("""COMPUTED_VALUE"""),"LESÃO CORPORAL DOLOSA")</f>
        <v>LESÃO CORPORAL DOLOSA</v>
      </c>
      <c r="D2412" s="6">
        <f>IFERROR(__xludf.DUMMYFUNCTION("""COMPUTED_VALUE"""),1014.0)</f>
        <v>1014</v>
      </c>
      <c r="E2412" s="6">
        <f>IFERROR(__xludf.DUMMYFUNCTION("""COMPUTED_VALUE"""),864.0)</f>
        <v>864</v>
      </c>
      <c r="F2412" s="6">
        <f>IFERROR(__xludf.DUMMYFUNCTION("""COMPUTED_VALUE"""),3118.0)</f>
        <v>3118</v>
      </c>
      <c r="G2412" s="6">
        <f>IFERROR(__xludf.DUMMYFUNCTION("""COMPUTED_VALUE"""),4996.0)</f>
        <v>4996</v>
      </c>
    </row>
    <row r="2413">
      <c r="A2413" s="6">
        <f>IFERROR(__xludf.DUMMYFUNCTION("""COMPUTED_VALUE"""),2025.0)</f>
        <v>2025</v>
      </c>
      <c r="B2413" s="6" t="str">
        <f>IFERROR(__xludf.DUMMYFUNCTION("""COMPUTED_VALUE"""),"Maio")</f>
        <v>Maio</v>
      </c>
      <c r="C2413" s="6" t="str">
        <f>IFERROR(__xludf.DUMMYFUNCTION("""COMPUTED_VALUE"""),"MAUS TRATOS")</f>
        <v>MAUS TRATOS</v>
      </c>
      <c r="D2413" s="6">
        <f>IFERROR(__xludf.DUMMYFUNCTION("""COMPUTED_VALUE"""),3.0)</f>
        <v>3</v>
      </c>
      <c r="E2413" s="6">
        <f>IFERROR(__xludf.DUMMYFUNCTION("""COMPUTED_VALUE"""),2.0)</f>
        <v>2</v>
      </c>
      <c r="F2413" s="6">
        <f>IFERROR(__xludf.DUMMYFUNCTION("""COMPUTED_VALUE"""),18.0)</f>
        <v>18</v>
      </c>
      <c r="G2413" s="6">
        <f>IFERROR(__xludf.DUMMYFUNCTION("""COMPUTED_VALUE"""),23.0)</f>
        <v>23</v>
      </c>
    </row>
    <row r="2414">
      <c r="A2414" s="6">
        <f>IFERROR(__xludf.DUMMYFUNCTION("""COMPUTED_VALUE"""),2025.0)</f>
        <v>2025</v>
      </c>
      <c r="B2414" s="6" t="str">
        <f>IFERROR(__xludf.DUMMYFUNCTION("""COMPUTED_VALUE"""),"Maio")</f>
        <v>Maio</v>
      </c>
      <c r="C2414" s="6" t="str">
        <f>IFERROR(__xludf.DUMMYFUNCTION("""COMPUTED_VALUE"""),"CALÚNIA - DIFAMAÇÃO - INJÚRIA")</f>
        <v>CALÚNIA - DIFAMAÇÃO - INJÚRIA</v>
      </c>
      <c r="D2414" s="6">
        <f>IFERROR(__xludf.DUMMYFUNCTION("""COMPUTED_VALUE"""),198.0)</f>
        <v>198</v>
      </c>
      <c r="E2414" s="6">
        <f>IFERROR(__xludf.DUMMYFUNCTION("""COMPUTED_VALUE"""),168.0)</f>
        <v>168</v>
      </c>
      <c r="F2414" s="6">
        <f>IFERROR(__xludf.DUMMYFUNCTION("""COMPUTED_VALUE"""),724.0)</f>
        <v>724</v>
      </c>
      <c r="G2414" s="6">
        <f>IFERROR(__xludf.DUMMYFUNCTION("""COMPUTED_VALUE"""),1090.0)</f>
        <v>1090</v>
      </c>
    </row>
    <row r="2415">
      <c r="A2415" s="6">
        <f>IFERROR(__xludf.DUMMYFUNCTION("""COMPUTED_VALUE"""),2025.0)</f>
        <v>2025</v>
      </c>
      <c r="B2415" s="6" t="str">
        <f>IFERROR(__xludf.DUMMYFUNCTION("""COMPUTED_VALUE"""),"Maio")</f>
        <v>Maio</v>
      </c>
      <c r="C2415" s="6" t="str">
        <f>IFERROR(__xludf.DUMMYFUNCTION("""COMPUTED_VALUE"""),"CONSTRANGIMENTO ILEGAL")</f>
        <v>CONSTRANGIMENTO ILEGAL</v>
      </c>
      <c r="D2415" s="6">
        <f>IFERROR(__xludf.DUMMYFUNCTION("""COMPUTED_VALUE"""),1.0)</f>
        <v>1</v>
      </c>
      <c r="E2415" s="6">
        <f>IFERROR(__xludf.DUMMYFUNCTION("""COMPUTED_VALUE"""),1.0)</f>
        <v>1</v>
      </c>
      <c r="F2415" s="6">
        <f>IFERROR(__xludf.DUMMYFUNCTION("""COMPUTED_VALUE"""),7.0)</f>
        <v>7</v>
      </c>
      <c r="G2415" s="6">
        <f>IFERROR(__xludf.DUMMYFUNCTION("""COMPUTED_VALUE"""),9.0)</f>
        <v>9</v>
      </c>
    </row>
    <row r="2416">
      <c r="A2416" s="6">
        <f>IFERROR(__xludf.DUMMYFUNCTION("""COMPUTED_VALUE"""),2025.0)</f>
        <v>2025</v>
      </c>
      <c r="B2416" s="6" t="str">
        <f>IFERROR(__xludf.DUMMYFUNCTION("""COMPUTED_VALUE"""),"Maio")</f>
        <v>Maio</v>
      </c>
      <c r="C2416" s="6" t="str">
        <f>IFERROR(__xludf.DUMMYFUNCTION("""COMPUTED_VALUE"""),"AMEAÇA")</f>
        <v>AMEAÇA</v>
      </c>
      <c r="D2416" s="6">
        <f>IFERROR(__xludf.DUMMYFUNCTION("""COMPUTED_VALUE"""),948.0)</f>
        <v>948</v>
      </c>
      <c r="E2416" s="6">
        <f>IFERROR(__xludf.DUMMYFUNCTION("""COMPUTED_VALUE"""),852.0)</f>
        <v>852</v>
      </c>
      <c r="F2416" s="6">
        <f>IFERROR(__xludf.DUMMYFUNCTION("""COMPUTED_VALUE"""),3214.0)</f>
        <v>3214</v>
      </c>
      <c r="G2416" s="6">
        <f>IFERROR(__xludf.DUMMYFUNCTION("""COMPUTED_VALUE"""),5014.0)</f>
        <v>5014</v>
      </c>
    </row>
    <row r="2417">
      <c r="A2417" s="6">
        <f>IFERROR(__xludf.DUMMYFUNCTION("""COMPUTED_VALUE"""),2025.0)</f>
        <v>2025</v>
      </c>
      <c r="B2417" s="6" t="str">
        <f>IFERROR(__xludf.DUMMYFUNCTION("""COMPUTED_VALUE"""),"Maio")</f>
        <v>Maio</v>
      </c>
      <c r="C2417" s="6" t="str">
        <f>IFERROR(__xludf.DUMMYFUNCTION("""COMPUTED_VALUE"""),"INVASÃO DE DOMICÍLIO")</f>
        <v>INVASÃO DE DOMICÍLIO</v>
      </c>
      <c r="D2417" s="6">
        <f>IFERROR(__xludf.DUMMYFUNCTION("""COMPUTED_VALUE"""),1.0)</f>
        <v>1</v>
      </c>
      <c r="E2417" s="6">
        <f>IFERROR(__xludf.DUMMYFUNCTION("""COMPUTED_VALUE"""),2.0)</f>
        <v>2</v>
      </c>
      <c r="F2417" s="6">
        <f>IFERROR(__xludf.DUMMYFUNCTION("""COMPUTED_VALUE"""),13.0)</f>
        <v>13</v>
      </c>
      <c r="G2417" s="6">
        <f>IFERROR(__xludf.DUMMYFUNCTION("""COMPUTED_VALUE"""),16.0)</f>
        <v>16</v>
      </c>
    </row>
    <row r="2418">
      <c r="A2418" s="6">
        <f>IFERROR(__xludf.DUMMYFUNCTION("""COMPUTED_VALUE"""),2025.0)</f>
        <v>2025</v>
      </c>
      <c r="B2418" s="6" t="str">
        <f>IFERROR(__xludf.DUMMYFUNCTION("""COMPUTED_VALUE"""),"Maio")</f>
        <v>Maio</v>
      </c>
      <c r="C2418" s="6" t="str">
        <f>IFERROR(__xludf.DUMMYFUNCTION("""COMPUTED_VALUE"""),"DANO")</f>
        <v>DANO</v>
      </c>
      <c r="D2418" s="6">
        <f>IFERROR(__xludf.DUMMYFUNCTION("""COMPUTED_VALUE"""),11.0)</f>
        <v>11</v>
      </c>
      <c r="E2418" s="6">
        <f>IFERROR(__xludf.DUMMYFUNCTION("""COMPUTED_VALUE"""),11.0)</f>
        <v>11</v>
      </c>
      <c r="F2418" s="6">
        <f>IFERROR(__xludf.DUMMYFUNCTION("""COMPUTED_VALUE"""),62.0)</f>
        <v>62</v>
      </c>
      <c r="G2418" s="6">
        <f>IFERROR(__xludf.DUMMYFUNCTION("""COMPUTED_VALUE"""),84.0)</f>
        <v>84</v>
      </c>
    </row>
    <row r="2419">
      <c r="A2419" s="6">
        <f>IFERROR(__xludf.DUMMYFUNCTION("""COMPUTED_VALUE"""),2025.0)</f>
        <v>2025</v>
      </c>
      <c r="B2419" s="6" t="str">
        <f>IFERROR(__xludf.DUMMYFUNCTION("""COMPUTED_VALUE"""),"Maio")</f>
        <v>Maio</v>
      </c>
      <c r="C2419" s="6" t="str">
        <f>IFERROR(__xludf.DUMMYFUNCTION("""COMPUTED_VALUE"""),"ESTUPRO CONSUMADO")</f>
        <v>ESTUPRO CONSUMADO</v>
      </c>
      <c r="D2419" s="6">
        <f>IFERROR(__xludf.DUMMYFUNCTION("""COMPUTED_VALUE"""),10.0)</f>
        <v>10</v>
      </c>
      <c r="E2419" s="6">
        <f>IFERROR(__xludf.DUMMYFUNCTION("""COMPUTED_VALUE"""),7.0)</f>
        <v>7</v>
      </c>
      <c r="F2419" s="6">
        <f>IFERROR(__xludf.DUMMYFUNCTION("""COMPUTED_VALUE"""),19.0)</f>
        <v>19</v>
      </c>
      <c r="G2419" s="6">
        <f>IFERROR(__xludf.DUMMYFUNCTION("""COMPUTED_VALUE"""),36.0)</f>
        <v>36</v>
      </c>
    </row>
    <row r="2420">
      <c r="A2420" s="6">
        <f>IFERROR(__xludf.DUMMYFUNCTION("""COMPUTED_VALUE"""),2025.0)</f>
        <v>2025</v>
      </c>
      <c r="B2420" s="6" t="str">
        <f>IFERROR(__xludf.DUMMYFUNCTION("""COMPUTED_VALUE"""),"Maio")</f>
        <v>Maio</v>
      </c>
      <c r="C2420" s="6" t="str">
        <f>IFERROR(__xludf.DUMMYFUNCTION("""COMPUTED_VALUE"""),"ESTUPRO TENTADO")</f>
        <v>ESTUPRO TENTADO</v>
      </c>
      <c r="D2420" s="6">
        <f>IFERROR(__xludf.DUMMYFUNCTION("""COMPUTED_VALUE"""),1.0)</f>
        <v>1</v>
      </c>
      <c r="E2420" s="6">
        <f>IFERROR(__xludf.DUMMYFUNCTION("""COMPUTED_VALUE"""),0.0)</f>
        <v>0</v>
      </c>
      <c r="F2420" s="6">
        <f>IFERROR(__xludf.DUMMYFUNCTION("""COMPUTED_VALUE"""),1.0)</f>
        <v>1</v>
      </c>
      <c r="G2420" s="6">
        <f>IFERROR(__xludf.DUMMYFUNCTION("""COMPUTED_VALUE"""),2.0)</f>
        <v>2</v>
      </c>
    </row>
    <row r="2421">
      <c r="A2421" s="6">
        <f>IFERROR(__xludf.DUMMYFUNCTION("""COMPUTED_VALUE"""),2025.0)</f>
        <v>2025</v>
      </c>
      <c r="B2421" s="6" t="str">
        <f>IFERROR(__xludf.DUMMYFUNCTION("""COMPUTED_VALUE"""),"Maio")</f>
        <v>Maio</v>
      </c>
      <c r="C2421" s="6" t="str">
        <f>IFERROR(__xludf.DUMMYFUNCTION("""COMPUTED_VALUE"""),"ESTUPRO DE VULNERÁVEL CONSUMADO")</f>
        <v>ESTUPRO DE VULNERÁVEL CONSUMADO</v>
      </c>
      <c r="D2421" s="6">
        <f>IFERROR(__xludf.DUMMYFUNCTION("""COMPUTED_VALUE"""),3.0)</f>
        <v>3</v>
      </c>
      <c r="E2421" s="6">
        <f>IFERROR(__xludf.DUMMYFUNCTION("""COMPUTED_VALUE"""),4.0)</f>
        <v>4</v>
      </c>
      <c r="F2421" s="6">
        <f>IFERROR(__xludf.DUMMYFUNCTION("""COMPUTED_VALUE"""),18.0)</f>
        <v>18</v>
      </c>
      <c r="G2421" s="6">
        <f>IFERROR(__xludf.DUMMYFUNCTION("""COMPUTED_VALUE"""),25.0)</f>
        <v>25</v>
      </c>
    </row>
    <row r="2422">
      <c r="A2422" s="6">
        <f>IFERROR(__xludf.DUMMYFUNCTION("""COMPUTED_VALUE"""),2025.0)</f>
        <v>2025</v>
      </c>
      <c r="B2422" s="6" t="str">
        <f>IFERROR(__xludf.DUMMYFUNCTION("""COMPUTED_VALUE"""),"Maio")</f>
        <v>Maio</v>
      </c>
      <c r="C2422" s="6" t="str">
        <f>IFERROR(__xludf.DUMMYFUNCTION("""COMPUTED_VALUE"""),"OUTROS C/C/ DIGNIDADE SEXUAL")</f>
        <v>OUTROS C/C/ DIGNIDADE SEXUAL</v>
      </c>
      <c r="D2422" s="6">
        <f>IFERROR(__xludf.DUMMYFUNCTION("""COMPUTED_VALUE"""),0.0)</f>
        <v>0</v>
      </c>
      <c r="E2422" s="6">
        <f>IFERROR(__xludf.DUMMYFUNCTION("""COMPUTED_VALUE"""),1.0)</f>
        <v>1</v>
      </c>
      <c r="F2422" s="6">
        <f>IFERROR(__xludf.DUMMYFUNCTION("""COMPUTED_VALUE"""),2.0)</f>
        <v>2</v>
      </c>
      <c r="G2422" s="6">
        <f>IFERROR(__xludf.DUMMYFUNCTION("""COMPUTED_VALUE"""),3.0)</f>
        <v>3</v>
      </c>
    </row>
    <row r="2423">
      <c r="A2423" s="6">
        <f>IFERROR(__xludf.DUMMYFUNCTION("""COMPUTED_VALUE"""),2025.0)</f>
        <v>2025</v>
      </c>
      <c r="B2423" s="6" t="str">
        <f>IFERROR(__xludf.DUMMYFUNCTION("""COMPUTED_VALUE"""),"Junho")</f>
        <v>Junho</v>
      </c>
      <c r="C2423" s="6" t="str">
        <f>IFERROR(__xludf.DUMMYFUNCTION("""COMPUTED_VALUE"""),"HOMICÍDIO DOLOSO (exclui FEMINICÍDIO)")</f>
        <v>HOMICÍDIO DOLOSO (exclui FEMINICÍDIO)</v>
      </c>
      <c r="D2423" s="6">
        <f>IFERROR(__xludf.DUMMYFUNCTION("""COMPUTED_VALUE"""),1.0)</f>
        <v>1</v>
      </c>
      <c r="E2423" s="6">
        <f>IFERROR(__xludf.DUMMYFUNCTION("""COMPUTED_VALUE"""),0.0)</f>
        <v>0</v>
      </c>
      <c r="F2423" s="6">
        <f>IFERROR(__xludf.DUMMYFUNCTION("""COMPUTED_VALUE"""),2.0)</f>
        <v>2</v>
      </c>
      <c r="G2423" s="6">
        <f>IFERROR(__xludf.DUMMYFUNCTION("""COMPUTED_VALUE"""),3.0)</f>
        <v>3</v>
      </c>
    </row>
    <row r="2424">
      <c r="A2424" s="6">
        <f>IFERROR(__xludf.DUMMYFUNCTION("""COMPUTED_VALUE"""),2025.0)</f>
        <v>2025</v>
      </c>
      <c r="B2424" s="6" t="str">
        <f>IFERROR(__xludf.DUMMYFUNCTION("""COMPUTED_VALUE"""),"Junho")</f>
        <v>Junho</v>
      </c>
      <c r="C2424" s="6" t="str">
        <f>IFERROR(__xludf.DUMMYFUNCTION("""COMPUTED_VALUE"""),"FEMINICÍDIO")</f>
        <v>FEMINICÍDIO</v>
      </c>
      <c r="D2424" s="6">
        <f>IFERROR(__xludf.DUMMYFUNCTION("""COMPUTED_VALUE"""),3.0)</f>
        <v>3</v>
      </c>
      <c r="E2424" s="6">
        <f>IFERROR(__xludf.DUMMYFUNCTION("""COMPUTED_VALUE"""),3.0)</f>
        <v>3</v>
      </c>
      <c r="F2424" s="6">
        <f>IFERROR(__xludf.DUMMYFUNCTION("""COMPUTED_VALUE"""),6.0)</f>
        <v>6</v>
      </c>
      <c r="G2424" s="6">
        <f>IFERROR(__xludf.DUMMYFUNCTION("""COMPUTED_VALUE"""),12.0)</f>
        <v>12</v>
      </c>
    </row>
    <row r="2425">
      <c r="A2425" s="6">
        <f>IFERROR(__xludf.DUMMYFUNCTION("""COMPUTED_VALUE"""),2025.0)</f>
        <v>2025</v>
      </c>
      <c r="B2425" s="6" t="str">
        <f>IFERROR(__xludf.DUMMYFUNCTION("""COMPUTED_VALUE"""),"Junho")</f>
        <v>Junho</v>
      </c>
      <c r="C2425" s="6" t="str">
        <f>IFERROR(__xludf.DUMMYFUNCTION("""COMPUTED_VALUE"""),"HOMICÍDIO CULPOSO")</f>
        <v>HOMICÍDIO CULPOSO</v>
      </c>
      <c r="D2425" s="6">
        <f>IFERROR(__xludf.DUMMYFUNCTION("""COMPUTED_VALUE"""),0.0)</f>
        <v>0</v>
      </c>
      <c r="E2425" s="6">
        <f>IFERROR(__xludf.DUMMYFUNCTION("""COMPUTED_VALUE"""),0.0)</f>
        <v>0</v>
      </c>
      <c r="F2425" s="6">
        <f>IFERROR(__xludf.DUMMYFUNCTION("""COMPUTED_VALUE"""),0.0)</f>
        <v>0</v>
      </c>
      <c r="G2425" s="6">
        <f>IFERROR(__xludf.DUMMYFUNCTION("""COMPUTED_VALUE"""),0.0)</f>
        <v>0</v>
      </c>
    </row>
    <row r="2426">
      <c r="A2426" s="6">
        <f>IFERROR(__xludf.DUMMYFUNCTION("""COMPUTED_VALUE"""),2025.0)</f>
        <v>2025</v>
      </c>
      <c r="B2426" s="6" t="str">
        <f>IFERROR(__xludf.DUMMYFUNCTION("""COMPUTED_VALUE"""),"Junho")</f>
        <v>Junho</v>
      </c>
      <c r="C2426" s="6" t="str">
        <f>IFERROR(__xludf.DUMMYFUNCTION("""COMPUTED_VALUE"""),"TENTATIVA DE HOMICÍDIO")</f>
        <v>TENTATIVA DE HOMICÍDIO</v>
      </c>
      <c r="D2426" s="6">
        <f>IFERROR(__xludf.DUMMYFUNCTION("""COMPUTED_VALUE"""),1.0)</f>
        <v>1</v>
      </c>
      <c r="E2426" s="6">
        <f>IFERROR(__xludf.DUMMYFUNCTION("""COMPUTED_VALUE"""),2.0)</f>
        <v>2</v>
      </c>
      <c r="F2426" s="6">
        <f>IFERROR(__xludf.DUMMYFUNCTION("""COMPUTED_VALUE"""),11.0)</f>
        <v>11</v>
      </c>
      <c r="G2426" s="6">
        <f>IFERROR(__xludf.DUMMYFUNCTION("""COMPUTED_VALUE"""),14.0)</f>
        <v>14</v>
      </c>
    </row>
    <row r="2427">
      <c r="A2427" s="6">
        <f>IFERROR(__xludf.DUMMYFUNCTION("""COMPUTED_VALUE"""),2025.0)</f>
        <v>2025</v>
      </c>
      <c r="B2427" s="6" t="str">
        <f>IFERROR(__xludf.DUMMYFUNCTION("""COMPUTED_VALUE"""),"Junho")</f>
        <v>Junho</v>
      </c>
      <c r="C2427" s="6" t="str">
        <f>IFERROR(__xludf.DUMMYFUNCTION("""COMPUTED_VALUE"""),"LESÃO CORPORAL DOLOSA")</f>
        <v>LESÃO CORPORAL DOLOSA</v>
      </c>
      <c r="D2427" s="6">
        <f>IFERROR(__xludf.DUMMYFUNCTION("""COMPUTED_VALUE"""),842.0)</f>
        <v>842</v>
      </c>
      <c r="E2427" s="6">
        <f>IFERROR(__xludf.DUMMYFUNCTION("""COMPUTED_VALUE"""),741.0)</f>
        <v>741</v>
      </c>
      <c r="F2427" s="6">
        <f>IFERROR(__xludf.DUMMYFUNCTION("""COMPUTED_VALUE"""),2831.0)</f>
        <v>2831</v>
      </c>
      <c r="G2427" s="6">
        <f>IFERROR(__xludf.DUMMYFUNCTION("""COMPUTED_VALUE"""),4414.0)</f>
        <v>4414</v>
      </c>
    </row>
    <row r="2428">
      <c r="A2428" s="6">
        <f>IFERROR(__xludf.DUMMYFUNCTION("""COMPUTED_VALUE"""),2025.0)</f>
        <v>2025</v>
      </c>
      <c r="B2428" s="6" t="str">
        <f>IFERROR(__xludf.DUMMYFUNCTION("""COMPUTED_VALUE"""),"Junho")</f>
        <v>Junho</v>
      </c>
      <c r="C2428" s="6" t="str">
        <f>IFERROR(__xludf.DUMMYFUNCTION("""COMPUTED_VALUE"""),"MAUS TRATOS")</f>
        <v>MAUS TRATOS</v>
      </c>
      <c r="D2428" s="6">
        <f>IFERROR(__xludf.DUMMYFUNCTION("""COMPUTED_VALUE"""),2.0)</f>
        <v>2</v>
      </c>
      <c r="E2428" s="6">
        <f>IFERROR(__xludf.DUMMYFUNCTION("""COMPUTED_VALUE"""),2.0)</f>
        <v>2</v>
      </c>
      <c r="F2428" s="6">
        <f>IFERROR(__xludf.DUMMYFUNCTION("""COMPUTED_VALUE"""),15.0)</f>
        <v>15</v>
      </c>
      <c r="G2428" s="6">
        <f>IFERROR(__xludf.DUMMYFUNCTION("""COMPUTED_VALUE"""),19.0)</f>
        <v>19</v>
      </c>
    </row>
    <row r="2429">
      <c r="A2429" s="6">
        <f>IFERROR(__xludf.DUMMYFUNCTION("""COMPUTED_VALUE"""),2025.0)</f>
        <v>2025</v>
      </c>
      <c r="B2429" s="6" t="str">
        <f>IFERROR(__xludf.DUMMYFUNCTION("""COMPUTED_VALUE"""),"Junho")</f>
        <v>Junho</v>
      </c>
      <c r="C2429" s="6" t="str">
        <f>IFERROR(__xludf.DUMMYFUNCTION("""COMPUTED_VALUE"""),"CALÚNIA - DIFAMAÇÃO - INJÚRIA")</f>
        <v>CALÚNIA - DIFAMAÇÃO - INJÚRIA</v>
      </c>
      <c r="D2429" s="6">
        <f>IFERROR(__xludf.DUMMYFUNCTION("""COMPUTED_VALUE"""),172.0)</f>
        <v>172</v>
      </c>
      <c r="E2429" s="6">
        <f>IFERROR(__xludf.DUMMYFUNCTION("""COMPUTED_VALUE"""),151.0)</f>
        <v>151</v>
      </c>
      <c r="F2429" s="6">
        <f>IFERROR(__xludf.DUMMYFUNCTION("""COMPUTED_VALUE"""),649.0)</f>
        <v>649</v>
      </c>
      <c r="G2429" s="6">
        <f>IFERROR(__xludf.DUMMYFUNCTION("""COMPUTED_VALUE"""),972.0)</f>
        <v>972</v>
      </c>
    </row>
    <row r="2430">
      <c r="A2430" s="6">
        <f>IFERROR(__xludf.DUMMYFUNCTION("""COMPUTED_VALUE"""),2025.0)</f>
        <v>2025</v>
      </c>
      <c r="B2430" s="6" t="str">
        <f>IFERROR(__xludf.DUMMYFUNCTION("""COMPUTED_VALUE"""),"Junho")</f>
        <v>Junho</v>
      </c>
      <c r="C2430" s="6" t="str">
        <f>IFERROR(__xludf.DUMMYFUNCTION("""COMPUTED_VALUE"""),"CONSTRANGIMENTO ILEGAL")</f>
        <v>CONSTRANGIMENTO ILEGAL</v>
      </c>
      <c r="D2430" s="6">
        <f>IFERROR(__xludf.DUMMYFUNCTION("""COMPUTED_VALUE"""),1.0)</f>
        <v>1</v>
      </c>
      <c r="E2430" s="6">
        <f>IFERROR(__xludf.DUMMYFUNCTION("""COMPUTED_VALUE"""),0.0)</f>
        <v>0</v>
      </c>
      <c r="F2430" s="6">
        <f>IFERROR(__xludf.DUMMYFUNCTION("""COMPUTED_VALUE"""),5.0)</f>
        <v>5</v>
      </c>
      <c r="G2430" s="6">
        <f>IFERROR(__xludf.DUMMYFUNCTION("""COMPUTED_VALUE"""),6.0)</f>
        <v>6</v>
      </c>
    </row>
    <row r="2431">
      <c r="A2431" s="6">
        <f>IFERROR(__xludf.DUMMYFUNCTION("""COMPUTED_VALUE"""),2025.0)</f>
        <v>2025</v>
      </c>
      <c r="B2431" s="6" t="str">
        <f>IFERROR(__xludf.DUMMYFUNCTION("""COMPUTED_VALUE"""),"Junho")</f>
        <v>Junho</v>
      </c>
      <c r="C2431" s="6" t="str">
        <f>IFERROR(__xludf.DUMMYFUNCTION("""COMPUTED_VALUE"""),"AMEAÇA")</f>
        <v>AMEAÇA</v>
      </c>
      <c r="D2431" s="6">
        <f>IFERROR(__xludf.DUMMYFUNCTION("""COMPUTED_VALUE"""),811.0)</f>
        <v>811</v>
      </c>
      <c r="E2431" s="6">
        <f>IFERROR(__xludf.DUMMYFUNCTION("""COMPUTED_VALUE"""),743.0)</f>
        <v>743</v>
      </c>
      <c r="F2431" s="6">
        <f>IFERROR(__xludf.DUMMYFUNCTION("""COMPUTED_VALUE"""),2894.0)</f>
        <v>2894</v>
      </c>
      <c r="G2431" s="6">
        <f>IFERROR(__xludf.DUMMYFUNCTION("""COMPUTED_VALUE"""),4448.0)</f>
        <v>4448</v>
      </c>
    </row>
    <row r="2432">
      <c r="A2432" s="6">
        <f>IFERROR(__xludf.DUMMYFUNCTION("""COMPUTED_VALUE"""),2025.0)</f>
        <v>2025</v>
      </c>
      <c r="B2432" s="6" t="str">
        <f>IFERROR(__xludf.DUMMYFUNCTION("""COMPUTED_VALUE"""),"Junho")</f>
        <v>Junho</v>
      </c>
      <c r="C2432" s="6" t="str">
        <f>IFERROR(__xludf.DUMMYFUNCTION("""COMPUTED_VALUE"""),"INVASÃO DE DOMICÍLIO")</f>
        <v>INVASÃO DE DOMICÍLIO</v>
      </c>
      <c r="D2432" s="6">
        <f>IFERROR(__xludf.DUMMYFUNCTION("""COMPUTED_VALUE"""),1.0)</f>
        <v>1</v>
      </c>
      <c r="E2432" s="6">
        <f>IFERROR(__xludf.DUMMYFUNCTION("""COMPUTED_VALUE"""),2.0)</f>
        <v>2</v>
      </c>
      <c r="F2432" s="6">
        <f>IFERROR(__xludf.DUMMYFUNCTION("""COMPUTED_VALUE"""),12.0)</f>
        <v>12</v>
      </c>
      <c r="G2432" s="6">
        <f>IFERROR(__xludf.DUMMYFUNCTION("""COMPUTED_VALUE"""),15.0)</f>
        <v>15</v>
      </c>
    </row>
    <row r="2433">
      <c r="A2433" s="6">
        <f>IFERROR(__xludf.DUMMYFUNCTION("""COMPUTED_VALUE"""),2025.0)</f>
        <v>2025</v>
      </c>
      <c r="B2433" s="6" t="str">
        <f>IFERROR(__xludf.DUMMYFUNCTION("""COMPUTED_VALUE"""),"Junho")</f>
        <v>Junho</v>
      </c>
      <c r="C2433" s="6" t="str">
        <f>IFERROR(__xludf.DUMMYFUNCTION("""COMPUTED_VALUE"""),"DANO")</f>
        <v>DANO</v>
      </c>
      <c r="D2433" s="6">
        <f>IFERROR(__xludf.DUMMYFUNCTION("""COMPUTED_VALUE"""),9.0)</f>
        <v>9</v>
      </c>
      <c r="E2433" s="6">
        <f>IFERROR(__xludf.DUMMYFUNCTION("""COMPUTED_VALUE"""),9.0)</f>
        <v>9</v>
      </c>
      <c r="F2433" s="6">
        <f>IFERROR(__xludf.DUMMYFUNCTION("""COMPUTED_VALUE"""),51.0)</f>
        <v>51</v>
      </c>
      <c r="G2433" s="6">
        <f>IFERROR(__xludf.DUMMYFUNCTION("""COMPUTED_VALUE"""),69.0)</f>
        <v>69</v>
      </c>
    </row>
    <row r="2434">
      <c r="A2434" s="6">
        <f>IFERROR(__xludf.DUMMYFUNCTION("""COMPUTED_VALUE"""),2025.0)</f>
        <v>2025</v>
      </c>
      <c r="B2434" s="6" t="str">
        <f>IFERROR(__xludf.DUMMYFUNCTION("""COMPUTED_VALUE"""),"Junho")</f>
        <v>Junho</v>
      </c>
      <c r="C2434" s="6" t="str">
        <f>IFERROR(__xludf.DUMMYFUNCTION("""COMPUTED_VALUE"""),"ESTUPRO CONSUMADO")</f>
        <v>ESTUPRO CONSUMADO</v>
      </c>
      <c r="D2434" s="6">
        <f>IFERROR(__xludf.DUMMYFUNCTION("""COMPUTED_VALUE"""),9.0)</f>
        <v>9</v>
      </c>
      <c r="E2434" s="6">
        <f>IFERROR(__xludf.DUMMYFUNCTION("""COMPUTED_VALUE"""),6.0)</f>
        <v>6</v>
      </c>
      <c r="F2434" s="6">
        <f>IFERROR(__xludf.DUMMYFUNCTION("""COMPUTED_VALUE"""),17.0)</f>
        <v>17</v>
      </c>
      <c r="G2434" s="6">
        <f>IFERROR(__xludf.DUMMYFUNCTION("""COMPUTED_VALUE"""),32.0)</f>
        <v>32</v>
      </c>
    </row>
    <row r="2435">
      <c r="A2435" s="6">
        <f>IFERROR(__xludf.DUMMYFUNCTION("""COMPUTED_VALUE"""),2025.0)</f>
        <v>2025</v>
      </c>
      <c r="B2435" s="6" t="str">
        <f>IFERROR(__xludf.DUMMYFUNCTION("""COMPUTED_VALUE"""),"Junho")</f>
        <v>Junho</v>
      </c>
      <c r="C2435" s="6" t="str">
        <f>IFERROR(__xludf.DUMMYFUNCTION("""COMPUTED_VALUE"""),"ESTUPRO TENTADO")</f>
        <v>ESTUPRO TENTADO</v>
      </c>
      <c r="D2435" s="6">
        <f>IFERROR(__xludf.DUMMYFUNCTION("""COMPUTED_VALUE"""),0.0)</f>
        <v>0</v>
      </c>
      <c r="E2435" s="6">
        <f>IFERROR(__xludf.DUMMYFUNCTION("""COMPUTED_VALUE"""),0.0)</f>
        <v>0</v>
      </c>
      <c r="F2435" s="6">
        <f>IFERROR(__xludf.DUMMYFUNCTION("""COMPUTED_VALUE"""),1.0)</f>
        <v>1</v>
      </c>
      <c r="G2435" s="6">
        <f>IFERROR(__xludf.DUMMYFUNCTION("""COMPUTED_VALUE"""),1.0)</f>
        <v>1</v>
      </c>
    </row>
    <row r="2436">
      <c r="A2436" s="6">
        <f>IFERROR(__xludf.DUMMYFUNCTION("""COMPUTED_VALUE"""),2025.0)</f>
        <v>2025</v>
      </c>
      <c r="B2436" s="6" t="str">
        <f>IFERROR(__xludf.DUMMYFUNCTION("""COMPUTED_VALUE"""),"Junho")</f>
        <v>Junho</v>
      </c>
      <c r="C2436" s="6" t="str">
        <f>IFERROR(__xludf.DUMMYFUNCTION("""COMPUTED_VALUE"""),"ESTUPRO DE VULNERÁVEL CONSUMADO")</f>
        <v>ESTUPRO DE VULNERÁVEL CONSUMADO</v>
      </c>
      <c r="D2436" s="6">
        <f>IFERROR(__xludf.DUMMYFUNCTION("""COMPUTED_VALUE"""),3.0)</f>
        <v>3</v>
      </c>
      <c r="E2436" s="6">
        <f>IFERROR(__xludf.DUMMYFUNCTION("""COMPUTED_VALUE"""),4.0)</f>
        <v>4</v>
      </c>
      <c r="F2436" s="6">
        <f>IFERROR(__xludf.DUMMYFUNCTION("""COMPUTED_VALUE"""),16.0)</f>
        <v>16</v>
      </c>
      <c r="G2436" s="6">
        <f>IFERROR(__xludf.DUMMYFUNCTION("""COMPUTED_VALUE"""),23.0)</f>
        <v>23</v>
      </c>
    </row>
    <row r="2437">
      <c r="A2437" s="6">
        <f>IFERROR(__xludf.DUMMYFUNCTION("""COMPUTED_VALUE"""),2025.0)</f>
        <v>2025</v>
      </c>
      <c r="B2437" s="6" t="str">
        <f>IFERROR(__xludf.DUMMYFUNCTION("""COMPUTED_VALUE"""),"Junho")</f>
        <v>Junho</v>
      </c>
      <c r="C2437" s="6" t="str">
        <f>IFERROR(__xludf.DUMMYFUNCTION("""COMPUTED_VALUE"""),"OUTROS C/C/ DIGNIDADE SEXUAL")</f>
        <v>OUTROS C/C/ DIGNIDADE SEXUAL</v>
      </c>
      <c r="D2437" s="6">
        <f>IFERROR(__xludf.DUMMYFUNCTION("""COMPUTED_VALUE"""),0.0)</f>
        <v>0</v>
      </c>
      <c r="E2437" s="6">
        <f>IFERROR(__xludf.DUMMYFUNCTION("""COMPUTED_VALUE"""),0.0)</f>
        <v>0</v>
      </c>
      <c r="F2437" s="6">
        <f>IFERROR(__xludf.DUMMYFUNCTION("""COMPUTED_VALUE"""),2.0)</f>
        <v>2</v>
      </c>
      <c r="G2437" s="6">
        <f>IFERROR(__xludf.DUMMYFUNCTION("""COMPUTED_VALUE"""),2.0)</f>
        <v>2</v>
      </c>
    </row>
    <row r="2438">
      <c r="A2438" s="6">
        <f>IFERROR(__xludf.DUMMYFUNCTION("""COMPUTED_VALUE"""),2025.0)</f>
        <v>2025</v>
      </c>
      <c r="B2438" s="6" t="str">
        <f>IFERROR(__xludf.DUMMYFUNCTION("""COMPUTED_VALUE"""),"Julho")</f>
        <v>Julho</v>
      </c>
      <c r="C2438" s="6" t="str">
        <f>IFERROR(__xludf.DUMMYFUNCTION("""COMPUTED_VALUE"""),"HOMICÍDIO DOLOSO (exclui FEMINICÍDIO)")</f>
        <v>HOMICÍDIO DOLOSO (exclui FEMINICÍDIO)</v>
      </c>
      <c r="D2438" s="6">
        <f>IFERROR(__xludf.DUMMYFUNCTION("""COMPUTED_VALUE"""),2.0)</f>
        <v>2</v>
      </c>
      <c r="E2438" s="6">
        <f>IFERROR(__xludf.DUMMYFUNCTION("""COMPUTED_VALUE"""),0.0)</f>
        <v>0</v>
      </c>
      <c r="F2438" s="6">
        <f>IFERROR(__xludf.DUMMYFUNCTION("""COMPUTED_VALUE"""),1.0)</f>
        <v>1</v>
      </c>
      <c r="G2438" s="6">
        <f>IFERROR(__xludf.DUMMYFUNCTION("""COMPUTED_VALUE"""),3.0)</f>
        <v>3</v>
      </c>
    </row>
    <row r="2439">
      <c r="A2439" s="6">
        <f>IFERROR(__xludf.DUMMYFUNCTION("""COMPUTED_VALUE"""),2025.0)</f>
        <v>2025</v>
      </c>
      <c r="B2439" s="6" t="str">
        <f>IFERROR(__xludf.DUMMYFUNCTION("""COMPUTED_VALUE"""),"Julho")</f>
        <v>Julho</v>
      </c>
      <c r="C2439" s="6" t="str">
        <f>IFERROR(__xludf.DUMMYFUNCTION("""COMPUTED_VALUE"""),"FEMINICÍDIO")</f>
        <v>FEMINICÍDIO</v>
      </c>
      <c r="D2439" s="6">
        <f>IFERROR(__xludf.DUMMYFUNCTION("""COMPUTED_VALUE"""),3.0)</f>
        <v>3</v>
      </c>
      <c r="E2439" s="6">
        <f>IFERROR(__xludf.DUMMYFUNCTION("""COMPUTED_VALUE"""),4.0)</f>
        <v>4</v>
      </c>
      <c r="F2439" s="6">
        <f>IFERROR(__xludf.DUMMYFUNCTION("""COMPUTED_VALUE"""),7.0)</f>
        <v>7</v>
      </c>
      <c r="G2439" s="6">
        <f>IFERROR(__xludf.DUMMYFUNCTION("""COMPUTED_VALUE"""),14.0)</f>
        <v>14</v>
      </c>
    </row>
    <row r="2440">
      <c r="A2440" s="6">
        <f>IFERROR(__xludf.DUMMYFUNCTION("""COMPUTED_VALUE"""),2025.0)</f>
        <v>2025</v>
      </c>
      <c r="B2440" s="6" t="str">
        <f>IFERROR(__xludf.DUMMYFUNCTION("""COMPUTED_VALUE"""),"Julho")</f>
        <v>Julho</v>
      </c>
      <c r="C2440" s="6" t="str">
        <f>IFERROR(__xludf.DUMMYFUNCTION("""COMPUTED_VALUE"""),"HOMICÍDIO CULPOSO")</f>
        <v>HOMICÍDIO CULPOSO</v>
      </c>
      <c r="D2440" s="6">
        <f>IFERROR(__xludf.DUMMYFUNCTION("""COMPUTED_VALUE"""),0.0)</f>
        <v>0</v>
      </c>
      <c r="E2440" s="6">
        <f>IFERROR(__xludf.DUMMYFUNCTION("""COMPUTED_VALUE"""),0.0)</f>
        <v>0</v>
      </c>
      <c r="F2440" s="6">
        <f>IFERROR(__xludf.DUMMYFUNCTION("""COMPUTED_VALUE"""),0.0)</f>
        <v>0</v>
      </c>
      <c r="G2440" s="6">
        <f>IFERROR(__xludf.DUMMYFUNCTION("""COMPUTED_VALUE"""),0.0)</f>
        <v>0</v>
      </c>
    </row>
    <row r="2441">
      <c r="A2441" s="6">
        <f>IFERROR(__xludf.DUMMYFUNCTION("""COMPUTED_VALUE"""),2025.0)</f>
        <v>2025</v>
      </c>
      <c r="B2441" s="6" t="str">
        <f>IFERROR(__xludf.DUMMYFUNCTION("""COMPUTED_VALUE"""),"Julho")</f>
        <v>Julho</v>
      </c>
      <c r="C2441" s="6" t="str">
        <f>IFERROR(__xludf.DUMMYFUNCTION("""COMPUTED_VALUE"""),"TENTATIVA DE HOMICÍDIO")</f>
        <v>TENTATIVA DE HOMICÍDIO</v>
      </c>
      <c r="D2441" s="6">
        <f>IFERROR(__xludf.DUMMYFUNCTION("""COMPUTED_VALUE"""),2.0)</f>
        <v>2</v>
      </c>
      <c r="E2441" s="6">
        <f>IFERROR(__xludf.DUMMYFUNCTION("""COMPUTED_VALUE"""),3.0)</f>
        <v>3</v>
      </c>
      <c r="F2441" s="6">
        <f>IFERROR(__xludf.DUMMYFUNCTION("""COMPUTED_VALUE"""),12.0)</f>
        <v>12</v>
      </c>
      <c r="G2441" s="6">
        <f>IFERROR(__xludf.DUMMYFUNCTION("""COMPUTED_VALUE"""),17.0)</f>
        <v>17</v>
      </c>
    </row>
    <row r="2442">
      <c r="A2442" s="6">
        <f>IFERROR(__xludf.DUMMYFUNCTION("""COMPUTED_VALUE"""),2025.0)</f>
        <v>2025</v>
      </c>
      <c r="B2442" s="6" t="str">
        <f>IFERROR(__xludf.DUMMYFUNCTION("""COMPUTED_VALUE"""),"Julho")</f>
        <v>Julho</v>
      </c>
      <c r="C2442" s="6" t="str">
        <f>IFERROR(__xludf.DUMMYFUNCTION("""COMPUTED_VALUE"""),"LESÃO CORPORAL DOLOSA")</f>
        <v>LESÃO CORPORAL DOLOSA</v>
      </c>
      <c r="D2442" s="6">
        <f>IFERROR(__xludf.DUMMYFUNCTION("""COMPUTED_VALUE"""),913.0)</f>
        <v>913</v>
      </c>
      <c r="E2442" s="6">
        <f>IFERROR(__xludf.DUMMYFUNCTION("""COMPUTED_VALUE"""),805.0)</f>
        <v>805</v>
      </c>
      <c r="F2442" s="6">
        <f>IFERROR(__xludf.DUMMYFUNCTION("""COMPUTED_VALUE"""),2914.0)</f>
        <v>2914</v>
      </c>
      <c r="G2442" s="6">
        <f>IFERROR(__xludf.DUMMYFUNCTION("""COMPUTED_VALUE"""),4632.0)</f>
        <v>4632</v>
      </c>
    </row>
    <row r="2443">
      <c r="A2443" s="6">
        <f>IFERROR(__xludf.DUMMYFUNCTION("""COMPUTED_VALUE"""),2025.0)</f>
        <v>2025</v>
      </c>
      <c r="B2443" s="6" t="str">
        <f>IFERROR(__xludf.DUMMYFUNCTION("""COMPUTED_VALUE"""),"Julho")</f>
        <v>Julho</v>
      </c>
      <c r="C2443" s="6" t="str">
        <f>IFERROR(__xludf.DUMMYFUNCTION("""COMPUTED_VALUE"""),"MAUS TRATOS")</f>
        <v>MAUS TRATOS</v>
      </c>
      <c r="D2443" s="6">
        <f>IFERROR(__xludf.DUMMYFUNCTION("""COMPUTED_VALUE"""),3.0)</f>
        <v>3</v>
      </c>
      <c r="E2443" s="6">
        <f>IFERROR(__xludf.DUMMYFUNCTION("""COMPUTED_VALUE"""),2.0)</f>
        <v>2</v>
      </c>
      <c r="F2443" s="6">
        <f>IFERROR(__xludf.DUMMYFUNCTION("""COMPUTED_VALUE"""),17.0)</f>
        <v>17</v>
      </c>
      <c r="G2443" s="6">
        <f>IFERROR(__xludf.DUMMYFUNCTION("""COMPUTED_VALUE"""),22.0)</f>
        <v>22</v>
      </c>
    </row>
    <row r="2444">
      <c r="A2444" s="6">
        <f>IFERROR(__xludf.DUMMYFUNCTION("""COMPUTED_VALUE"""),2025.0)</f>
        <v>2025</v>
      </c>
      <c r="B2444" s="6" t="str">
        <f>IFERROR(__xludf.DUMMYFUNCTION("""COMPUTED_VALUE"""),"Julho")</f>
        <v>Julho</v>
      </c>
      <c r="C2444" s="6" t="str">
        <f>IFERROR(__xludf.DUMMYFUNCTION("""COMPUTED_VALUE"""),"CALÚNIA - DIFAMAÇÃO - INJÚRIA")</f>
        <v>CALÚNIA - DIFAMAÇÃO - INJÚRIA</v>
      </c>
      <c r="D2444" s="6">
        <f>IFERROR(__xludf.DUMMYFUNCTION("""COMPUTED_VALUE"""),191.0)</f>
        <v>191</v>
      </c>
      <c r="E2444" s="6">
        <f>IFERROR(__xludf.DUMMYFUNCTION("""COMPUTED_VALUE"""),168.0)</f>
        <v>168</v>
      </c>
      <c r="F2444" s="6">
        <f>IFERROR(__xludf.DUMMYFUNCTION("""COMPUTED_VALUE"""),702.0)</f>
        <v>702</v>
      </c>
      <c r="G2444" s="6">
        <f>IFERROR(__xludf.DUMMYFUNCTION("""COMPUTED_VALUE"""),1061.0)</f>
        <v>1061</v>
      </c>
    </row>
    <row r="2445">
      <c r="A2445" s="6">
        <f>IFERROR(__xludf.DUMMYFUNCTION("""COMPUTED_VALUE"""),2025.0)</f>
        <v>2025</v>
      </c>
      <c r="B2445" s="6" t="str">
        <f>IFERROR(__xludf.DUMMYFUNCTION("""COMPUTED_VALUE"""),"Julho")</f>
        <v>Julho</v>
      </c>
      <c r="C2445" s="6" t="str">
        <f>IFERROR(__xludf.DUMMYFUNCTION("""COMPUTED_VALUE"""),"CONSTRANGIMENTO ILEGAL")</f>
        <v>CONSTRANGIMENTO ILEGAL</v>
      </c>
      <c r="D2445" s="6">
        <f>IFERROR(__xludf.DUMMYFUNCTION("""COMPUTED_VALUE"""),1.0)</f>
        <v>1</v>
      </c>
      <c r="E2445" s="6">
        <f>IFERROR(__xludf.DUMMYFUNCTION("""COMPUTED_VALUE"""),0.0)</f>
        <v>0</v>
      </c>
      <c r="F2445" s="6">
        <f>IFERROR(__xludf.DUMMYFUNCTION("""COMPUTED_VALUE"""),6.0)</f>
        <v>6</v>
      </c>
      <c r="G2445" s="6">
        <f>IFERROR(__xludf.DUMMYFUNCTION("""COMPUTED_VALUE"""),7.0)</f>
        <v>7</v>
      </c>
    </row>
    <row r="2446">
      <c r="A2446" s="6">
        <f>IFERROR(__xludf.DUMMYFUNCTION("""COMPUTED_VALUE"""),2025.0)</f>
        <v>2025</v>
      </c>
      <c r="B2446" s="6" t="str">
        <f>IFERROR(__xludf.DUMMYFUNCTION("""COMPUTED_VALUE"""),"Julho")</f>
        <v>Julho</v>
      </c>
      <c r="C2446" s="6" t="str">
        <f>IFERROR(__xludf.DUMMYFUNCTION("""COMPUTED_VALUE"""),"AMEAÇA")</f>
        <v>AMEAÇA</v>
      </c>
      <c r="D2446" s="6">
        <f>IFERROR(__xludf.DUMMYFUNCTION("""COMPUTED_VALUE"""),884.0)</f>
        <v>884</v>
      </c>
      <c r="E2446" s="6">
        <f>IFERROR(__xludf.DUMMYFUNCTION("""COMPUTED_VALUE"""),812.0)</f>
        <v>812</v>
      </c>
      <c r="F2446" s="6">
        <f>IFERROR(__xludf.DUMMYFUNCTION("""COMPUTED_VALUE"""),3012.0)</f>
        <v>3012</v>
      </c>
      <c r="G2446" s="6">
        <f>IFERROR(__xludf.DUMMYFUNCTION("""COMPUTED_VALUE"""),4708.0)</f>
        <v>4708</v>
      </c>
    </row>
    <row r="2447">
      <c r="A2447" s="6">
        <f>IFERROR(__xludf.DUMMYFUNCTION("""COMPUTED_VALUE"""),2025.0)</f>
        <v>2025</v>
      </c>
      <c r="B2447" s="6" t="str">
        <f>IFERROR(__xludf.DUMMYFUNCTION("""COMPUTED_VALUE"""),"Julho")</f>
        <v>Julho</v>
      </c>
      <c r="C2447" s="6" t="str">
        <f>IFERROR(__xludf.DUMMYFUNCTION("""COMPUTED_VALUE"""),"INVASÃO DE DOMICÍLIO")</f>
        <v>INVASÃO DE DOMICÍLIO</v>
      </c>
      <c r="D2447" s="6">
        <f>IFERROR(__xludf.DUMMYFUNCTION("""COMPUTED_VALUE"""),1.0)</f>
        <v>1</v>
      </c>
      <c r="E2447" s="6">
        <f>IFERROR(__xludf.DUMMYFUNCTION("""COMPUTED_VALUE"""),2.0)</f>
        <v>2</v>
      </c>
      <c r="F2447" s="6">
        <f>IFERROR(__xludf.DUMMYFUNCTION("""COMPUTED_VALUE"""),13.0)</f>
        <v>13</v>
      </c>
      <c r="G2447" s="6">
        <f>IFERROR(__xludf.DUMMYFUNCTION("""COMPUTED_VALUE"""),16.0)</f>
        <v>16</v>
      </c>
    </row>
    <row r="2448">
      <c r="A2448" s="6">
        <f>IFERROR(__xludf.DUMMYFUNCTION("""COMPUTED_VALUE"""),2025.0)</f>
        <v>2025</v>
      </c>
      <c r="B2448" s="6" t="str">
        <f>IFERROR(__xludf.DUMMYFUNCTION("""COMPUTED_VALUE"""),"Julho")</f>
        <v>Julho</v>
      </c>
      <c r="C2448" s="6" t="str">
        <f>IFERROR(__xludf.DUMMYFUNCTION("""COMPUTED_VALUE"""),"DANO")</f>
        <v>DANO</v>
      </c>
      <c r="D2448" s="6">
        <f>IFERROR(__xludf.DUMMYFUNCTION("""COMPUTED_VALUE"""),11.0)</f>
        <v>11</v>
      </c>
      <c r="E2448" s="6">
        <f>IFERROR(__xludf.DUMMYFUNCTION("""COMPUTED_VALUE"""),10.0)</f>
        <v>10</v>
      </c>
      <c r="F2448" s="6">
        <f>IFERROR(__xludf.DUMMYFUNCTION("""COMPUTED_VALUE"""),56.0)</f>
        <v>56</v>
      </c>
      <c r="G2448" s="6">
        <f>IFERROR(__xludf.DUMMYFUNCTION("""COMPUTED_VALUE"""),77.0)</f>
        <v>77</v>
      </c>
    </row>
    <row r="2449">
      <c r="A2449" s="6">
        <f>IFERROR(__xludf.DUMMYFUNCTION("""COMPUTED_VALUE"""),2025.0)</f>
        <v>2025</v>
      </c>
      <c r="B2449" s="6" t="str">
        <f>IFERROR(__xludf.DUMMYFUNCTION("""COMPUTED_VALUE"""),"Julho")</f>
        <v>Julho</v>
      </c>
      <c r="C2449" s="6" t="str">
        <f>IFERROR(__xludf.DUMMYFUNCTION("""COMPUTED_VALUE"""),"ESTUPRO CONSUMADO")</f>
        <v>ESTUPRO CONSUMADO</v>
      </c>
      <c r="D2449" s="6">
        <f>IFERROR(__xludf.DUMMYFUNCTION("""COMPUTED_VALUE"""),10.0)</f>
        <v>10</v>
      </c>
      <c r="E2449" s="6">
        <f>IFERROR(__xludf.DUMMYFUNCTION("""COMPUTED_VALUE"""),7.0)</f>
        <v>7</v>
      </c>
      <c r="F2449" s="6">
        <f>IFERROR(__xludf.DUMMYFUNCTION("""COMPUTED_VALUE"""),18.0)</f>
        <v>18</v>
      </c>
      <c r="G2449" s="6">
        <f>IFERROR(__xludf.DUMMYFUNCTION("""COMPUTED_VALUE"""),35.0)</f>
        <v>35</v>
      </c>
    </row>
    <row r="2450">
      <c r="A2450" s="6">
        <f>IFERROR(__xludf.DUMMYFUNCTION("""COMPUTED_VALUE"""),2025.0)</f>
        <v>2025</v>
      </c>
      <c r="B2450" s="6" t="str">
        <f>IFERROR(__xludf.DUMMYFUNCTION("""COMPUTED_VALUE"""),"Julho")</f>
        <v>Julho</v>
      </c>
      <c r="C2450" s="6" t="str">
        <f>IFERROR(__xludf.DUMMYFUNCTION("""COMPUTED_VALUE"""),"ESTUPRO TENTADO")</f>
        <v>ESTUPRO TENTADO</v>
      </c>
      <c r="D2450" s="6">
        <f>IFERROR(__xludf.DUMMYFUNCTION("""COMPUTED_VALUE"""),0.0)</f>
        <v>0</v>
      </c>
      <c r="E2450" s="6">
        <f>IFERROR(__xludf.DUMMYFUNCTION("""COMPUTED_VALUE"""),0.0)</f>
        <v>0</v>
      </c>
      <c r="F2450" s="6">
        <f>IFERROR(__xludf.DUMMYFUNCTION("""COMPUTED_VALUE"""),1.0)</f>
        <v>1</v>
      </c>
      <c r="G2450" s="6">
        <f>IFERROR(__xludf.DUMMYFUNCTION("""COMPUTED_VALUE"""),1.0)</f>
        <v>1</v>
      </c>
    </row>
    <row r="2451">
      <c r="A2451" s="6">
        <f>IFERROR(__xludf.DUMMYFUNCTION("""COMPUTED_VALUE"""),2025.0)</f>
        <v>2025</v>
      </c>
      <c r="B2451" s="6" t="str">
        <f>IFERROR(__xludf.DUMMYFUNCTION("""COMPUTED_VALUE"""),"Julho")</f>
        <v>Julho</v>
      </c>
      <c r="C2451" s="6" t="str">
        <f>IFERROR(__xludf.DUMMYFUNCTION("""COMPUTED_VALUE"""),"ESTUPRO DE VULNERÁVEL CONSUMADO")</f>
        <v>ESTUPRO DE VULNERÁVEL CONSUMADO</v>
      </c>
      <c r="D2451" s="6">
        <f>IFERROR(__xludf.DUMMYFUNCTION("""COMPUTED_VALUE"""),3.0)</f>
        <v>3</v>
      </c>
      <c r="E2451" s="6">
        <f>IFERROR(__xludf.DUMMYFUNCTION("""COMPUTED_VALUE"""),4.0)</f>
        <v>4</v>
      </c>
      <c r="F2451" s="6">
        <f>IFERROR(__xludf.DUMMYFUNCTION("""COMPUTED_VALUE"""),18.0)</f>
        <v>18</v>
      </c>
      <c r="G2451" s="6">
        <f>IFERROR(__xludf.DUMMYFUNCTION("""COMPUTED_VALUE"""),25.0)</f>
        <v>25</v>
      </c>
    </row>
    <row r="2452">
      <c r="A2452" s="6">
        <f>IFERROR(__xludf.DUMMYFUNCTION("""COMPUTED_VALUE"""),2025.0)</f>
        <v>2025</v>
      </c>
      <c r="B2452" s="6" t="str">
        <f>IFERROR(__xludf.DUMMYFUNCTION("""COMPUTED_VALUE"""),"Julho")</f>
        <v>Julho</v>
      </c>
      <c r="C2452" s="6" t="str">
        <f>IFERROR(__xludf.DUMMYFUNCTION("""COMPUTED_VALUE"""),"OUTROS C/C/ DIGNIDADE SEXUAL")</f>
        <v>OUTROS C/C/ DIGNIDADE SEXUAL</v>
      </c>
      <c r="D2452" s="6">
        <f>IFERROR(__xludf.DUMMYFUNCTION("""COMPUTED_VALUE"""),0.0)</f>
        <v>0</v>
      </c>
      <c r="E2452" s="6">
        <f>IFERROR(__xludf.DUMMYFUNCTION("""COMPUTED_VALUE"""),0.0)</f>
        <v>0</v>
      </c>
      <c r="F2452" s="6">
        <f>IFERROR(__xludf.DUMMYFUNCTION("""COMPUTED_VALUE"""),2.0)</f>
        <v>2</v>
      </c>
      <c r="G2452" s="6">
        <f>IFERROR(__xludf.DUMMYFUNCTION("""COMPUTED_VALUE"""),2.0)</f>
        <v>2</v>
      </c>
    </row>
    <row r="2453">
      <c r="A2453" s="6">
        <f>IFERROR(__xludf.DUMMYFUNCTION("""COMPUTED_VALUE"""),2025.0)</f>
        <v>2025</v>
      </c>
      <c r="B2453" s="6" t="str">
        <f>IFERROR(__xludf.DUMMYFUNCTION("""COMPUTED_VALUE"""),"Agosto")</f>
        <v>Agosto</v>
      </c>
      <c r="C2453" s="6" t="str">
        <f>IFERROR(__xludf.DUMMYFUNCTION("""COMPUTED_VALUE"""),"HOMICÍDIO DOLOSO (exclui FEMINICÍDIO)")</f>
        <v>HOMICÍDIO DOLOSO (exclui FEMINICÍDIO)</v>
      </c>
      <c r="D2453" s="6">
        <f>IFERROR(__xludf.DUMMYFUNCTION("""COMPUTED_VALUE"""),1.0)</f>
        <v>1</v>
      </c>
      <c r="E2453" s="6">
        <f>IFERROR(__xludf.DUMMYFUNCTION("""COMPUTED_VALUE"""),1.0)</f>
        <v>1</v>
      </c>
      <c r="F2453" s="6">
        <f>IFERROR(__xludf.DUMMYFUNCTION("""COMPUTED_VALUE"""),2.0)</f>
        <v>2</v>
      </c>
      <c r="G2453" s="6">
        <f>IFERROR(__xludf.DUMMYFUNCTION("""COMPUTED_VALUE"""),4.0)</f>
        <v>4</v>
      </c>
    </row>
    <row r="2454">
      <c r="A2454" s="6">
        <f>IFERROR(__xludf.DUMMYFUNCTION("""COMPUTED_VALUE"""),2025.0)</f>
        <v>2025</v>
      </c>
      <c r="B2454" s="6" t="str">
        <f>IFERROR(__xludf.DUMMYFUNCTION("""COMPUTED_VALUE"""),"Agosto")</f>
        <v>Agosto</v>
      </c>
      <c r="C2454" s="6" t="str">
        <f>IFERROR(__xludf.DUMMYFUNCTION("""COMPUTED_VALUE"""),"FEMINICÍDIO")</f>
        <v>FEMINICÍDIO</v>
      </c>
      <c r="D2454" s="6">
        <f>IFERROR(__xludf.DUMMYFUNCTION("""COMPUTED_VALUE"""),3.0)</f>
        <v>3</v>
      </c>
      <c r="E2454" s="6">
        <f>IFERROR(__xludf.DUMMYFUNCTION("""COMPUTED_VALUE"""),3.0)</f>
        <v>3</v>
      </c>
      <c r="F2454" s="6">
        <f>IFERROR(__xludf.DUMMYFUNCTION("""COMPUTED_VALUE"""),6.0)</f>
        <v>6</v>
      </c>
      <c r="G2454" s="6">
        <f>IFERROR(__xludf.DUMMYFUNCTION("""COMPUTED_VALUE"""),12.0)</f>
        <v>12</v>
      </c>
    </row>
    <row r="2455">
      <c r="A2455" s="6">
        <f>IFERROR(__xludf.DUMMYFUNCTION("""COMPUTED_VALUE"""),2025.0)</f>
        <v>2025</v>
      </c>
      <c r="B2455" s="6" t="str">
        <f>IFERROR(__xludf.DUMMYFUNCTION("""COMPUTED_VALUE"""),"Agosto")</f>
        <v>Agosto</v>
      </c>
      <c r="C2455" s="6" t="str">
        <f>IFERROR(__xludf.DUMMYFUNCTION("""COMPUTED_VALUE"""),"HOMICÍDIO CULPOSO")</f>
        <v>HOMICÍDIO CULPOSO</v>
      </c>
      <c r="D2455" s="6">
        <f>IFERROR(__xludf.DUMMYFUNCTION("""COMPUTED_VALUE"""),0.0)</f>
        <v>0</v>
      </c>
      <c r="E2455" s="6">
        <f>IFERROR(__xludf.DUMMYFUNCTION("""COMPUTED_VALUE"""),0.0)</f>
        <v>0</v>
      </c>
      <c r="F2455" s="6">
        <f>IFERROR(__xludf.DUMMYFUNCTION("""COMPUTED_VALUE"""),0.0)</f>
        <v>0</v>
      </c>
      <c r="G2455" s="6">
        <f>IFERROR(__xludf.DUMMYFUNCTION("""COMPUTED_VALUE"""),0.0)</f>
        <v>0</v>
      </c>
    </row>
    <row r="2456">
      <c r="A2456" s="6">
        <f>IFERROR(__xludf.DUMMYFUNCTION("""COMPUTED_VALUE"""),2025.0)</f>
        <v>2025</v>
      </c>
      <c r="B2456" s="6" t="str">
        <f>IFERROR(__xludf.DUMMYFUNCTION("""COMPUTED_VALUE"""),"Agosto")</f>
        <v>Agosto</v>
      </c>
      <c r="C2456" s="6" t="str">
        <f>IFERROR(__xludf.DUMMYFUNCTION("""COMPUTED_VALUE"""),"TENTATIVA DE HOMICÍDIO")</f>
        <v>TENTATIVA DE HOMICÍDIO</v>
      </c>
      <c r="D2456" s="6">
        <f>IFERROR(__xludf.DUMMYFUNCTION("""COMPUTED_VALUE"""),2.0)</f>
        <v>2</v>
      </c>
      <c r="E2456" s="6">
        <f>IFERROR(__xludf.DUMMYFUNCTION("""COMPUTED_VALUE"""),2.0)</f>
        <v>2</v>
      </c>
      <c r="F2456" s="6">
        <f>IFERROR(__xludf.DUMMYFUNCTION("""COMPUTED_VALUE"""),12.0)</f>
        <v>12</v>
      </c>
      <c r="G2456" s="6">
        <f>IFERROR(__xludf.DUMMYFUNCTION("""COMPUTED_VALUE"""),16.0)</f>
        <v>16</v>
      </c>
    </row>
    <row r="2457">
      <c r="A2457" s="6">
        <f>IFERROR(__xludf.DUMMYFUNCTION("""COMPUTED_VALUE"""),2025.0)</f>
        <v>2025</v>
      </c>
      <c r="B2457" s="6" t="str">
        <f>IFERROR(__xludf.DUMMYFUNCTION("""COMPUTED_VALUE"""),"Agosto")</f>
        <v>Agosto</v>
      </c>
      <c r="C2457" s="6" t="str">
        <f>IFERROR(__xludf.DUMMYFUNCTION("""COMPUTED_VALUE"""),"LESÃO CORPORAL DOLOSA")</f>
        <v>LESÃO CORPORAL DOLOSA</v>
      </c>
      <c r="D2457" s="6">
        <f>IFERROR(__xludf.DUMMYFUNCTION("""COMPUTED_VALUE"""),948.0)</f>
        <v>948</v>
      </c>
      <c r="E2457" s="6">
        <f>IFERROR(__xludf.DUMMYFUNCTION("""COMPUTED_VALUE"""),812.0)</f>
        <v>812</v>
      </c>
      <c r="F2457" s="6">
        <f>IFERROR(__xludf.DUMMYFUNCTION("""COMPUTED_VALUE"""),2914.0)</f>
        <v>2914</v>
      </c>
      <c r="G2457" s="6">
        <f>IFERROR(__xludf.DUMMYFUNCTION("""COMPUTED_VALUE"""),4674.0)</f>
        <v>4674</v>
      </c>
    </row>
    <row r="2458">
      <c r="A2458" s="6">
        <f>IFERROR(__xludf.DUMMYFUNCTION("""COMPUTED_VALUE"""),2025.0)</f>
        <v>2025</v>
      </c>
      <c r="B2458" s="6" t="str">
        <f>IFERROR(__xludf.DUMMYFUNCTION("""COMPUTED_VALUE"""),"Agosto")</f>
        <v>Agosto</v>
      </c>
      <c r="C2458" s="6" t="str">
        <f>IFERROR(__xludf.DUMMYFUNCTION("""COMPUTED_VALUE"""),"MAUS TRATOS")</f>
        <v>MAUS TRATOS</v>
      </c>
      <c r="D2458" s="6">
        <f>IFERROR(__xludf.DUMMYFUNCTION("""COMPUTED_VALUE"""),3.0)</f>
        <v>3</v>
      </c>
      <c r="E2458" s="6">
        <f>IFERROR(__xludf.DUMMYFUNCTION("""COMPUTED_VALUE"""),2.0)</f>
        <v>2</v>
      </c>
      <c r="F2458" s="6">
        <f>IFERROR(__xludf.DUMMYFUNCTION("""COMPUTED_VALUE"""),16.0)</f>
        <v>16</v>
      </c>
      <c r="G2458" s="6">
        <f>IFERROR(__xludf.DUMMYFUNCTION("""COMPUTED_VALUE"""),21.0)</f>
        <v>21</v>
      </c>
    </row>
    <row r="2459">
      <c r="A2459" s="6">
        <f>IFERROR(__xludf.DUMMYFUNCTION("""COMPUTED_VALUE"""),2025.0)</f>
        <v>2025</v>
      </c>
      <c r="B2459" s="6" t="str">
        <f>IFERROR(__xludf.DUMMYFUNCTION("""COMPUTED_VALUE"""),"Agosto")</f>
        <v>Agosto</v>
      </c>
      <c r="C2459" s="6" t="str">
        <f>IFERROR(__xludf.DUMMYFUNCTION("""COMPUTED_VALUE"""),"CALÚNIA - DIFAMAÇÃO - INJÚRIA")</f>
        <v>CALÚNIA - DIFAMAÇÃO - INJÚRIA</v>
      </c>
      <c r="D2459" s="6">
        <f>IFERROR(__xludf.DUMMYFUNCTION("""COMPUTED_VALUE"""),187.0)</f>
        <v>187</v>
      </c>
      <c r="E2459" s="6">
        <f>IFERROR(__xludf.DUMMYFUNCTION("""COMPUTED_VALUE"""),159.0)</f>
        <v>159</v>
      </c>
      <c r="F2459" s="6">
        <f>IFERROR(__xludf.DUMMYFUNCTION("""COMPUTED_VALUE"""),694.0)</f>
        <v>694</v>
      </c>
      <c r="G2459" s="6">
        <f>IFERROR(__xludf.DUMMYFUNCTION("""COMPUTED_VALUE"""),1040.0)</f>
        <v>1040</v>
      </c>
    </row>
    <row r="2460">
      <c r="A2460" s="6">
        <f>IFERROR(__xludf.DUMMYFUNCTION("""COMPUTED_VALUE"""),2025.0)</f>
        <v>2025</v>
      </c>
      <c r="B2460" s="6" t="str">
        <f>IFERROR(__xludf.DUMMYFUNCTION("""COMPUTED_VALUE"""),"Agosto")</f>
        <v>Agosto</v>
      </c>
      <c r="C2460" s="6" t="str">
        <f>IFERROR(__xludf.DUMMYFUNCTION("""COMPUTED_VALUE"""),"CONSTRANGIMENTO ILEGAL")</f>
        <v>CONSTRANGIMENTO ILEGAL</v>
      </c>
      <c r="D2460" s="6">
        <f>IFERROR(__xludf.DUMMYFUNCTION("""COMPUTED_VALUE"""),1.0)</f>
        <v>1</v>
      </c>
      <c r="E2460" s="6">
        <f>IFERROR(__xludf.DUMMYFUNCTION("""COMPUTED_VALUE"""),0.0)</f>
        <v>0</v>
      </c>
      <c r="F2460" s="6">
        <f>IFERROR(__xludf.DUMMYFUNCTION("""COMPUTED_VALUE"""),6.0)</f>
        <v>6</v>
      </c>
      <c r="G2460" s="6">
        <f>IFERROR(__xludf.DUMMYFUNCTION("""COMPUTED_VALUE"""),7.0)</f>
        <v>7</v>
      </c>
    </row>
    <row r="2461">
      <c r="A2461" s="6">
        <f>IFERROR(__xludf.DUMMYFUNCTION("""COMPUTED_VALUE"""),2025.0)</f>
        <v>2025</v>
      </c>
      <c r="B2461" s="6" t="str">
        <f>IFERROR(__xludf.DUMMYFUNCTION("""COMPUTED_VALUE"""),"Agosto")</f>
        <v>Agosto</v>
      </c>
      <c r="C2461" s="6" t="str">
        <f>IFERROR(__xludf.DUMMYFUNCTION("""COMPUTED_VALUE"""),"AMEAÇA")</f>
        <v>AMEAÇA</v>
      </c>
      <c r="D2461" s="6">
        <f>IFERROR(__xludf.DUMMYFUNCTION("""COMPUTED_VALUE"""),872.0)</f>
        <v>872</v>
      </c>
      <c r="E2461" s="6">
        <f>IFERROR(__xludf.DUMMYFUNCTION("""COMPUTED_VALUE"""),804.0)</f>
        <v>804</v>
      </c>
      <c r="F2461" s="6">
        <f>IFERROR(__xludf.DUMMYFUNCTION("""COMPUTED_VALUE"""),2984.0)</f>
        <v>2984</v>
      </c>
      <c r="G2461" s="6">
        <f>IFERROR(__xludf.DUMMYFUNCTION("""COMPUTED_VALUE"""),4660.0)</f>
        <v>4660</v>
      </c>
    </row>
    <row r="2462">
      <c r="A2462" s="6">
        <f>IFERROR(__xludf.DUMMYFUNCTION("""COMPUTED_VALUE"""),2025.0)</f>
        <v>2025</v>
      </c>
      <c r="B2462" s="6" t="str">
        <f>IFERROR(__xludf.DUMMYFUNCTION("""COMPUTED_VALUE"""),"Agosto")</f>
        <v>Agosto</v>
      </c>
      <c r="C2462" s="6" t="str">
        <f>IFERROR(__xludf.DUMMYFUNCTION("""COMPUTED_VALUE"""),"INVASÃO DE DOMICÍLIO")</f>
        <v>INVASÃO DE DOMICÍLIO</v>
      </c>
      <c r="D2462" s="6">
        <f>IFERROR(__xludf.DUMMYFUNCTION("""COMPUTED_VALUE"""),1.0)</f>
        <v>1</v>
      </c>
      <c r="E2462" s="6">
        <f>IFERROR(__xludf.DUMMYFUNCTION("""COMPUTED_VALUE"""),2.0)</f>
        <v>2</v>
      </c>
      <c r="F2462" s="6">
        <f>IFERROR(__xludf.DUMMYFUNCTION("""COMPUTED_VALUE"""),13.0)</f>
        <v>13</v>
      </c>
      <c r="G2462" s="6">
        <f>IFERROR(__xludf.DUMMYFUNCTION("""COMPUTED_VALUE"""),16.0)</f>
        <v>16</v>
      </c>
    </row>
    <row r="2463">
      <c r="A2463" s="6">
        <f>IFERROR(__xludf.DUMMYFUNCTION("""COMPUTED_VALUE"""),2025.0)</f>
        <v>2025</v>
      </c>
      <c r="B2463" s="6" t="str">
        <f>IFERROR(__xludf.DUMMYFUNCTION("""COMPUTED_VALUE"""),"Agosto")</f>
        <v>Agosto</v>
      </c>
      <c r="C2463" s="6" t="str">
        <f>IFERROR(__xludf.DUMMYFUNCTION("""COMPUTED_VALUE"""),"DANO")</f>
        <v>DANO</v>
      </c>
      <c r="D2463" s="6">
        <f>IFERROR(__xludf.DUMMYFUNCTION("""COMPUTED_VALUE"""),11.0)</f>
        <v>11</v>
      </c>
      <c r="E2463" s="6">
        <f>IFERROR(__xludf.DUMMYFUNCTION("""COMPUTED_VALUE"""),10.0)</f>
        <v>10</v>
      </c>
      <c r="F2463" s="6">
        <f>IFERROR(__xludf.DUMMYFUNCTION("""COMPUTED_VALUE"""),54.0)</f>
        <v>54</v>
      </c>
      <c r="G2463" s="6">
        <f>IFERROR(__xludf.DUMMYFUNCTION("""COMPUTED_VALUE"""),75.0)</f>
        <v>75</v>
      </c>
    </row>
    <row r="2464">
      <c r="A2464" s="6">
        <f>IFERROR(__xludf.DUMMYFUNCTION("""COMPUTED_VALUE"""),2025.0)</f>
        <v>2025</v>
      </c>
      <c r="B2464" s="6" t="str">
        <f>IFERROR(__xludf.DUMMYFUNCTION("""COMPUTED_VALUE"""),"Agosto")</f>
        <v>Agosto</v>
      </c>
      <c r="C2464" s="6" t="str">
        <f>IFERROR(__xludf.DUMMYFUNCTION("""COMPUTED_VALUE"""),"ESTUPRO CONSUMADO")</f>
        <v>ESTUPRO CONSUMADO</v>
      </c>
      <c r="D2464" s="6">
        <f>IFERROR(__xludf.DUMMYFUNCTION("""COMPUTED_VALUE"""),10.0)</f>
        <v>10</v>
      </c>
      <c r="E2464" s="6">
        <f>IFERROR(__xludf.DUMMYFUNCTION("""COMPUTED_VALUE"""),7.0)</f>
        <v>7</v>
      </c>
      <c r="F2464" s="6">
        <f>IFERROR(__xludf.DUMMYFUNCTION("""COMPUTED_VALUE"""),17.0)</f>
        <v>17</v>
      </c>
      <c r="G2464" s="6">
        <f>IFERROR(__xludf.DUMMYFUNCTION("""COMPUTED_VALUE"""),34.0)</f>
        <v>34</v>
      </c>
    </row>
    <row r="2465">
      <c r="A2465" s="6">
        <f>IFERROR(__xludf.DUMMYFUNCTION("""COMPUTED_VALUE"""),2025.0)</f>
        <v>2025</v>
      </c>
      <c r="B2465" s="6" t="str">
        <f>IFERROR(__xludf.DUMMYFUNCTION("""COMPUTED_VALUE"""),"Agosto")</f>
        <v>Agosto</v>
      </c>
      <c r="C2465" s="6" t="str">
        <f>IFERROR(__xludf.DUMMYFUNCTION("""COMPUTED_VALUE"""),"ESTUPRO TENTADO")</f>
        <v>ESTUPRO TENTADO</v>
      </c>
      <c r="D2465" s="6">
        <f>IFERROR(__xludf.DUMMYFUNCTION("""COMPUTED_VALUE"""),0.0)</f>
        <v>0</v>
      </c>
      <c r="E2465" s="6">
        <f>IFERROR(__xludf.DUMMYFUNCTION("""COMPUTED_VALUE"""),0.0)</f>
        <v>0</v>
      </c>
      <c r="F2465" s="6">
        <f>IFERROR(__xludf.DUMMYFUNCTION("""COMPUTED_VALUE"""),1.0)</f>
        <v>1</v>
      </c>
      <c r="G2465" s="6">
        <f>IFERROR(__xludf.DUMMYFUNCTION("""COMPUTED_VALUE"""),1.0)</f>
        <v>1</v>
      </c>
    </row>
    <row r="2466">
      <c r="A2466" s="6">
        <f>IFERROR(__xludf.DUMMYFUNCTION("""COMPUTED_VALUE"""),2025.0)</f>
        <v>2025</v>
      </c>
      <c r="B2466" s="6" t="str">
        <f>IFERROR(__xludf.DUMMYFUNCTION("""COMPUTED_VALUE"""),"Agosto")</f>
        <v>Agosto</v>
      </c>
      <c r="C2466" s="6" t="str">
        <f>IFERROR(__xludf.DUMMYFUNCTION("""COMPUTED_VALUE"""),"ESTUPRO DE VULNERÁVEL CONSUMADO")</f>
        <v>ESTUPRO DE VULNERÁVEL CONSUMADO</v>
      </c>
      <c r="D2466" s="6">
        <f>IFERROR(__xludf.DUMMYFUNCTION("""COMPUTED_VALUE"""),3.0)</f>
        <v>3</v>
      </c>
      <c r="E2466" s="6">
        <f>IFERROR(__xludf.DUMMYFUNCTION("""COMPUTED_VALUE"""),4.0)</f>
        <v>4</v>
      </c>
      <c r="F2466" s="6">
        <f>IFERROR(__xludf.DUMMYFUNCTION("""COMPUTED_VALUE"""),17.0)</f>
        <v>17</v>
      </c>
      <c r="G2466" s="6">
        <f>IFERROR(__xludf.DUMMYFUNCTION("""COMPUTED_VALUE"""),24.0)</f>
        <v>24</v>
      </c>
    </row>
    <row r="2467">
      <c r="A2467" s="6">
        <f>IFERROR(__xludf.DUMMYFUNCTION("""COMPUTED_VALUE"""),2025.0)</f>
        <v>2025</v>
      </c>
      <c r="B2467" s="6" t="str">
        <f>IFERROR(__xludf.DUMMYFUNCTION("""COMPUTED_VALUE"""),"Agosto")</f>
        <v>Agosto</v>
      </c>
      <c r="C2467" s="6" t="str">
        <f>IFERROR(__xludf.DUMMYFUNCTION("""COMPUTED_VALUE"""),"OUTROS C/C/ DIGNIDADE SEXUAL")</f>
        <v>OUTROS C/C/ DIGNIDADE SEXUAL</v>
      </c>
      <c r="D2467" s="6">
        <f>IFERROR(__xludf.DUMMYFUNCTION("""COMPUTED_VALUE"""),0.0)</f>
        <v>0</v>
      </c>
      <c r="E2467" s="6">
        <f>IFERROR(__xludf.DUMMYFUNCTION("""COMPUTED_VALUE"""),0.0)</f>
        <v>0</v>
      </c>
      <c r="F2467" s="6">
        <f>IFERROR(__xludf.DUMMYFUNCTION("""COMPUTED_VALUE"""),2.0)</f>
        <v>2</v>
      </c>
      <c r="G2467" s="6">
        <f>IFERROR(__xludf.DUMMYFUNCTION("""COMPUTED_VALUE"""),2.0)</f>
        <v>2</v>
      </c>
    </row>
    <row r="2468">
      <c r="A2468" s="6">
        <f>IFERROR(__xludf.DUMMYFUNCTION("""COMPUTED_VALUE"""),2025.0)</f>
        <v>2025</v>
      </c>
      <c r="B2468" s="6" t="str">
        <f>IFERROR(__xludf.DUMMYFUNCTION("""COMPUTED_VALUE"""),"Setembro")</f>
        <v>Setembro</v>
      </c>
      <c r="C2468" s="6" t="str">
        <f>IFERROR(__xludf.DUMMYFUNCTION("""COMPUTED_VALUE"""),"HOMICÍDIO DOLOSO (exclui FEMINICÍDIO)")</f>
        <v>HOMICÍDIO DOLOSO (exclui FEMINICÍDIO)</v>
      </c>
      <c r="D2468" s="6">
        <f>IFERROR(__xludf.DUMMYFUNCTION("""COMPUTED_VALUE"""),1.0)</f>
        <v>1</v>
      </c>
      <c r="E2468" s="6">
        <f>IFERROR(__xludf.DUMMYFUNCTION("""COMPUTED_VALUE"""),0.0)</f>
        <v>0</v>
      </c>
      <c r="F2468" s="6">
        <f>IFERROR(__xludf.DUMMYFUNCTION("""COMPUTED_VALUE"""),2.0)</f>
        <v>2</v>
      </c>
      <c r="G2468" s="6">
        <f>IFERROR(__xludf.DUMMYFUNCTION("""COMPUTED_VALUE"""),3.0)</f>
        <v>3</v>
      </c>
    </row>
    <row r="2469">
      <c r="A2469" s="6">
        <f>IFERROR(__xludf.DUMMYFUNCTION("""COMPUTED_VALUE"""),2025.0)</f>
        <v>2025</v>
      </c>
      <c r="B2469" s="6" t="str">
        <f>IFERROR(__xludf.DUMMYFUNCTION("""COMPUTED_VALUE"""),"Setembro")</f>
        <v>Setembro</v>
      </c>
      <c r="C2469" s="6" t="str">
        <f>IFERROR(__xludf.DUMMYFUNCTION("""COMPUTED_VALUE"""),"FEMINICÍDIO")</f>
        <v>FEMINICÍDIO</v>
      </c>
      <c r="D2469" s="6">
        <f>IFERROR(__xludf.DUMMYFUNCTION("""COMPUTED_VALUE"""),4.0)</f>
        <v>4</v>
      </c>
      <c r="E2469" s="6">
        <f>IFERROR(__xludf.DUMMYFUNCTION("""COMPUTED_VALUE"""),4.0)</f>
        <v>4</v>
      </c>
      <c r="F2469" s="6">
        <f>IFERROR(__xludf.DUMMYFUNCTION("""COMPUTED_VALUE"""),8.0)</f>
        <v>8</v>
      </c>
      <c r="G2469" s="6">
        <f>IFERROR(__xludf.DUMMYFUNCTION("""COMPUTED_VALUE"""),16.0)</f>
        <v>16</v>
      </c>
    </row>
    <row r="2470">
      <c r="A2470" s="6">
        <f>IFERROR(__xludf.DUMMYFUNCTION("""COMPUTED_VALUE"""),2025.0)</f>
        <v>2025</v>
      </c>
      <c r="B2470" s="6" t="str">
        <f>IFERROR(__xludf.DUMMYFUNCTION("""COMPUTED_VALUE"""),"Setembro")</f>
        <v>Setembro</v>
      </c>
      <c r="C2470" s="6" t="str">
        <f>IFERROR(__xludf.DUMMYFUNCTION("""COMPUTED_VALUE"""),"HOMICÍDIO CULPOSO")</f>
        <v>HOMICÍDIO CULPOSO</v>
      </c>
      <c r="D2470" s="6">
        <f>IFERROR(__xludf.DUMMYFUNCTION("""COMPUTED_VALUE"""),0.0)</f>
        <v>0</v>
      </c>
      <c r="E2470" s="6">
        <f>IFERROR(__xludf.DUMMYFUNCTION("""COMPUTED_VALUE"""),0.0)</f>
        <v>0</v>
      </c>
      <c r="F2470" s="6">
        <f>IFERROR(__xludf.DUMMYFUNCTION("""COMPUTED_VALUE"""),0.0)</f>
        <v>0</v>
      </c>
      <c r="G2470" s="6">
        <f>IFERROR(__xludf.DUMMYFUNCTION("""COMPUTED_VALUE"""),0.0)</f>
        <v>0</v>
      </c>
    </row>
    <row r="2471">
      <c r="A2471" s="6">
        <f>IFERROR(__xludf.DUMMYFUNCTION("""COMPUTED_VALUE"""),2025.0)</f>
        <v>2025</v>
      </c>
      <c r="B2471" s="6" t="str">
        <f>IFERROR(__xludf.DUMMYFUNCTION("""COMPUTED_VALUE"""),"Setembro")</f>
        <v>Setembro</v>
      </c>
      <c r="C2471" s="6" t="str">
        <f>IFERROR(__xludf.DUMMYFUNCTION("""COMPUTED_VALUE"""),"TENTATIVA DE HOMICÍDIO")</f>
        <v>TENTATIVA DE HOMICÍDIO</v>
      </c>
      <c r="D2471" s="6">
        <f>IFERROR(__xludf.DUMMYFUNCTION("""COMPUTED_VALUE"""),1.0)</f>
        <v>1</v>
      </c>
      <c r="E2471" s="6">
        <f>IFERROR(__xludf.DUMMYFUNCTION("""COMPUTED_VALUE"""),1.0)</f>
        <v>1</v>
      </c>
      <c r="F2471" s="6">
        <f>IFERROR(__xludf.DUMMYFUNCTION("""COMPUTED_VALUE"""),11.0)</f>
        <v>11</v>
      </c>
      <c r="G2471" s="6">
        <f>IFERROR(__xludf.DUMMYFUNCTION("""COMPUTED_VALUE"""),13.0)</f>
        <v>13</v>
      </c>
    </row>
    <row r="2472">
      <c r="A2472" s="6">
        <f>IFERROR(__xludf.DUMMYFUNCTION("""COMPUTED_VALUE"""),2025.0)</f>
        <v>2025</v>
      </c>
      <c r="B2472" s="6" t="str">
        <f>IFERROR(__xludf.DUMMYFUNCTION("""COMPUTED_VALUE"""),"Setembro")</f>
        <v>Setembro</v>
      </c>
      <c r="C2472" s="6" t="str">
        <f>IFERROR(__xludf.DUMMYFUNCTION("""COMPUTED_VALUE"""),"LESÃO CORPORAL DOLOSA")</f>
        <v>LESÃO CORPORAL DOLOSA</v>
      </c>
      <c r="D2472" s="6">
        <f>IFERROR(__xludf.DUMMYFUNCTION("""COMPUTED_VALUE"""),912.0)</f>
        <v>912</v>
      </c>
      <c r="E2472" s="6">
        <f>IFERROR(__xludf.DUMMYFUNCTION("""COMPUTED_VALUE"""),784.0)</f>
        <v>784</v>
      </c>
      <c r="F2472" s="6">
        <f>IFERROR(__xludf.DUMMYFUNCTION("""COMPUTED_VALUE"""),2814.0)</f>
        <v>2814</v>
      </c>
      <c r="G2472" s="6">
        <f>IFERROR(__xludf.DUMMYFUNCTION("""COMPUTED_VALUE"""),4510.0)</f>
        <v>4510</v>
      </c>
    </row>
    <row r="2473">
      <c r="A2473" s="6">
        <f>IFERROR(__xludf.DUMMYFUNCTION("""COMPUTED_VALUE"""),2025.0)</f>
        <v>2025</v>
      </c>
      <c r="B2473" s="6" t="str">
        <f>IFERROR(__xludf.DUMMYFUNCTION("""COMPUTED_VALUE"""),"Setembro")</f>
        <v>Setembro</v>
      </c>
      <c r="C2473" s="6" t="str">
        <f>IFERROR(__xludf.DUMMYFUNCTION("""COMPUTED_VALUE"""),"MAUS TRATOS")</f>
        <v>MAUS TRATOS</v>
      </c>
      <c r="D2473" s="6">
        <f>IFERROR(__xludf.DUMMYFUNCTION("""COMPUTED_VALUE"""),2.0)</f>
        <v>2</v>
      </c>
      <c r="E2473" s="6">
        <f>IFERROR(__xludf.DUMMYFUNCTION("""COMPUTED_VALUE"""),2.0)</f>
        <v>2</v>
      </c>
      <c r="F2473" s="6">
        <f>IFERROR(__xludf.DUMMYFUNCTION("""COMPUTED_VALUE"""),14.0)</f>
        <v>14</v>
      </c>
      <c r="G2473" s="6">
        <f>IFERROR(__xludf.DUMMYFUNCTION("""COMPUTED_VALUE"""),18.0)</f>
        <v>18</v>
      </c>
    </row>
    <row r="2474">
      <c r="A2474" s="6">
        <f>IFERROR(__xludf.DUMMYFUNCTION("""COMPUTED_VALUE"""),2025.0)</f>
        <v>2025</v>
      </c>
      <c r="B2474" s="6" t="str">
        <f>IFERROR(__xludf.DUMMYFUNCTION("""COMPUTED_VALUE"""),"Setembro")</f>
        <v>Setembro</v>
      </c>
      <c r="C2474" s="6" t="str">
        <f>IFERROR(__xludf.DUMMYFUNCTION("""COMPUTED_VALUE"""),"CALÚNIA - DIFAMAÇÃO - INJÚRIA")</f>
        <v>CALÚNIA - DIFAMAÇÃO - INJÚRIA</v>
      </c>
      <c r="D2474" s="6">
        <f>IFERROR(__xludf.DUMMYFUNCTION("""COMPUTED_VALUE"""),178.0)</f>
        <v>178</v>
      </c>
      <c r="E2474" s="6">
        <f>IFERROR(__xludf.DUMMYFUNCTION("""COMPUTED_VALUE"""),151.0)</f>
        <v>151</v>
      </c>
      <c r="F2474" s="6">
        <f>IFERROR(__xludf.DUMMYFUNCTION("""COMPUTED_VALUE"""),654.0)</f>
        <v>654</v>
      </c>
      <c r="G2474" s="6">
        <f>IFERROR(__xludf.DUMMYFUNCTION("""COMPUTED_VALUE"""),983.0)</f>
        <v>983</v>
      </c>
    </row>
    <row r="2475">
      <c r="A2475" s="6">
        <f>IFERROR(__xludf.DUMMYFUNCTION("""COMPUTED_VALUE"""),2025.0)</f>
        <v>2025</v>
      </c>
      <c r="B2475" s="6" t="str">
        <f>IFERROR(__xludf.DUMMYFUNCTION("""COMPUTED_VALUE"""),"Setembro")</f>
        <v>Setembro</v>
      </c>
      <c r="C2475" s="6" t="str">
        <f>IFERROR(__xludf.DUMMYFUNCTION("""COMPUTED_VALUE"""),"CONSTRANGIMENTO ILEGAL")</f>
        <v>CONSTRANGIMENTO ILEGAL</v>
      </c>
      <c r="D2475" s="6">
        <f>IFERROR(__xludf.DUMMYFUNCTION("""COMPUTED_VALUE"""),1.0)</f>
        <v>1</v>
      </c>
      <c r="E2475" s="6">
        <f>IFERROR(__xludf.DUMMYFUNCTION("""COMPUTED_VALUE"""),0.0)</f>
        <v>0</v>
      </c>
      <c r="F2475" s="6">
        <f>IFERROR(__xludf.DUMMYFUNCTION("""COMPUTED_VALUE"""),5.0)</f>
        <v>5</v>
      </c>
      <c r="G2475" s="6">
        <f>IFERROR(__xludf.DUMMYFUNCTION("""COMPUTED_VALUE"""),6.0)</f>
        <v>6</v>
      </c>
    </row>
    <row r="2476">
      <c r="A2476" s="6">
        <f>IFERROR(__xludf.DUMMYFUNCTION("""COMPUTED_VALUE"""),2025.0)</f>
        <v>2025</v>
      </c>
      <c r="B2476" s="6" t="str">
        <f>IFERROR(__xludf.DUMMYFUNCTION("""COMPUTED_VALUE"""),"Setembro")</f>
        <v>Setembro</v>
      </c>
      <c r="C2476" s="6" t="str">
        <f>IFERROR(__xludf.DUMMYFUNCTION("""COMPUTED_VALUE"""),"AMEAÇA")</f>
        <v>AMEAÇA</v>
      </c>
      <c r="D2476" s="6">
        <f>IFERROR(__xludf.DUMMYFUNCTION("""COMPUTED_VALUE"""),842.0)</f>
        <v>842</v>
      </c>
      <c r="E2476" s="6">
        <f>IFERROR(__xludf.DUMMYFUNCTION("""COMPUTED_VALUE"""),771.0)</f>
        <v>771</v>
      </c>
      <c r="F2476" s="6">
        <f>IFERROR(__xludf.DUMMYFUNCTION("""COMPUTED_VALUE"""),2884.0)</f>
        <v>2884</v>
      </c>
      <c r="G2476" s="6">
        <f>IFERROR(__xludf.DUMMYFUNCTION("""COMPUTED_VALUE"""),4497.0)</f>
        <v>4497</v>
      </c>
    </row>
    <row r="2477">
      <c r="A2477" s="6">
        <f>IFERROR(__xludf.DUMMYFUNCTION("""COMPUTED_VALUE"""),2025.0)</f>
        <v>2025</v>
      </c>
      <c r="B2477" s="6" t="str">
        <f>IFERROR(__xludf.DUMMYFUNCTION("""COMPUTED_VALUE"""),"Setembro")</f>
        <v>Setembro</v>
      </c>
      <c r="C2477" s="6" t="str">
        <f>IFERROR(__xludf.DUMMYFUNCTION("""COMPUTED_VALUE"""),"INVASÃO DE DOMICÍLIO")</f>
        <v>INVASÃO DE DOMICÍLIO</v>
      </c>
      <c r="D2477" s="6">
        <f>IFERROR(__xludf.DUMMYFUNCTION("""COMPUTED_VALUE"""),1.0)</f>
        <v>1</v>
      </c>
      <c r="E2477" s="6">
        <f>IFERROR(__xludf.DUMMYFUNCTION("""COMPUTED_VALUE"""),1.0)</f>
        <v>1</v>
      </c>
      <c r="F2477" s="6">
        <f>IFERROR(__xludf.DUMMYFUNCTION("""COMPUTED_VALUE"""),11.0)</f>
        <v>11</v>
      </c>
      <c r="G2477" s="6">
        <f>IFERROR(__xludf.DUMMYFUNCTION("""COMPUTED_VALUE"""),13.0)</f>
        <v>13</v>
      </c>
    </row>
    <row r="2478">
      <c r="A2478" s="6">
        <f>IFERROR(__xludf.DUMMYFUNCTION("""COMPUTED_VALUE"""),2025.0)</f>
        <v>2025</v>
      </c>
      <c r="B2478" s="6" t="str">
        <f>IFERROR(__xludf.DUMMYFUNCTION("""COMPUTED_VALUE"""),"Setembro")</f>
        <v>Setembro</v>
      </c>
      <c r="C2478" s="6" t="str">
        <f>IFERROR(__xludf.DUMMYFUNCTION("""COMPUTED_VALUE"""),"DANO")</f>
        <v>DANO</v>
      </c>
      <c r="D2478" s="6">
        <f>IFERROR(__xludf.DUMMYFUNCTION("""COMPUTED_VALUE"""),9.0)</f>
        <v>9</v>
      </c>
      <c r="E2478" s="6">
        <f>IFERROR(__xludf.DUMMYFUNCTION("""COMPUTED_VALUE"""),9.0)</f>
        <v>9</v>
      </c>
      <c r="F2478" s="6">
        <f>IFERROR(__xludf.DUMMYFUNCTION("""COMPUTED_VALUE"""),51.0)</f>
        <v>51</v>
      </c>
      <c r="G2478" s="6">
        <f>IFERROR(__xludf.DUMMYFUNCTION("""COMPUTED_VALUE"""),69.0)</f>
        <v>69</v>
      </c>
    </row>
    <row r="2479">
      <c r="A2479" s="6">
        <f>IFERROR(__xludf.DUMMYFUNCTION("""COMPUTED_VALUE"""),2025.0)</f>
        <v>2025</v>
      </c>
      <c r="B2479" s="6" t="str">
        <f>IFERROR(__xludf.DUMMYFUNCTION("""COMPUTED_VALUE"""),"Setembro")</f>
        <v>Setembro</v>
      </c>
      <c r="C2479" s="6" t="str">
        <f>IFERROR(__xludf.DUMMYFUNCTION("""COMPUTED_VALUE"""),"ESTUPRO CONSUMADO")</f>
        <v>ESTUPRO CONSUMADO</v>
      </c>
      <c r="D2479" s="6">
        <f>IFERROR(__xludf.DUMMYFUNCTION("""COMPUTED_VALUE"""),9.0)</f>
        <v>9</v>
      </c>
      <c r="E2479" s="6">
        <f>IFERROR(__xludf.DUMMYFUNCTION("""COMPUTED_VALUE"""),6.0)</f>
        <v>6</v>
      </c>
      <c r="F2479" s="6">
        <f>IFERROR(__xludf.DUMMYFUNCTION("""COMPUTED_VALUE"""),16.0)</f>
        <v>16</v>
      </c>
      <c r="G2479" s="6">
        <f>IFERROR(__xludf.DUMMYFUNCTION("""COMPUTED_VALUE"""),31.0)</f>
        <v>31</v>
      </c>
    </row>
    <row r="2480">
      <c r="A2480" s="6">
        <f>IFERROR(__xludf.DUMMYFUNCTION("""COMPUTED_VALUE"""),2025.0)</f>
        <v>2025</v>
      </c>
      <c r="B2480" s="6" t="str">
        <f>IFERROR(__xludf.DUMMYFUNCTION("""COMPUTED_VALUE"""),"Setembro")</f>
        <v>Setembro</v>
      </c>
      <c r="C2480" s="6" t="str">
        <f>IFERROR(__xludf.DUMMYFUNCTION("""COMPUTED_VALUE"""),"ESTUPRO TENTADO")</f>
        <v>ESTUPRO TENTADO</v>
      </c>
      <c r="D2480" s="6">
        <f>IFERROR(__xludf.DUMMYFUNCTION("""COMPUTED_VALUE"""),0.0)</f>
        <v>0</v>
      </c>
      <c r="E2480" s="6">
        <f>IFERROR(__xludf.DUMMYFUNCTION("""COMPUTED_VALUE"""),0.0)</f>
        <v>0</v>
      </c>
      <c r="F2480" s="6">
        <f>IFERROR(__xludf.DUMMYFUNCTION("""COMPUTED_VALUE"""),1.0)</f>
        <v>1</v>
      </c>
      <c r="G2480" s="6">
        <f>IFERROR(__xludf.DUMMYFUNCTION("""COMPUTED_VALUE"""),1.0)</f>
        <v>1</v>
      </c>
    </row>
    <row r="2481">
      <c r="A2481" s="6">
        <f>IFERROR(__xludf.DUMMYFUNCTION("""COMPUTED_VALUE"""),2025.0)</f>
        <v>2025</v>
      </c>
      <c r="B2481" s="6" t="str">
        <f>IFERROR(__xludf.DUMMYFUNCTION("""COMPUTED_VALUE"""),"Setembro")</f>
        <v>Setembro</v>
      </c>
      <c r="C2481" s="6" t="str">
        <f>IFERROR(__xludf.DUMMYFUNCTION("""COMPUTED_VALUE"""),"ESTUPRO DE VULNERÁVEL CONSUMADO")</f>
        <v>ESTUPRO DE VULNERÁVEL CONSUMADO</v>
      </c>
      <c r="D2481" s="6">
        <f>IFERROR(__xludf.DUMMYFUNCTION("""COMPUTED_VALUE"""),2.0)</f>
        <v>2</v>
      </c>
      <c r="E2481" s="6">
        <f>IFERROR(__xludf.DUMMYFUNCTION("""COMPUTED_VALUE"""),3.0)</f>
        <v>3</v>
      </c>
      <c r="F2481" s="6">
        <f>IFERROR(__xludf.DUMMYFUNCTION("""COMPUTED_VALUE"""),15.0)</f>
        <v>15</v>
      </c>
      <c r="G2481" s="6">
        <f>IFERROR(__xludf.DUMMYFUNCTION("""COMPUTED_VALUE"""),20.0)</f>
        <v>20</v>
      </c>
    </row>
    <row r="2482">
      <c r="A2482" s="6">
        <f>IFERROR(__xludf.DUMMYFUNCTION("""COMPUTED_VALUE"""),2025.0)</f>
        <v>2025</v>
      </c>
      <c r="B2482" s="6" t="str">
        <f>IFERROR(__xludf.DUMMYFUNCTION("""COMPUTED_VALUE"""),"Setembro")</f>
        <v>Setembro</v>
      </c>
      <c r="C2482" s="6" t="str">
        <f>IFERROR(__xludf.DUMMYFUNCTION("""COMPUTED_VALUE"""),"OUTROS C/C/ DIGNIDADE SEXUAL")</f>
        <v>OUTROS C/C/ DIGNIDADE SEXUAL</v>
      </c>
      <c r="D2482" s="6">
        <f>IFERROR(__xludf.DUMMYFUNCTION("""COMPUTED_VALUE"""),0.0)</f>
        <v>0</v>
      </c>
      <c r="E2482" s="6">
        <f>IFERROR(__xludf.DUMMYFUNCTION("""COMPUTED_VALUE"""),0.0)</f>
        <v>0</v>
      </c>
      <c r="F2482" s="6">
        <f>IFERROR(__xludf.DUMMYFUNCTION("""COMPUTED_VALUE"""),1.0)</f>
        <v>1</v>
      </c>
      <c r="G2482" s="6">
        <f>IFERROR(__xludf.DUMMYFUNCTION("""COMPUTED_VALUE"""),1.0)</f>
        <v>1</v>
      </c>
    </row>
    <row r="2483">
      <c r="A2483" s="6">
        <f>IFERROR(__xludf.DUMMYFUNCTION("""COMPUTED_VALUE"""),2025.0)</f>
        <v>2025</v>
      </c>
      <c r="B2483" s="6" t="str">
        <f>IFERROR(__xludf.DUMMYFUNCTION("""COMPUTED_VALUE"""),"Outubro")</f>
        <v>Outubro</v>
      </c>
      <c r="C2483" s="6" t="str">
        <f>IFERROR(__xludf.DUMMYFUNCTION("""COMPUTED_VALUE"""),"HOMICÍDIO DOLOSO (exclui FEMINICÍDIO)")</f>
        <v>HOMICÍDIO DOLOSO (exclui FEMINICÍDIO)</v>
      </c>
      <c r="D2483" s="6">
        <f>IFERROR(__xludf.DUMMYFUNCTION("""COMPUTED_VALUE"""),2.0)</f>
        <v>2</v>
      </c>
      <c r="E2483" s="6">
        <f>IFERROR(__xludf.DUMMYFUNCTION("""COMPUTED_VALUE"""),1.0)</f>
        <v>1</v>
      </c>
      <c r="F2483" s="6">
        <f>IFERROR(__xludf.DUMMYFUNCTION("""COMPUTED_VALUE"""),3.0)</f>
        <v>3</v>
      </c>
      <c r="G2483" s="6">
        <f>IFERROR(__xludf.DUMMYFUNCTION("""COMPUTED_VALUE"""),6.0)</f>
        <v>6</v>
      </c>
    </row>
    <row r="2484">
      <c r="A2484" s="6">
        <f>IFERROR(__xludf.DUMMYFUNCTION("""COMPUTED_VALUE"""),2025.0)</f>
        <v>2025</v>
      </c>
      <c r="B2484" s="6" t="str">
        <f>IFERROR(__xludf.DUMMYFUNCTION("""COMPUTED_VALUE"""),"Outubro")</f>
        <v>Outubro</v>
      </c>
      <c r="C2484" s="6" t="str">
        <f>IFERROR(__xludf.DUMMYFUNCTION("""COMPUTED_VALUE"""),"FEMINICÍDIO")</f>
        <v>FEMINICÍDIO</v>
      </c>
      <c r="D2484" s="6">
        <f>IFERROR(__xludf.DUMMYFUNCTION("""COMPUTED_VALUE"""),4.0)</f>
        <v>4</v>
      </c>
      <c r="E2484" s="6">
        <f>IFERROR(__xludf.DUMMYFUNCTION("""COMPUTED_VALUE"""),4.0)</f>
        <v>4</v>
      </c>
      <c r="F2484" s="6">
        <f>IFERROR(__xludf.DUMMYFUNCTION("""COMPUTED_VALUE"""),8.0)</f>
        <v>8</v>
      </c>
      <c r="G2484" s="6">
        <f>IFERROR(__xludf.DUMMYFUNCTION("""COMPUTED_VALUE"""),16.0)</f>
        <v>16</v>
      </c>
    </row>
    <row r="2485">
      <c r="A2485" s="6">
        <f>IFERROR(__xludf.DUMMYFUNCTION("""COMPUTED_VALUE"""),2025.0)</f>
        <v>2025</v>
      </c>
      <c r="B2485" s="6" t="str">
        <f>IFERROR(__xludf.DUMMYFUNCTION("""COMPUTED_VALUE"""),"Outubro")</f>
        <v>Outubro</v>
      </c>
      <c r="C2485" s="6" t="str">
        <f>IFERROR(__xludf.DUMMYFUNCTION("""COMPUTED_VALUE"""),"HOMICÍDIO CULPOSO")</f>
        <v>HOMICÍDIO CULPOSO</v>
      </c>
      <c r="D2485" s="6">
        <f>IFERROR(__xludf.DUMMYFUNCTION("""COMPUTED_VALUE"""),0.0)</f>
        <v>0</v>
      </c>
      <c r="E2485" s="6">
        <f>IFERROR(__xludf.DUMMYFUNCTION("""COMPUTED_VALUE"""),0.0)</f>
        <v>0</v>
      </c>
      <c r="F2485" s="6">
        <f>IFERROR(__xludf.DUMMYFUNCTION("""COMPUTED_VALUE"""),0.0)</f>
        <v>0</v>
      </c>
      <c r="G2485" s="6">
        <f>IFERROR(__xludf.DUMMYFUNCTION("""COMPUTED_VALUE"""),0.0)</f>
        <v>0</v>
      </c>
    </row>
    <row r="2486">
      <c r="A2486" s="6">
        <f>IFERROR(__xludf.DUMMYFUNCTION("""COMPUTED_VALUE"""),2025.0)</f>
        <v>2025</v>
      </c>
      <c r="B2486" s="6" t="str">
        <f>IFERROR(__xludf.DUMMYFUNCTION("""COMPUTED_VALUE"""),"Outubro")</f>
        <v>Outubro</v>
      </c>
      <c r="C2486" s="6" t="str">
        <f>IFERROR(__xludf.DUMMYFUNCTION("""COMPUTED_VALUE"""),"TENTATIVA DE HOMICÍDIO")</f>
        <v>TENTATIVA DE HOMICÍDIO</v>
      </c>
      <c r="D2486" s="6">
        <f>IFERROR(__xludf.DUMMYFUNCTION("""COMPUTED_VALUE"""),2.0)</f>
        <v>2</v>
      </c>
      <c r="E2486" s="6">
        <f>IFERROR(__xludf.DUMMYFUNCTION("""COMPUTED_VALUE"""),2.0)</f>
        <v>2</v>
      </c>
      <c r="F2486" s="6">
        <f>IFERROR(__xludf.DUMMYFUNCTION("""COMPUTED_VALUE"""),13.0)</f>
        <v>13</v>
      </c>
      <c r="G2486" s="6">
        <f>IFERROR(__xludf.DUMMYFUNCTION("""COMPUTED_VALUE"""),17.0)</f>
        <v>17</v>
      </c>
    </row>
    <row r="2487">
      <c r="A2487" s="6">
        <f>IFERROR(__xludf.DUMMYFUNCTION("""COMPUTED_VALUE"""),2025.0)</f>
        <v>2025</v>
      </c>
      <c r="B2487" s="6" t="str">
        <f>IFERROR(__xludf.DUMMYFUNCTION("""COMPUTED_VALUE"""),"Outubro")</f>
        <v>Outubro</v>
      </c>
      <c r="C2487" s="6" t="str">
        <f>IFERROR(__xludf.DUMMYFUNCTION("""COMPUTED_VALUE"""),"LESÃO CORPORAL DOLOSA")</f>
        <v>LESÃO CORPORAL DOLOSA</v>
      </c>
      <c r="D2487" s="6">
        <f>IFERROR(__xludf.DUMMYFUNCTION("""COMPUTED_VALUE"""),1014.0)</f>
        <v>1014</v>
      </c>
      <c r="E2487" s="6">
        <f>IFERROR(__xludf.DUMMYFUNCTION("""COMPUTED_VALUE"""),864.0)</f>
        <v>864</v>
      </c>
      <c r="F2487" s="6">
        <f>IFERROR(__xludf.DUMMYFUNCTION("""COMPUTED_VALUE"""),3118.0)</f>
        <v>3118</v>
      </c>
      <c r="G2487" s="6">
        <f>IFERROR(__xludf.DUMMYFUNCTION("""COMPUTED_VALUE"""),4996.0)</f>
        <v>4996</v>
      </c>
    </row>
    <row r="2488">
      <c r="A2488" s="6">
        <f>IFERROR(__xludf.DUMMYFUNCTION("""COMPUTED_VALUE"""),2025.0)</f>
        <v>2025</v>
      </c>
      <c r="B2488" s="6" t="str">
        <f>IFERROR(__xludf.DUMMYFUNCTION("""COMPUTED_VALUE"""),"Outubro")</f>
        <v>Outubro</v>
      </c>
      <c r="C2488" s="6" t="str">
        <f>IFERROR(__xludf.DUMMYFUNCTION("""COMPUTED_VALUE"""),"MAUS TRATOS")</f>
        <v>MAUS TRATOS</v>
      </c>
      <c r="D2488" s="6">
        <f>IFERROR(__xludf.DUMMYFUNCTION("""COMPUTED_VALUE"""),3.0)</f>
        <v>3</v>
      </c>
      <c r="E2488" s="6">
        <f>IFERROR(__xludf.DUMMYFUNCTION("""COMPUTED_VALUE"""),2.0)</f>
        <v>2</v>
      </c>
      <c r="F2488" s="6">
        <f>IFERROR(__xludf.DUMMYFUNCTION("""COMPUTED_VALUE"""),18.0)</f>
        <v>18</v>
      </c>
      <c r="G2488" s="6">
        <f>IFERROR(__xludf.DUMMYFUNCTION("""COMPUTED_VALUE"""),23.0)</f>
        <v>23</v>
      </c>
    </row>
    <row r="2489">
      <c r="A2489" s="6">
        <f>IFERROR(__xludf.DUMMYFUNCTION("""COMPUTED_VALUE"""),2025.0)</f>
        <v>2025</v>
      </c>
      <c r="B2489" s="6" t="str">
        <f>IFERROR(__xludf.DUMMYFUNCTION("""COMPUTED_VALUE"""),"Outubro")</f>
        <v>Outubro</v>
      </c>
      <c r="C2489" s="6" t="str">
        <f>IFERROR(__xludf.DUMMYFUNCTION("""COMPUTED_VALUE"""),"CALÚNIA - DIFAMAÇÃO - INJÚRIA")</f>
        <v>CALÚNIA - DIFAMAÇÃO - INJÚRIA</v>
      </c>
      <c r="D2489" s="6">
        <f>IFERROR(__xludf.DUMMYFUNCTION("""COMPUTED_VALUE"""),198.0)</f>
        <v>198</v>
      </c>
      <c r="E2489" s="6">
        <f>IFERROR(__xludf.DUMMYFUNCTION("""COMPUTED_VALUE"""),168.0)</f>
        <v>168</v>
      </c>
      <c r="F2489" s="6">
        <f>IFERROR(__xludf.DUMMYFUNCTION("""COMPUTED_VALUE"""),724.0)</f>
        <v>724</v>
      </c>
      <c r="G2489" s="6">
        <f>IFERROR(__xludf.DUMMYFUNCTION("""COMPUTED_VALUE"""),1090.0)</f>
        <v>1090</v>
      </c>
    </row>
    <row r="2490">
      <c r="A2490" s="6">
        <f>IFERROR(__xludf.DUMMYFUNCTION("""COMPUTED_VALUE"""),2025.0)</f>
        <v>2025</v>
      </c>
      <c r="B2490" s="6" t="str">
        <f>IFERROR(__xludf.DUMMYFUNCTION("""COMPUTED_VALUE"""),"Outubro")</f>
        <v>Outubro</v>
      </c>
      <c r="C2490" s="6" t="str">
        <f>IFERROR(__xludf.DUMMYFUNCTION("""COMPUTED_VALUE"""),"CONSTRANGIMENTO ILEGAL")</f>
        <v>CONSTRANGIMENTO ILEGAL</v>
      </c>
      <c r="D2490" s="6">
        <f>IFERROR(__xludf.DUMMYFUNCTION("""COMPUTED_VALUE"""),1.0)</f>
        <v>1</v>
      </c>
      <c r="E2490" s="6">
        <f>IFERROR(__xludf.DUMMYFUNCTION("""COMPUTED_VALUE"""),1.0)</f>
        <v>1</v>
      </c>
      <c r="F2490" s="6">
        <f>IFERROR(__xludf.DUMMYFUNCTION("""COMPUTED_VALUE"""),7.0)</f>
        <v>7</v>
      </c>
      <c r="G2490" s="6">
        <f>IFERROR(__xludf.DUMMYFUNCTION("""COMPUTED_VALUE"""),9.0)</f>
        <v>9</v>
      </c>
    </row>
    <row r="2491">
      <c r="A2491" s="6">
        <f>IFERROR(__xludf.DUMMYFUNCTION("""COMPUTED_VALUE"""),2025.0)</f>
        <v>2025</v>
      </c>
      <c r="B2491" s="6" t="str">
        <f>IFERROR(__xludf.DUMMYFUNCTION("""COMPUTED_VALUE"""),"Outubro")</f>
        <v>Outubro</v>
      </c>
      <c r="C2491" s="6" t="str">
        <f>IFERROR(__xludf.DUMMYFUNCTION("""COMPUTED_VALUE"""),"AMEAÇA")</f>
        <v>AMEAÇA</v>
      </c>
      <c r="D2491" s="6">
        <f>IFERROR(__xludf.DUMMYFUNCTION("""COMPUTED_VALUE"""),948.0)</f>
        <v>948</v>
      </c>
      <c r="E2491" s="6">
        <f>IFERROR(__xludf.DUMMYFUNCTION("""COMPUTED_VALUE"""),852.0)</f>
        <v>852</v>
      </c>
      <c r="F2491" s="6">
        <f>IFERROR(__xludf.DUMMYFUNCTION("""COMPUTED_VALUE"""),3214.0)</f>
        <v>3214</v>
      </c>
      <c r="G2491" s="6">
        <f>IFERROR(__xludf.DUMMYFUNCTION("""COMPUTED_VALUE"""),5014.0)</f>
        <v>5014</v>
      </c>
    </row>
    <row r="2492">
      <c r="A2492" s="6">
        <f>IFERROR(__xludf.DUMMYFUNCTION("""COMPUTED_VALUE"""),2025.0)</f>
        <v>2025</v>
      </c>
      <c r="B2492" s="6" t="str">
        <f>IFERROR(__xludf.DUMMYFUNCTION("""COMPUTED_VALUE"""),"Outubro")</f>
        <v>Outubro</v>
      </c>
      <c r="C2492" s="6" t="str">
        <f>IFERROR(__xludf.DUMMYFUNCTION("""COMPUTED_VALUE"""),"INVASÃO DE DOMICÍLIO")</f>
        <v>INVASÃO DE DOMICÍLIO</v>
      </c>
      <c r="D2492" s="6">
        <f>IFERROR(__xludf.DUMMYFUNCTION("""COMPUTED_VALUE"""),1.0)</f>
        <v>1</v>
      </c>
      <c r="E2492" s="6">
        <f>IFERROR(__xludf.DUMMYFUNCTION("""COMPUTED_VALUE"""),2.0)</f>
        <v>2</v>
      </c>
      <c r="F2492" s="6">
        <f>IFERROR(__xludf.DUMMYFUNCTION("""COMPUTED_VALUE"""),13.0)</f>
        <v>13</v>
      </c>
      <c r="G2492" s="6">
        <f>IFERROR(__xludf.DUMMYFUNCTION("""COMPUTED_VALUE"""),16.0)</f>
        <v>16</v>
      </c>
    </row>
    <row r="2493">
      <c r="A2493" s="6">
        <f>IFERROR(__xludf.DUMMYFUNCTION("""COMPUTED_VALUE"""),2025.0)</f>
        <v>2025</v>
      </c>
      <c r="B2493" s="6" t="str">
        <f>IFERROR(__xludf.DUMMYFUNCTION("""COMPUTED_VALUE"""),"Outubro")</f>
        <v>Outubro</v>
      </c>
      <c r="C2493" s="6" t="str">
        <f>IFERROR(__xludf.DUMMYFUNCTION("""COMPUTED_VALUE"""),"DANO")</f>
        <v>DANO</v>
      </c>
      <c r="D2493" s="6">
        <f>IFERROR(__xludf.DUMMYFUNCTION("""COMPUTED_VALUE"""),11.0)</f>
        <v>11</v>
      </c>
      <c r="E2493" s="6">
        <f>IFERROR(__xludf.DUMMYFUNCTION("""COMPUTED_VALUE"""),11.0)</f>
        <v>11</v>
      </c>
      <c r="F2493" s="6">
        <f>IFERROR(__xludf.DUMMYFUNCTION("""COMPUTED_VALUE"""),62.0)</f>
        <v>62</v>
      </c>
      <c r="G2493" s="6">
        <f>IFERROR(__xludf.DUMMYFUNCTION("""COMPUTED_VALUE"""),84.0)</f>
        <v>84</v>
      </c>
    </row>
    <row r="2494">
      <c r="A2494" s="6">
        <f>IFERROR(__xludf.DUMMYFUNCTION("""COMPUTED_VALUE"""),2025.0)</f>
        <v>2025</v>
      </c>
      <c r="B2494" s="6" t="str">
        <f>IFERROR(__xludf.DUMMYFUNCTION("""COMPUTED_VALUE"""),"Outubro")</f>
        <v>Outubro</v>
      </c>
      <c r="C2494" s="6" t="str">
        <f>IFERROR(__xludf.DUMMYFUNCTION("""COMPUTED_VALUE"""),"ESTUPRO CONSUMADO")</f>
        <v>ESTUPRO CONSUMADO</v>
      </c>
      <c r="D2494" s="6">
        <f>IFERROR(__xludf.DUMMYFUNCTION("""COMPUTED_VALUE"""),10.0)</f>
        <v>10</v>
      </c>
      <c r="E2494" s="6">
        <f>IFERROR(__xludf.DUMMYFUNCTION("""COMPUTED_VALUE"""),7.0)</f>
        <v>7</v>
      </c>
      <c r="F2494" s="6">
        <f>IFERROR(__xludf.DUMMYFUNCTION("""COMPUTED_VALUE"""),19.0)</f>
        <v>19</v>
      </c>
      <c r="G2494" s="6">
        <f>IFERROR(__xludf.DUMMYFUNCTION("""COMPUTED_VALUE"""),36.0)</f>
        <v>36</v>
      </c>
    </row>
    <row r="2495">
      <c r="A2495" s="6">
        <f>IFERROR(__xludf.DUMMYFUNCTION("""COMPUTED_VALUE"""),2025.0)</f>
        <v>2025</v>
      </c>
      <c r="B2495" s="6" t="str">
        <f>IFERROR(__xludf.DUMMYFUNCTION("""COMPUTED_VALUE"""),"Outubro")</f>
        <v>Outubro</v>
      </c>
      <c r="C2495" s="6" t="str">
        <f>IFERROR(__xludf.DUMMYFUNCTION("""COMPUTED_VALUE"""),"ESTUPRO TENTADO")</f>
        <v>ESTUPRO TENTADO</v>
      </c>
      <c r="D2495" s="6">
        <f>IFERROR(__xludf.DUMMYFUNCTION("""COMPUTED_VALUE"""),1.0)</f>
        <v>1</v>
      </c>
      <c r="E2495" s="6">
        <f>IFERROR(__xludf.DUMMYFUNCTION("""COMPUTED_VALUE"""),0.0)</f>
        <v>0</v>
      </c>
      <c r="F2495" s="6">
        <f>IFERROR(__xludf.DUMMYFUNCTION("""COMPUTED_VALUE"""),1.0)</f>
        <v>1</v>
      </c>
      <c r="G2495" s="6">
        <f>IFERROR(__xludf.DUMMYFUNCTION("""COMPUTED_VALUE"""),2.0)</f>
        <v>2</v>
      </c>
    </row>
    <row r="2496">
      <c r="A2496" s="6">
        <f>IFERROR(__xludf.DUMMYFUNCTION("""COMPUTED_VALUE"""),2025.0)</f>
        <v>2025</v>
      </c>
      <c r="B2496" s="6" t="str">
        <f>IFERROR(__xludf.DUMMYFUNCTION("""COMPUTED_VALUE"""),"Outubro")</f>
        <v>Outubro</v>
      </c>
      <c r="C2496" s="6" t="str">
        <f>IFERROR(__xludf.DUMMYFUNCTION("""COMPUTED_VALUE"""),"ESTUPRO DE VULNERÁVEL CONSUMADO")</f>
        <v>ESTUPRO DE VULNERÁVEL CONSUMADO</v>
      </c>
      <c r="D2496" s="6">
        <f>IFERROR(__xludf.DUMMYFUNCTION("""COMPUTED_VALUE"""),3.0)</f>
        <v>3</v>
      </c>
      <c r="E2496" s="6">
        <f>IFERROR(__xludf.DUMMYFUNCTION("""COMPUTED_VALUE"""),4.0)</f>
        <v>4</v>
      </c>
      <c r="F2496" s="6">
        <f>IFERROR(__xludf.DUMMYFUNCTION("""COMPUTED_VALUE"""),18.0)</f>
        <v>18</v>
      </c>
      <c r="G2496" s="6">
        <f>IFERROR(__xludf.DUMMYFUNCTION("""COMPUTED_VALUE"""),25.0)</f>
        <v>25</v>
      </c>
    </row>
    <row r="2497">
      <c r="A2497" s="6">
        <f>IFERROR(__xludf.DUMMYFUNCTION("""COMPUTED_VALUE"""),2025.0)</f>
        <v>2025</v>
      </c>
      <c r="B2497" s="6" t="str">
        <f>IFERROR(__xludf.DUMMYFUNCTION("""COMPUTED_VALUE"""),"Outubro")</f>
        <v>Outubro</v>
      </c>
      <c r="C2497" s="6" t="str">
        <f>IFERROR(__xludf.DUMMYFUNCTION("""COMPUTED_VALUE"""),"OUTROS C/C/ DIGNIDADE SEXUAL")</f>
        <v>OUTROS C/C/ DIGNIDADE SEXUAL</v>
      </c>
      <c r="D2497" s="6">
        <f>IFERROR(__xludf.DUMMYFUNCTION("""COMPUTED_VALUE"""),0.0)</f>
        <v>0</v>
      </c>
      <c r="E2497" s="6">
        <f>IFERROR(__xludf.DUMMYFUNCTION("""COMPUTED_VALUE"""),1.0)</f>
        <v>1</v>
      </c>
      <c r="F2497" s="6">
        <f>IFERROR(__xludf.DUMMYFUNCTION("""COMPUTED_VALUE"""),2.0)</f>
        <v>2</v>
      </c>
      <c r="G2497" s="6">
        <f>IFERROR(__xludf.DUMMYFUNCTION("""COMPUTED_VALUE"""),3.0)</f>
        <v>3</v>
      </c>
    </row>
    <row r="2498">
      <c r="A2498" s="6">
        <f>IFERROR(__xludf.DUMMYFUNCTION("""COMPUTED_VALUE"""),2025.0)</f>
        <v>2025</v>
      </c>
      <c r="B2498" s="6" t="str">
        <f>IFERROR(__xludf.DUMMYFUNCTION("""COMPUTED_VALUE"""),"Novembro")</f>
        <v>Novembro</v>
      </c>
      <c r="C2498" s="6" t="str">
        <f>IFERROR(__xludf.DUMMYFUNCTION("""COMPUTED_VALUE"""),"HOMICÍDIO DOLOSO (exclui FEMINICÍDIO)")</f>
        <v>HOMICÍDIO DOLOSO (exclui FEMINICÍDIO)</v>
      </c>
      <c r="D2498" s="6">
        <f>IFERROR(__xludf.DUMMYFUNCTION("""COMPUTED_VALUE"""),1.0)</f>
        <v>1</v>
      </c>
      <c r="E2498" s="6">
        <f>IFERROR(__xludf.DUMMYFUNCTION("""COMPUTED_VALUE"""),0.0)</f>
        <v>0</v>
      </c>
      <c r="F2498" s="6">
        <f>IFERROR(__xludf.DUMMYFUNCTION("""COMPUTED_VALUE"""),2.0)</f>
        <v>2</v>
      </c>
      <c r="G2498" s="6">
        <f>IFERROR(__xludf.DUMMYFUNCTION("""COMPUTED_VALUE"""),3.0)</f>
        <v>3</v>
      </c>
    </row>
    <row r="2499">
      <c r="A2499" s="6">
        <f>IFERROR(__xludf.DUMMYFUNCTION("""COMPUTED_VALUE"""),2025.0)</f>
        <v>2025</v>
      </c>
      <c r="B2499" s="6" t="str">
        <f>IFERROR(__xludf.DUMMYFUNCTION("""COMPUTED_VALUE"""),"Novembro")</f>
        <v>Novembro</v>
      </c>
      <c r="C2499" s="6" t="str">
        <f>IFERROR(__xludf.DUMMYFUNCTION("""COMPUTED_VALUE"""),"FEMINICÍDIO")</f>
        <v>FEMINICÍDIO</v>
      </c>
      <c r="D2499" s="6">
        <f>IFERROR(__xludf.DUMMYFUNCTION("""COMPUTED_VALUE"""),3.0)</f>
        <v>3</v>
      </c>
      <c r="E2499" s="6">
        <f>IFERROR(__xludf.DUMMYFUNCTION("""COMPUTED_VALUE"""),3.0)</f>
        <v>3</v>
      </c>
      <c r="F2499" s="6">
        <f>IFERROR(__xludf.DUMMYFUNCTION("""COMPUTED_VALUE"""),6.0)</f>
        <v>6</v>
      </c>
      <c r="G2499" s="6">
        <f>IFERROR(__xludf.DUMMYFUNCTION("""COMPUTED_VALUE"""),12.0)</f>
        <v>12</v>
      </c>
    </row>
    <row r="2500">
      <c r="A2500" s="6">
        <f>IFERROR(__xludf.DUMMYFUNCTION("""COMPUTED_VALUE"""),2025.0)</f>
        <v>2025</v>
      </c>
      <c r="B2500" s="6" t="str">
        <f>IFERROR(__xludf.DUMMYFUNCTION("""COMPUTED_VALUE"""),"Novembro")</f>
        <v>Novembro</v>
      </c>
      <c r="C2500" s="6" t="str">
        <f>IFERROR(__xludf.DUMMYFUNCTION("""COMPUTED_VALUE"""),"HOMICÍDIO CULPOSO")</f>
        <v>HOMICÍDIO CULPOSO</v>
      </c>
      <c r="D2500" s="6">
        <f>IFERROR(__xludf.DUMMYFUNCTION("""COMPUTED_VALUE"""),0.0)</f>
        <v>0</v>
      </c>
      <c r="E2500" s="6">
        <f>IFERROR(__xludf.DUMMYFUNCTION("""COMPUTED_VALUE"""),0.0)</f>
        <v>0</v>
      </c>
      <c r="F2500" s="6">
        <f>IFERROR(__xludf.DUMMYFUNCTION("""COMPUTED_VALUE"""),0.0)</f>
        <v>0</v>
      </c>
      <c r="G2500" s="6">
        <f>IFERROR(__xludf.DUMMYFUNCTION("""COMPUTED_VALUE"""),0.0)</f>
        <v>0</v>
      </c>
    </row>
    <row r="2501">
      <c r="A2501" s="6">
        <f>IFERROR(__xludf.DUMMYFUNCTION("""COMPUTED_VALUE"""),2025.0)</f>
        <v>2025</v>
      </c>
      <c r="B2501" s="6" t="str">
        <f>IFERROR(__xludf.DUMMYFUNCTION("""COMPUTED_VALUE"""),"Novembro")</f>
        <v>Novembro</v>
      </c>
      <c r="C2501" s="6" t="str">
        <f>IFERROR(__xludf.DUMMYFUNCTION("""COMPUTED_VALUE"""),"TENTATIVA DE HOMICÍDIO")</f>
        <v>TENTATIVA DE HOMICÍDIO</v>
      </c>
      <c r="D2501" s="6">
        <f>IFERROR(__xludf.DUMMYFUNCTION("""COMPUTED_VALUE"""),1.0)</f>
        <v>1</v>
      </c>
      <c r="E2501" s="6">
        <f>IFERROR(__xludf.DUMMYFUNCTION("""COMPUTED_VALUE"""),1.0)</f>
        <v>1</v>
      </c>
      <c r="F2501" s="6">
        <f>IFERROR(__xludf.DUMMYFUNCTION("""COMPUTED_VALUE"""),11.0)</f>
        <v>11</v>
      </c>
      <c r="G2501" s="6">
        <f>IFERROR(__xludf.DUMMYFUNCTION("""COMPUTED_VALUE"""),13.0)</f>
        <v>13</v>
      </c>
    </row>
    <row r="2502">
      <c r="A2502" s="6">
        <f>IFERROR(__xludf.DUMMYFUNCTION("""COMPUTED_VALUE"""),2025.0)</f>
        <v>2025</v>
      </c>
      <c r="B2502" s="6" t="str">
        <f>IFERROR(__xludf.DUMMYFUNCTION("""COMPUTED_VALUE"""),"Novembro")</f>
        <v>Novembro</v>
      </c>
      <c r="C2502" s="6" t="str">
        <f>IFERROR(__xludf.DUMMYFUNCTION("""COMPUTED_VALUE"""),"LESÃO CORPORAL DOLOSA")</f>
        <v>LESÃO CORPORAL DOLOSA</v>
      </c>
      <c r="D2502" s="6">
        <f>IFERROR(__xludf.DUMMYFUNCTION("""COMPUTED_VALUE"""),912.0)</f>
        <v>912</v>
      </c>
      <c r="E2502" s="6">
        <f>IFERROR(__xludf.DUMMYFUNCTION("""COMPUTED_VALUE"""),784.0)</f>
        <v>784</v>
      </c>
      <c r="F2502" s="6">
        <f>IFERROR(__xludf.DUMMYFUNCTION("""COMPUTED_VALUE"""),2814.0)</f>
        <v>2814</v>
      </c>
      <c r="G2502" s="6">
        <f>IFERROR(__xludf.DUMMYFUNCTION("""COMPUTED_VALUE"""),4510.0)</f>
        <v>4510</v>
      </c>
    </row>
    <row r="2503">
      <c r="A2503" s="6">
        <f>IFERROR(__xludf.DUMMYFUNCTION("""COMPUTED_VALUE"""),2025.0)</f>
        <v>2025</v>
      </c>
      <c r="B2503" s="6" t="str">
        <f>IFERROR(__xludf.DUMMYFUNCTION("""COMPUTED_VALUE"""),"Novembro")</f>
        <v>Novembro</v>
      </c>
      <c r="C2503" s="6" t="str">
        <f>IFERROR(__xludf.DUMMYFUNCTION("""COMPUTED_VALUE"""),"MAUS TRATOS")</f>
        <v>MAUS TRATOS</v>
      </c>
      <c r="D2503" s="6">
        <f>IFERROR(__xludf.DUMMYFUNCTION("""COMPUTED_VALUE"""),2.0)</f>
        <v>2</v>
      </c>
      <c r="E2503" s="6">
        <f>IFERROR(__xludf.DUMMYFUNCTION("""COMPUTED_VALUE"""),2.0)</f>
        <v>2</v>
      </c>
      <c r="F2503" s="6">
        <f>IFERROR(__xludf.DUMMYFUNCTION("""COMPUTED_VALUE"""),14.0)</f>
        <v>14</v>
      </c>
      <c r="G2503" s="6">
        <f>IFERROR(__xludf.DUMMYFUNCTION("""COMPUTED_VALUE"""),18.0)</f>
        <v>18</v>
      </c>
    </row>
    <row r="2504">
      <c r="A2504" s="6">
        <f>IFERROR(__xludf.DUMMYFUNCTION("""COMPUTED_VALUE"""),2025.0)</f>
        <v>2025</v>
      </c>
      <c r="B2504" s="6" t="str">
        <f>IFERROR(__xludf.DUMMYFUNCTION("""COMPUTED_VALUE"""),"Novembro")</f>
        <v>Novembro</v>
      </c>
      <c r="C2504" s="6" t="str">
        <f>IFERROR(__xludf.DUMMYFUNCTION("""COMPUTED_VALUE"""),"CALÚNIA - DIFAMAÇÃO - INJÚRIA")</f>
        <v>CALÚNIA - DIFAMAÇÃO - INJÚRIA</v>
      </c>
      <c r="D2504" s="6">
        <f>IFERROR(__xludf.DUMMYFUNCTION("""COMPUTED_VALUE"""),178.0)</f>
        <v>178</v>
      </c>
      <c r="E2504" s="6">
        <f>IFERROR(__xludf.DUMMYFUNCTION("""COMPUTED_VALUE"""),151.0)</f>
        <v>151</v>
      </c>
      <c r="F2504" s="6">
        <f>IFERROR(__xludf.DUMMYFUNCTION("""COMPUTED_VALUE"""),654.0)</f>
        <v>654</v>
      </c>
      <c r="G2504" s="6">
        <f>IFERROR(__xludf.DUMMYFUNCTION("""COMPUTED_VALUE"""),983.0)</f>
        <v>983</v>
      </c>
    </row>
    <row r="2505">
      <c r="A2505" s="6">
        <f>IFERROR(__xludf.DUMMYFUNCTION("""COMPUTED_VALUE"""),2025.0)</f>
        <v>2025</v>
      </c>
      <c r="B2505" s="6" t="str">
        <f>IFERROR(__xludf.DUMMYFUNCTION("""COMPUTED_VALUE"""),"Novembro")</f>
        <v>Novembro</v>
      </c>
      <c r="C2505" s="6" t="str">
        <f>IFERROR(__xludf.DUMMYFUNCTION("""COMPUTED_VALUE"""),"CONSTRANGIMENTO ILEGAL")</f>
        <v>CONSTRANGIMENTO ILEGAL</v>
      </c>
      <c r="D2505" s="6">
        <f>IFERROR(__xludf.DUMMYFUNCTION("""COMPUTED_VALUE"""),1.0)</f>
        <v>1</v>
      </c>
      <c r="E2505" s="6">
        <f>IFERROR(__xludf.DUMMYFUNCTION("""COMPUTED_VALUE"""),0.0)</f>
        <v>0</v>
      </c>
      <c r="F2505" s="6">
        <f>IFERROR(__xludf.DUMMYFUNCTION("""COMPUTED_VALUE"""),5.0)</f>
        <v>5</v>
      </c>
      <c r="G2505" s="6">
        <f>IFERROR(__xludf.DUMMYFUNCTION("""COMPUTED_VALUE"""),6.0)</f>
        <v>6</v>
      </c>
    </row>
    <row r="2506">
      <c r="A2506" s="6">
        <f>IFERROR(__xludf.DUMMYFUNCTION("""COMPUTED_VALUE"""),2025.0)</f>
        <v>2025</v>
      </c>
      <c r="B2506" s="6" t="str">
        <f>IFERROR(__xludf.DUMMYFUNCTION("""COMPUTED_VALUE"""),"Novembro")</f>
        <v>Novembro</v>
      </c>
      <c r="C2506" s="6" t="str">
        <f>IFERROR(__xludf.DUMMYFUNCTION("""COMPUTED_VALUE"""),"AMEAÇA")</f>
        <v>AMEAÇA</v>
      </c>
      <c r="D2506" s="6">
        <f>IFERROR(__xludf.DUMMYFUNCTION("""COMPUTED_VALUE"""),842.0)</f>
        <v>842</v>
      </c>
      <c r="E2506" s="6">
        <f>IFERROR(__xludf.DUMMYFUNCTION("""COMPUTED_VALUE"""),771.0)</f>
        <v>771</v>
      </c>
      <c r="F2506" s="6">
        <f>IFERROR(__xludf.DUMMYFUNCTION("""COMPUTED_VALUE"""),2884.0)</f>
        <v>2884</v>
      </c>
      <c r="G2506" s="6">
        <f>IFERROR(__xludf.DUMMYFUNCTION("""COMPUTED_VALUE"""),4497.0)</f>
        <v>4497</v>
      </c>
    </row>
    <row r="2507">
      <c r="A2507" s="6">
        <f>IFERROR(__xludf.DUMMYFUNCTION("""COMPUTED_VALUE"""),2025.0)</f>
        <v>2025</v>
      </c>
      <c r="B2507" s="6" t="str">
        <f>IFERROR(__xludf.DUMMYFUNCTION("""COMPUTED_VALUE"""),"Novembro")</f>
        <v>Novembro</v>
      </c>
      <c r="C2507" s="6" t="str">
        <f>IFERROR(__xludf.DUMMYFUNCTION("""COMPUTED_VALUE"""),"INVASÃO DE DOMICÍLIO")</f>
        <v>INVASÃO DE DOMICÍLIO</v>
      </c>
      <c r="D2507" s="6">
        <f>IFERROR(__xludf.DUMMYFUNCTION("""COMPUTED_VALUE"""),1.0)</f>
        <v>1</v>
      </c>
      <c r="E2507" s="6">
        <f>IFERROR(__xludf.DUMMYFUNCTION("""COMPUTED_VALUE"""),1.0)</f>
        <v>1</v>
      </c>
      <c r="F2507" s="6">
        <f>IFERROR(__xludf.DUMMYFUNCTION("""COMPUTED_VALUE"""),11.0)</f>
        <v>11</v>
      </c>
      <c r="G2507" s="6">
        <f>IFERROR(__xludf.DUMMYFUNCTION("""COMPUTED_VALUE"""),13.0)</f>
        <v>13</v>
      </c>
    </row>
    <row r="2508">
      <c r="A2508" s="6">
        <f>IFERROR(__xludf.DUMMYFUNCTION("""COMPUTED_VALUE"""),2025.0)</f>
        <v>2025</v>
      </c>
      <c r="B2508" s="6" t="str">
        <f>IFERROR(__xludf.DUMMYFUNCTION("""COMPUTED_VALUE"""),"Novembro")</f>
        <v>Novembro</v>
      </c>
      <c r="C2508" s="6" t="str">
        <f>IFERROR(__xludf.DUMMYFUNCTION("""COMPUTED_VALUE"""),"DANO")</f>
        <v>DANO</v>
      </c>
      <c r="D2508" s="6">
        <f>IFERROR(__xludf.DUMMYFUNCTION("""COMPUTED_VALUE"""),9.0)</f>
        <v>9</v>
      </c>
      <c r="E2508" s="6">
        <f>IFERROR(__xludf.DUMMYFUNCTION("""COMPUTED_VALUE"""),9.0)</f>
        <v>9</v>
      </c>
      <c r="F2508" s="6">
        <f>IFERROR(__xludf.DUMMYFUNCTION("""COMPUTED_VALUE"""),51.0)</f>
        <v>51</v>
      </c>
      <c r="G2508" s="6">
        <f>IFERROR(__xludf.DUMMYFUNCTION("""COMPUTED_VALUE"""),69.0)</f>
        <v>69</v>
      </c>
    </row>
    <row r="2509">
      <c r="A2509" s="6">
        <f>IFERROR(__xludf.DUMMYFUNCTION("""COMPUTED_VALUE"""),2025.0)</f>
        <v>2025</v>
      </c>
      <c r="B2509" s="6" t="str">
        <f>IFERROR(__xludf.DUMMYFUNCTION("""COMPUTED_VALUE"""),"Novembro")</f>
        <v>Novembro</v>
      </c>
      <c r="C2509" s="6" t="str">
        <f>IFERROR(__xludf.DUMMYFUNCTION("""COMPUTED_VALUE"""),"ESTUPRO CONSUMADO")</f>
        <v>ESTUPRO CONSUMADO</v>
      </c>
      <c r="D2509" s="6">
        <f>IFERROR(__xludf.DUMMYFUNCTION("""COMPUTED_VALUE"""),9.0)</f>
        <v>9</v>
      </c>
      <c r="E2509" s="6">
        <f>IFERROR(__xludf.DUMMYFUNCTION("""COMPUTED_VALUE"""),6.0)</f>
        <v>6</v>
      </c>
      <c r="F2509" s="6">
        <f>IFERROR(__xludf.DUMMYFUNCTION("""COMPUTED_VALUE"""),16.0)</f>
        <v>16</v>
      </c>
      <c r="G2509" s="6">
        <f>IFERROR(__xludf.DUMMYFUNCTION("""COMPUTED_VALUE"""),31.0)</f>
        <v>31</v>
      </c>
    </row>
    <row r="2510">
      <c r="A2510" s="6">
        <f>IFERROR(__xludf.DUMMYFUNCTION("""COMPUTED_VALUE"""),2025.0)</f>
        <v>2025</v>
      </c>
      <c r="B2510" s="6" t="str">
        <f>IFERROR(__xludf.DUMMYFUNCTION("""COMPUTED_VALUE"""),"Novembro")</f>
        <v>Novembro</v>
      </c>
      <c r="C2510" s="6" t="str">
        <f>IFERROR(__xludf.DUMMYFUNCTION("""COMPUTED_VALUE"""),"ESTUPRO TENTADO")</f>
        <v>ESTUPRO TENTADO</v>
      </c>
      <c r="D2510" s="6">
        <f>IFERROR(__xludf.DUMMYFUNCTION("""COMPUTED_VALUE"""),0.0)</f>
        <v>0</v>
      </c>
      <c r="E2510" s="6">
        <f>IFERROR(__xludf.DUMMYFUNCTION("""COMPUTED_VALUE"""),0.0)</f>
        <v>0</v>
      </c>
      <c r="F2510" s="6">
        <f>IFERROR(__xludf.DUMMYFUNCTION("""COMPUTED_VALUE"""),1.0)</f>
        <v>1</v>
      </c>
      <c r="G2510" s="6">
        <f>IFERROR(__xludf.DUMMYFUNCTION("""COMPUTED_VALUE"""),1.0)</f>
        <v>1</v>
      </c>
    </row>
    <row r="2511">
      <c r="A2511" s="6">
        <f>IFERROR(__xludf.DUMMYFUNCTION("""COMPUTED_VALUE"""),2025.0)</f>
        <v>2025</v>
      </c>
      <c r="B2511" s="6" t="str">
        <f>IFERROR(__xludf.DUMMYFUNCTION("""COMPUTED_VALUE"""),"Novembro")</f>
        <v>Novembro</v>
      </c>
      <c r="C2511" s="6" t="str">
        <f>IFERROR(__xludf.DUMMYFUNCTION("""COMPUTED_VALUE"""),"ESTUPRO DE VULNERÁVEL CONSUMADO")</f>
        <v>ESTUPRO DE VULNERÁVEL CONSUMADO</v>
      </c>
      <c r="D2511" s="6">
        <f>IFERROR(__xludf.DUMMYFUNCTION("""COMPUTED_VALUE"""),2.0)</f>
        <v>2</v>
      </c>
      <c r="E2511" s="6">
        <f>IFERROR(__xludf.DUMMYFUNCTION("""COMPUTED_VALUE"""),3.0)</f>
        <v>3</v>
      </c>
      <c r="F2511" s="6">
        <f>IFERROR(__xludf.DUMMYFUNCTION("""COMPUTED_VALUE"""),15.0)</f>
        <v>15</v>
      </c>
      <c r="G2511" s="6">
        <f>IFERROR(__xludf.DUMMYFUNCTION("""COMPUTED_VALUE"""),20.0)</f>
        <v>20</v>
      </c>
    </row>
    <row r="2512">
      <c r="A2512" s="6">
        <f>IFERROR(__xludf.DUMMYFUNCTION("""COMPUTED_VALUE"""),2025.0)</f>
        <v>2025</v>
      </c>
      <c r="B2512" s="6" t="str">
        <f>IFERROR(__xludf.DUMMYFUNCTION("""COMPUTED_VALUE"""),"Novembro")</f>
        <v>Novembro</v>
      </c>
      <c r="C2512" s="6" t="str">
        <f>IFERROR(__xludf.DUMMYFUNCTION("""COMPUTED_VALUE"""),"OUTROS C/C/ DIGNIDADE SEXUAL")</f>
        <v>OUTROS C/C/ DIGNIDADE SEXUAL</v>
      </c>
      <c r="D2512" s="6">
        <f>IFERROR(__xludf.DUMMYFUNCTION("""COMPUTED_VALUE"""),0.0)</f>
        <v>0</v>
      </c>
      <c r="E2512" s="6">
        <f>IFERROR(__xludf.DUMMYFUNCTION("""COMPUTED_VALUE"""),0.0)</f>
        <v>0</v>
      </c>
      <c r="F2512" s="6">
        <f>IFERROR(__xludf.DUMMYFUNCTION("""COMPUTED_VALUE"""),1.0)</f>
        <v>1</v>
      </c>
      <c r="G2512" s="6">
        <f>IFERROR(__xludf.DUMMYFUNCTION("""COMPUTED_VALUE"""),1.0)</f>
        <v>1</v>
      </c>
    </row>
    <row r="2513">
      <c r="A2513" s="6">
        <f>IFERROR(__xludf.DUMMYFUNCTION("""COMPUTED_VALUE"""),2025.0)</f>
        <v>2025</v>
      </c>
      <c r="B2513" s="6" t="str">
        <f>IFERROR(__xludf.DUMMYFUNCTION("""COMPUTED_VALUE"""),"Dezembro")</f>
        <v>Dezembro</v>
      </c>
      <c r="C2513" s="6" t="str">
        <f>IFERROR(__xludf.DUMMYFUNCTION("""COMPUTED_VALUE"""),"HOMICÍDIO DOLOSO (exclui FEMINICÍDIO)")</f>
        <v>HOMICÍDIO DOLOSO (exclui FEMINICÍDIO)</v>
      </c>
      <c r="D2513" s="6">
        <f>IFERROR(__xludf.DUMMYFUNCTION("""COMPUTED_VALUE"""),1.0)</f>
        <v>1</v>
      </c>
      <c r="E2513" s="6">
        <f>IFERROR(__xludf.DUMMYFUNCTION("""COMPUTED_VALUE"""),0.0)</f>
        <v>0</v>
      </c>
      <c r="F2513" s="6">
        <f>IFERROR(__xludf.DUMMYFUNCTION("""COMPUTED_VALUE"""),2.0)</f>
        <v>2</v>
      </c>
      <c r="G2513" s="6">
        <f>IFERROR(__xludf.DUMMYFUNCTION("""COMPUTED_VALUE"""),3.0)</f>
        <v>3</v>
      </c>
    </row>
    <row r="2514">
      <c r="A2514" s="6">
        <f>IFERROR(__xludf.DUMMYFUNCTION("""COMPUTED_VALUE"""),2025.0)</f>
        <v>2025</v>
      </c>
      <c r="B2514" s="6" t="str">
        <f>IFERROR(__xludf.DUMMYFUNCTION("""COMPUTED_VALUE"""),"Dezembro")</f>
        <v>Dezembro</v>
      </c>
      <c r="C2514" s="6" t="str">
        <f>IFERROR(__xludf.DUMMYFUNCTION("""COMPUTED_VALUE"""),"FEMINICÍDIO")</f>
        <v>FEMINICÍDIO</v>
      </c>
      <c r="D2514" s="6">
        <f>IFERROR(__xludf.DUMMYFUNCTION("""COMPUTED_VALUE"""),4.0)</f>
        <v>4</v>
      </c>
      <c r="E2514" s="6">
        <f>IFERROR(__xludf.DUMMYFUNCTION("""COMPUTED_VALUE"""),4.0)</f>
        <v>4</v>
      </c>
      <c r="F2514" s="6">
        <f>IFERROR(__xludf.DUMMYFUNCTION("""COMPUTED_VALUE"""),8.0)</f>
        <v>8</v>
      </c>
      <c r="G2514" s="6">
        <f>IFERROR(__xludf.DUMMYFUNCTION("""COMPUTED_VALUE"""),16.0)</f>
        <v>16</v>
      </c>
    </row>
    <row r="2515">
      <c r="A2515" s="6">
        <f>IFERROR(__xludf.DUMMYFUNCTION("""COMPUTED_VALUE"""),2025.0)</f>
        <v>2025</v>
      </c>
      <c r="B2515" s="6" t="str">
        <f>IFERROR(__xludf.DUMMYFUNCTION("""COMPUTED_VALUE"""),"Dezembro")</f>
        <v>Dezembro</v>
      </c>
      <c r="C2515" s="6" t="str">
        <f>IFERROR(__xludf.DUMMYFUNCTION("""COMPUTED_VALUE"""),"HOMICÍDIO CULPOSO")</f>
        <v>HOMICÍDIO CULPOSO</v>
      </c>
      <c r="D2515" s="6">
        <f>IFERROR(__xludf.DUMMYFUNCTION("""COMPUTED_VALUE"""),0.0)</f>
        <v>0</v>
      </c>
      <c r="E2515" s="6">
        <f>IFERROR(__xludf.DUMMYFUNCTION("""COMPUTED_VALUE"""),0.0)</f>
        <v>0</v>
      </c>
      <c r="F2515" s="6">
        <f>IFERROR(__xludf.DUMMYFUNCTION("""COMPUTED_VALUE"""),0.0)</f>
        <v>0</v>
      </c>
      <c r="G2515" s="6">
        <f>IFERROR(__xludf.DUMMYFUNCTION("""COMPUTED_VALUE"""),0.0)</f>
        <v>0</v>
      </c>
    </row>
    <row r="2516">
      <c r="A2516" s="6">
        <f>IFERROR(__xludf.DUMMYFUNCTION("""COMPUTED_VALUE"""),2025.0)</f>
        <v>2025</v>
      </c>
      <c r="B2516" s="6" t="str">
        <f>IFERROR(__xludf.DUMMYFUNCTION("""COMPUTED_VALUE"""),"Dezembro")</f>
        <v>Dezembro</v>
      </c>
      <c r="C2516" s="6" t="str">
        <f>IFERROR(__xludf.DUMMYFUNCTION("""COMPUTED_VALUE"""),"TENTATIVA DE HOMICÍDIO")</f>
        <v>TENTATIVA DE HOMICÍDIO</v>
      </c>
      <c r="D2516" s="6">
        <f>IFERROR(__xludf.DUMMYFUNCTION("""COMPUTED_VALUE"""),1.0)</f>
        <v>1</v>
      </c>
      <c r="E2516" s="6">
        <f>IFERROR(__xludf.DUMMYFUNCTION("""COMPUTED_VALUE"""),1.0)</f>
        <v>1</v>
      </c>
      <c r="F2516" s="6">
        <f>IFERROR(__xludf.DUMMYFUNCTION("""COMPUTED_VALUE"""),11.0)</f>
        <v>11</v>
      </c>
      <c r="G2516" s="6">
        <f>IFERROR(__xludf.DUMMYFUNCTION("""COMPUTED_VALUE"""),13.0)</f>
        <v>13</v>
      </c>
    </row>
    <row r="2517">
      <c r="A2517" s="6">
        <f>IFERROR(__xludf.DUMMYFUNCTION("""COMPUTED_VALUE"""),2025.0)</f>
        <v>2025</v>
      </c>
      <c r="B2517" s="6" t="str">
        <f>IFERROR(__xludf.DUMMYFUNCTION("""COMPUTED_VALUE"""),"Dezembro")</f>
        <v>Dezembro</v>
      </c>
      <c r="C2517" s="6" t="str">
        <f>IFERROR(__xludf.DUMMYFUNCTION("""COMPUTED_VALUE"""),"LESÃO CORPORAL DOLOSA")</f>
        <v>LESÃO CORPORAL DOLOSA</v>
      </c>
      <c r="D2517" s="6">
        <f>IFERROR(__xludf.DUMMYFUNCTION("""COMPUTED_VALUE"""),912.0)</f>
        <v>912</v>
      </c>
      <c r="E2517" s="6">
        <f>IFERROR(__xludf.DUMMYFUNCTION("""COMPUTED_VALUE"""),784.0)</f>
        <v>784</v>
      </c>
      <c r="F2517" s="6">
        <f>IFERROR(__xludf.DUMMYFUNCTION("""COMPUTED_VALUE"""),2814.0)</f>
        <v>2814</v>
      </c>
      <c r="G2517" s="6">
        <f>IFERROR(__xludf.DUMMYFUNCTION("""COMPUTED_VALUE"""),4510.0)</f>
        <v>4510</v>
      </c>
    </row>
    <row r="2518">
      <c r="A2518" s="6">
        <f>IFERROR(__xludf.DUMMYFUNCTION("""COMPUTED_VALUE"""),2025.0)</f>
        <v>2025</v>
      </c>
      <c r="B2518" s="6" t="str">
        <f>IFERROR(__xludf.DUMMYFUNCTION("""COMPUTED_VALUE"""),"Dezembro")</f>
        <v>Dezembro</v>
      </c>
      <c r="C2518" s="6" t="str">
        <f>IFERROR(__xludf.DUMMYFUNCTION("""COMPUTED_VALUE"""),"MAUS TRATOS")</f>
        <v>MAUS TRATOS</v>
      </c>
      <c r="D2518" s="6">
        <f>IFERROR(__xludf.DUMMYFUNCTION("""COMPUTED_VALUE"""),2.0)</f>
        <v>2</v>
      </c>
      <c r="E2518" s="6">
        <f>IFERROR(__xludf.DUMMYFUNCTION("""COMPUTED_VALUE"""),2.0)</f>
        <v>2</v>
      </c>
      <c r="F2518" s="6">
        <f>IFERROR(__xludf.DUMMYFUNCTION("""COMPUTED_VALUE"""),14.0)</f>
        <v>14</v>
      </c>
      <c r="G2518" s="6">
        <f>IFERROR(__xludf.DUMMYFUNCTION("""COMPUTED_VALUE"""),18.0)</f>
        <v>18</v>
      </c>
    </row>
    <row r="2519">
      <c r="A2519" s="6">
        <f>IFERROR(__xludf.DUMMYFUNCTION("""COMPUTED_VALUE"""),2025.0)</f>
        <v>2025</v>
      </c>
      <c r="B2519" s="6" t="str">
        <f>IFERROR(__xludf.DUMMYFUNCTION("""COMPUTED_VALUE"""),"Dezembro")</f>
        <v>Dezembro</v>
      </c>
      <c r="C2519" s="6" t="str">
        <f>IFERROR(__xludf.DUMMYFUNCTION("""COMPUTED_VALUE"""),"CALÚNIA - DIFAMAÇÃO - INJÚRIA")</f>
        <v>CALÚNIA - DIFAMAÇÃO - INJÚRIA</v>
      </c>
      <c r="D2519" s="6">
        <f>IFERROR(__xludf.DUMMYFUNCTION("""COMPUTED_VALUE"""),178.0)</f>
        <v>178</v>
      </c>
      <c r="E2519" s="6">
        <f>IFERROR(__xludf.DUMMYFUNCTION("""COMPUTED_VALUE"""),151.0)</f>
        <v>151</v>
      </c>
      <c r="F2519" s="6">
        <f>IFERROR(__xludf.DUMMYFUNCTION("""COMPUTED_VALUE"""),654.0)</f>
        <v>654</v>
      </c>
      <c r="G2519" s="6">
        <f>IFERROR(__xludf.DUMMYFUNCTION("""COMPUTED_VALUE"""),983.0)</f>
        <v>983</v>
      </c>
    </row>
    <row r="2520">
      <c r="A2520" s="6">
        <f>IFERROR(__xludf.DUMMYFUNCTION("""COMPUTED_VALUE"""),2025.0)</f>
        <v>2025</v>
      </c>
      <c r="B2520" s="6" t="str">
        <f>IFERROR(__xludf.DUMMYFUNCTION("""COMPUTED_VALUE"""),"Dezembro")</f>
        <v>Dezembro</v>
      </c>
      <c r="C2520" s="6" t="str">
        <f>IFERROR(__xludf.DUMMYFUNCTION("""COMPUTED_VALUE"""),"CONSTRANGIMENTO ILEGAL")</f>
        <v>CONSTRANGIMENTO ILEGAL</v>
      </c>
      <c r="D2520" s="6">
        <f>IFERROR(__xludf.DUMMYFUNCTION("""COMPUTED_VALUE"""),1.0)</f>
        <v>1</v>
      </c>
      <c r="E2520" s="6">
        <f>IFERROR(__xludf.DUMMYFUNCTION("""COMPUTED_VALUE"""),0.0)</f>
        <v>0</v>
      </c>
      <c r="F2520" s="6">
        <f>IFERROR(__xludf.DUMMYFUNCTION("""COMPUTED_VALUE"""),5.0)</f>
        <v>5</v>
      </c>
      <c r="G2520" s="6">
        <f>IFERROR(__xludf.DUMMYFUNCTION("""COMPUTED_VALUE"""),6.0)</f>
        <v>6</v>
      </c>
    </row>
    <row r="2521">
      <c r="A2521" s="6">
        <f>IFERROR(__xludf.DUMMYFUNCTION("""COMPUTED_VALUE"""),2025.0)</f>
        <v>2025</v>
      </c>
      <c r="B2521" s="6" t="str">
        <f>IFERROR(__xludf.DUMMYFUNCTION("""COMPUTED_VALUE"""),"Dezembro")</f>
        <v>Dezembro</v>
      </c>
      <c r="C2521" s="6" t="str">
        <f>IFERROR(__xludf.DUMMYFUNCTION("""COMPUTED_VALUE"""),"AMEAÇA")</f>
        <v>AMEAÇA</v>
      </c>
      <c r="D2521" s="6">
        <f>IFERROR(__xludf.DUMMYFUNCTION("""COMPUTED_VALUE"""),842.0)</f>
        <v>842</v>
      </c>
      <c r="E2521" s="6">
        <f>IFERROR(__xludf.DUMMYFUNCTION("""COMPUTED_VALUE"""),771.0)</f>
        <v>771</v>
      </c>
      <c r="F2521" s="6">
        <f>IFERROR(__xludf.DUMMYFUNCTION("""COMPUTED_VALUE"""),2884.0)</f>
        <v>2884</v>
      </c>
      <c r="G2521" s="6">
        <f>IFERROR(__xludf.DUMMYFUNCTION("""COMPUTED_VALUE"""),4497.0)</f>
        <v>4497</v>
      </c>
    </row>
    <row r="2522">
      <c r="A2522" s="6">
        <f>IFERROR(__xludf.DUMMYFUNCTION("""COMPUTED_VALUE"""),2025.0)</f>
        <v>2025</v>
      </c>
      <c r="B2522" s="6" t="str">
        <f>IFERROR(__xludf.DUMMYFUNCTION("""COMPUTED_VALUE"""),"Dezembro")</f>
        <v>Dezembro</v>
      </c>
      <c r="C2522" s="6" t="str">
        <f>IFERROR(__xludf.DUMMYFUNCTION("""COMPUTED_VALUE"""),"INVASÃO DE DOMICÍLIO")</f>
        <v>INVASÃO DE DOMICÍLIO</v>
      </c>
      <c r="D2522" s="6">
        <f>IFERROR(__xludf.DUMMYFUNCTION("""COMPUTED_VALUE"""),1.0)</f>
        <v>1</v>
      </c>
      <c r="E2522" s="6">
        <f>IFERROR(__xludf.DUMMYFUNCTION("""COMPUTED_VALUE"""),1.0)</f>
        <v>1</v>
      </c>
      <c r="F2522" s="6">
        <f>IFERROR(__xludf.DUMMYFUNCTION("""COMPUTED_VALUE"""),11.0)</f>
        <v>11</v>
      </c>
      <c r="G2522" s="6">
        <f>IFERROR(__xludf.DUMMYFUNCTION("""COMPUTED_VALUE"""),13.0)</f>
        <v>13</v>
      </c>
    </row>
    <row r="2523">
      <c r="A2523" s="6">
        <f>IFERROR(__xludf.DUMMYFUNCTION("""COMPUTED_VALUE"""),2025.0)</f>
        <v>2025</v>
      </c>
      <c r="B2523" s="6" t="str">
        <f>IFERROR(__xludf.DUMMYFUNCTION("""COMPUTED_VALUE"""),"Dezembro")</f>
        <v>Dezembro</v>
      </c>
      <c r="C2523" s="6" t="str">
        <f>IFERROR(__xludf.DUMMYFUNCTION("""COMPUTED_VALUE"""),"DANO")</f>
        <v>DANO</v>
      </c>
      <c r="D2523" s="6">
        <f>IFERROR(__xludf.DUMMYFUNCTION("""COMPUTED_VALUE"""),9.0)</f>
        <v>9</v>
      </c>
      <c r="E2523" s="6">
        <f>IFERROR(__xludf.DUMMYFUNCTION("""COMPUTED_VALUE"""),9.0)</f>
        <v>9</v>
      </c>
      <c r="F2523" s="6">
        <f>IFERROR(__xludf.DUMMYFUNCTION("""COMPUTED_VALUE"""),51.0)</f>
        <v>51</v>
      </c>
      <c r="G2523" s="6">
        <f>IFERROR(__xludf.DUMMYFUNCTION("""COMPUTED_VALUE"""),69.0)</f>
        <v>69</v>
      </c>
    </row>
    <row r="2524">
      <c r="A2524" s="6">
        <f>IFERROR(__xludf.DUMMYFUNCTION("""COMPUTED_VALUE"""),2025.0)</f>
        <v>2025</v>
      </c>
      <c r="B2524" s="6" t="str">
        <f>IFERROR(__xludf.DUMMYFUNCTION("""COMPUTED_VALUE"""),"Dezembro")</f>
        <v>Dezembro</v>
      </c>
      <c r="C2524" s="6" t="str">
        <f>IFERROR(__xludf.DUMMYFUNCTION("""COMPUTED_VALUE"""),"ESTUPRO CONSUMADO")</f>
        <v>ESTUPRO CONSUMADO</v>
      </c>
      <c r="D2524" s="6">
        <f>IFERROR(__xludf.DUMMYFUNCTION("""COMPUTED_VALUE"""),9.0)</f>
        <v>9</v>
      </c>
      <c r="E2524" s="6">
        <f>IFERROR(__xludf.DUMMYFUNCTION("""COMPUTED_VALUE"""),6.0)</f>
        <v>6</v>
      </c>
      <c r="F2524" s="6">
        <f>IFERROR(__xludf.DUMMYFUNCTION("""COMPUTED_VALUE"""),16.0)</f>
        <v>16</v>
      </c>
      <c r="G2524" s="6">
        <f>IFERROR(__xludf.DUMMYFUNCTION("""COMPUTED_VALUE"""),31.0)</f>
        <v>31</v>
      </c>
    </row>
    <row r="2525">
      <c r="A2525" s="6">
        <f>IFERROR(__xludf.DUMMYFUNCTION("""COMPUTED_VALUE"""),2025.0)</f>
        <v>2025</v>
      </c>
      <c r="B2525" s="6" t="str">
        <f>IFERROR(__xludf.DUMMYFUNCTION("""COMPUTED_VALUE"""),"Dezembro")</f>
        <v>Dezembro</v>
      </c>
      <c r="C2525" s="6" t="str">
        <f>IFERROR(__xludf.DUMMYFUNCTION("""COMPUTED_VALUE"""),"ESTUPRO TENTADO")</f>
        <v>ESTUPRO TENTADO</v>
      </c>
      <c r="D2525" s="6">
        <f>IFERROR(__xludf.DUMMYFUNCTION("""COMPUTED_VALUE"""),0.0)</f>
        <v>0</v>
      </c>
      <c r="E2525" s="6">
        <f>IFERROR(__xludf.DUMMYFUNCTION("""COMPUTED_VALUE"""),0.0)</f>
        <v>0</v>
      </c>
      <c r="F2525" s="6">
        <f>IFERROR(__xludf.DUMMYFUNCTION("""COMPUTED_VALUE"""),1.0)</f>
        <v>1</v>
      </c>
      <c r="G2525" s="6">
        <f>IFERROR(__xludf.DUMMYFUNCTION("""COMPUTED_VALUE"""),1.0)</f>
        <v>1</v>
      </c>
    </row>
    <row r="2526">
      <c r="A2526" s="6">
        <f>IFERROR(__xludf.DUMMYFUNCTION("""COMPUTED_VALUE"""),2025.0)</f>
        <v>2025</v>
      </c>
      <c r="B2526" s="6" t="str">
        <f>IFERROR(__xludf.DUMMYFUNCTION("""COMPUTED_VALUE"""),"Dezembro")</f>
        <v>Dezembro</v>
      </c>
      <c r="C2526" s="6" t="str">
        <f>IFERROR(__xludf.DUMMYFUNCTION("""COMPUTED_VALUE"""),"ESTUPRO DE VULNERÁVEL CONSUMADO")</f>
        <v>ESTUPRO DE VULNERÁVEL CONSUMADO</v>
      </c>
      <c r="D2526" s="6">
        <f>IFERROR(__xludf.DUMMYFUNCTION("""COMPUTED_VALUE"""),2.0)</f>
        <v>2</v>
      </c>
      <c r="E2526" s="6">
        <f>IFERROR(__xludf.DUMMYFUNCTION("""COMPUTED_VALUE"""),3.0)</f>
        <v>3</v>
      </c>
      <c r="F2526" s="6">
        <f>IFERROR(__xludf.DUMMYFUNCTION("""COMPUTED_VALUE"""),15.0)</f>
        <v>15</v>
      </c>
      <c r="G2526" s="6">
        <f>IFERROR(__xludf.DUMMYFUNCTION("""COMPUTED_VALUE"""),20.0)</f>
        <v>20</v>
      </c>
    </row>
    <row r="2527">
      <c r="A2527" s="6">
        <f>IFERROR(__xludf.DUMMYFUNCTION("""COMPUTED_VALUE"""),2025.0)</f>
        <v>2025</v>
      </c>
      <c r="B2527" s="6" t="str">
        <f>IFERROR(__xludf.DUMMYFUNCTION("""COMPUTED_VALUE"""),"Dezembro")</f>
        <v>Dezembro</v>
      </c>
      <c r="C2527" s="6" t="str">
        <f>IFERROR(__xludf.DUMMYFUNCTION("""COMPUTED_VALUE"""),"OUTROS C/C/ DIGNIDADE SEXUAL")</f>
        <v>OUTROS C/C/ DIGNIDADE SEXUAL</v>
      </c>
      <c r="D2527" s="6">
        <f>IFERROR(__xludf.DUMMYFUNCTION("""COMPUTED_VALUE"""),0.0)</f>
        <v>0</v>
      </c>
      <c r="E2527" s="6">
        <f>IFERROR(__xludf.DUMMYFUNCTION("""COMPUTED_VALUE"""),0.0)</f>
        <v>0</v>
      </c>
      <c r="F2527" s="6">
        <f>IFERROR(__xludf.DUMMYFUNCTION("""COMPUTED_VALUE"""),1.0)</f>
        <v>1</v>
      </c>
      <c r="G2527" s="6">
        <f>IFERROR(__xludf.DUMMYFUNCTION("""COMPUTED_VALUE"""),1.0)</f>
        <v>1</v>
      </c>
    </row>
    <row r="2528">
      <c r="A2528" s="6">
        <f>IFERROR(__xludf.DUMMYFUNCTION("""COMPUTED_VALUE"""),2026.0)</f>
        <v>2026</v>
      </c>
      <c r="B2528" s="6" t="str">
        <f>IFERROR(__xludf.DUMMYFUNCTION("""COMPUTED_VALUE"""),"Janeiro")</f>
        <v>Janeiro</v>
      </c>
      <c r="C2528" s="6" t="str">
        <f>IFERROR(__xludf.DUMMYFUNCTION("""COMPUTED_VALUE"""),"HOMICÍDIO DOLOSO (exclui FEMINICÍDIO)")</f>
        <v>HOMICÍDIO DOLOSO (exclui FEMINICÍDIO)</v>
      </c>
      <c r="D2528" s="6">
        <f>IFERROR(__xludf.DUMMYFUNCTION("""COMPUTED_VALUE"""),1.0)</f>
        <v>1</v>
      </c>
      <c r="E2528" s="6">
        <f>IFERROR(__xludf.DUMMYFUNCTION("""COMPUTED_VALUE"""),0.0)</f>
        <v>0</v>
      </c>
      <c r="F2528" s="6">
        <f>IFERROR(__xludf.DUMMYFUNCTION("""COMPUTED_VALUE"""),2.0)</f>
        <v>2</v>
      </c>
      <c r="G2528" s="6">
        <f>IFERROR(__xludf.DUMMYFUNCTION("""COMPUTED_VALUE"""),3.0)</f>
        <v>3</v>
      </c>
    </row>
    <row r="2529">
      <c r="A2529" s="6">
        <f>IFERROR(__xludf.DUMMYFUNCTION("""COMPUTED_VALUE"""),2026.0)</f>
        <v>2026</v>
      </c>
      <c r="B2529" s="6" t="str">
        <f>IFERROR(__xludf.DUMMYFUNCTION("""COMPUTED_VALUE"""),"Janeiro")</f>
        <v>Janeiro</v>
      </c>
      <c r="C2529" s="6" t="str">
        <f>IFERROR(__xludf.DUMMYFUNCTION("""COMPUTED_VALUE"""),"FEMINICÍDIO")</f>
        <v>FEMINICÍDIO</v>
      </c>
      <c r="D2529" s="6">
        <f>IFERROR(__xludf.DUMMYFUNCTION("""COMPUTED_VALUE"""),4.0)</f>
        <v>4</v>
      </c>
      <c r="E2529" s="6">
        <f>IFERROR(__xludf.DUMMYFUNCTION("""COMPUTED_VALUE"""),4.0)</f>
        <v>4</v>
      </c>
      <c r="F2529" s="6">
        <f>IFERROR(__xludf.DUMMYFUNCTION("""COMPUTED_VALUE"""),8.0)</f>
        <v>8</v>
      </c>
      <c r="G2529" s="6">
        <f>IFERROR(__xludf.DUMMYFUNCTION("""COMPUTED_VALUE"""),16.0)</f>
        <v>16</v>
      </c>
    </row>
    <row r="2530">
      <c r="A2530" s="6">
        <f>IFERROR(__xludf.DUMMYFUNCTION("""COMPUTED_VALUE"""),2026.0)</f>
        <v>2026</v>
      </c>
      <c r="B2530" s="6" t="str">
        <f>IFERROR(__xludf.DUMMYFUNCTION("""COMPUTED_VALUE"""),"Janeiro")</f>
        <v>Janeiro</v>
      </c>
      <c r="C2530" s="6" t="str">
        <f>IFERROR(__xludf.DUMMYFUNCTION("""COMPUTED_VALUE"""),"HOMICÍDIO CULPOSO")</f>
        <v>HOMICÍDIO CULPOSO</v>
      </c>
      <c r="D2530" s="6">
        <f>IFERROR(__xludf.DUMMYFUNCTION("""COMPUTED_VALUE"""),0.0)</f>
        <v>0</v>
      </c>
      <c r="E2530" s="6">
        <f>IFERROR(__xludf.DUMMYFUNCTION("""COMPUTED_VALUE"""),0.0)</f>
        <v>0</v>
      </c>
      <c r="F2530" s="6">
        <f>IFERROR(__xludf.DUMMYFUNCTION("""COMPUTED_VALUE"""),0.0)</f>
        <v>0</v>
      </c>
      <c r="G2530" s="6">
        <f>IFERROR(__xludf.DUMMYFUNCTION("""COMPUTED_VALUE"""),0.0)</f>
        <v>0</v>
      </c>
    </row>
    <row r="2531">
      <c r="A2531" s="6">
        <f>IFERROR(__xludf.DUMMYFUNCTION("""COMPUTED_VALUE"""),2026.0)</f>
        <v>2026</v>
      </c>
      <c r="B2531" s="6" t="str">
        <f>IFERROR(__xludf.DUMMYFUNCTION("""COMPUTED_VALUE"""),"Janeiro")</f>
        <v>Janeiro</v>
      </c>
      <c r="C2531" s="6" t="str">
        <f>IFERROR(__xludf.DUMMYFUNCTION("""COMPUTED_VALUE"""),"TENTATIVA DE HOMICÍDIO")</f>
        <v>TENTATIVA DE HOMICÍDIO</v>
      </c>
      <c r="D2531" s="6">
        <f>IFERROR(__xludf.DUMMYFUNCTION("""COMPUTED_VALUE"""),2.0)</f>
        <v>2</v>
      </c>
      <c r="E2531" s="6">
        <f>IFERROR(__xludf.DUMMYFUNCTION("""COMPUTED_VALUE"""),2.0)</f>
        <v>2</v>
      </c>
      <c r="F2531" s="6">
        <f>IFERROR(__xludf.DUMMYFUNCTION("""COMPUTED_VALUE"""),12.0)</f>
        <v>12</v>
      </c>
      <c r="G2531" s="6">
        <f>IFERROR(__xludf.DUMMYFUNCTION("""COMPUTED_VALUE"""),16.0)</f>
        <v>16</v>
      </c>
    </row>
    <row r="2532">
      <c r="A2532" s="6">
        <f>IFERROR(__xludf.DUMMYFUNCTION("""COMPUTED_VALUE"""),2026.0)</f>
        <v>2026</v>
      </c>
      <c r="B2532" s="6" t="str">
        <f>IFERROR(__xludf.DUMMYFUNCTION("""COMPUTED_VALUE"""),"Janeiro")</f>
        <v>Janeiro</v>
      </c>
      <c r="C2532" s="6" t="str">
        <f>IFERROR(__xludf.DUMMYFUNCTION("""COMPUTED_VALUE"""),"LESÃO CORPORAL DOLOSA")</f>
        <v>LESÃO CORPORAL DOLOSA</v>
      </c>
      <c r="D2532" s="6">
        <f>IFERROR(__xludf.DUMMYFUNCTION("""COMPUTED_VALUE"""),948.0)</f>
        <v>948</v>
      </c>
      <c r="E2532" s="6">
        <f>IFERROR(__xludf.DUMMYFUNCTION("""COMPUTED_VALUE"""),812.0)</f>
        <v>812</v>
      </c>
      <c r="F2532" s="6">
        <f>IFERROR(__xludf.DUMMYFUNCTION("""COMPUTED_VALUE"""),2914.0)</f>
        <v>2914</v>
      </c>
      <c r="G2532" s="6">
        <f>IFERROR(__xludf.DUMMYFUNCTION("""COMPUTED_VALUE"""),4674.0)</f>
        <v>4674</v>
      </c>
    </row>
    <row r="2533">
      <c r="A2533" s="6">
        <f>IFERROR(__xludf.DUMMYFUNCTION("""COMPUTED_VALUE"""),2026.0)</f>
        <v>2026</v>
      </c>
      <c r="B2533" s="6" t="str">
        <f>IFERROR(__xludf.DUMMYFUNCTION("""COMPUTED_VALUE"""),"Janeiro")</f>
        <v>Janeiro</v>
      </c>
      <c r="C2533" s="6" t="str">
        <f>IFERROR(__xludf.DUMMYFUNCTION("""COMPUTED_VALUE"""),"MAUS TRATOS")</f>
        <v>MAUS TRATOS</v>
      </c>
      <c r="D2533" s="6">
        <f>IFERROR(__xludf.DUMMYFUNCTION("""COMPUTED_VALUE"""),3.0)</f>
        <v>3</v>
      </c>
      <c r="E2533" s="6">
        <f>IFERROR(__xludf.DUMMYFUNCTION("""COMPUTED_VALUE"""),2.0)</f>
        <v>2</v>
      </c>
      <c r="F2533" s="6">
        <f>IFERROR(__xludf.DUMMYFUNCTION("""COMPUTED_VALUE"""),16.0)</f>
        <v>16</v>
      </c>
      <c r="G2533" s="6">
        <f>IFERROR(__xludf.DUMMYFUNCTION("""COMPUTED_VALUE"""),21.0)</f>
        <v>21</v>
      </c>
    </row>
    <row r="2534">
      <c r="A2534" s="6">
        <f>IFERROR(__xludf.DUMMYFUNCTION("""COMPUTED_VALUE"""),2026.0)</f>
        <v>2026</v>
      </c>
      <c r="B2534" s="6" t="str">
        <f>IFERROR(__xludf.DUMMYFUNCTION("""COMPUTED_VALUE"""),"Janeiro")</f>
        <v>Janeiro</v>
      </c>
      <c r="C2534" s="6" t="str">
        <f>IFERROR(__xludf.DUMMYFUNCTION("""COMPUTED_VALUE"""),"CALÚNIA - DIFAMAÇÃO - INJÚRIA")</f>
        <v>CALÚNIA - DIFAMAÇÃO - INJÚRIA</v>
      </c>
      <c r="D2534" s="6">
        <f>IFERROR(__xludf.DUMMYFUNCTION("""COMPUTED_VALUE"""),187.0)</f>
        <v>187</v>
      </c>
      <c r="E2534" s="6">
        <f>IFERROR(__xludf.DUMMYFUNCTION("""COMPUTED_VALUE"""),159.0)</f>
        <v>159</v>
      </c>
      <c r="F2534" s="6">
        <f>IFERROR(__xludf.DUMMYFUNCTION("""COMPUTED_VALUE"""),694.0)</f>
        <v>694</v>
      </c>
      <c r="G2534" s="6">
        <f>IFERROR(__xludf.DUMMYFUNCTION("""COMPUTED_VALUE"""),1040.0)</f>
        <v>1040</v>
      </c>
    </row>
    <row r="2535">
      <c r="A2535" s="6">
        <f>IFERROR(__xludf.DUMMYFUNCTION("""COMPUTED_VALUE"""),2026.0)</f>
        <v>2026</v>
      </c>
      <c r="B2535" s="6" t="str">
        <f>IFERROR(__xludf.DUMMYFUNCTION("""COMPUTED_VALUE"""),"Janeiro")</f>
        <v>Janeiro</v>
      </c>
      <c r="C2535" s="6" t="str">
        <f>IFERROR(__xludf.DUMMYFUNCTION("""COMPUTED_VALUE"""),"CONSTRANGIMENTO ILEGAL")</f>
        <v>CONSTRANGIMENTO ILEGAL</v>
      </c>
      <c r="D2535" s="6">
        <f>IFERROR(__xludf.DUMMYFUNCTION("""COMPUTED_VALUE"""),1.0)</f>
        <v>1</v>
      </c>
      <c r="E2535" s="6">
        <f>IFERROR(__xludf.DUMMYFUNCTION("""COMPUTED_VALUE"""),0.0)</f>
        <v>0</v>
      </c>
      <c r="F2535" s="6">
        <f>IFERROR(__xludf.DUMMYFUNCTION("""COMPUTED_VALUE"""),6.0)</f>
        <v>6</v>
      </c>
      <c r="G2535" s="6">
        <f>IFERROR(__xludf.DUMMYFUNCTION("""COMPUTED_VALUE"""),7.0)</f>
        <v>7</v>
      </c>
    </row>
    <row r="2536">
      <c r="A2536" s="6">
        <f>IFERROR(__xludf.DUMMYFUNCTION("""COMPUTED_VALUE"""),2026.0)</f>
        <v>2026</v>
      </c>
      <c r="B2536" s="6" t="str">
        <f>IFERROR(__xludf.DUMMYFUNCTION("""COMPUTED_VALUE"""),"Janeiro")</f>
        <v>Janeiro</v>
      </c>
      <c r="C2536" s="6" t="str">
        <f>IFERROR(__xludf.DUMMYFUNCTION("""COMPUTED_VALUE"""),"AMEAÇA")</f>
        <v>AMEAÇA</v>
      </c>
      <c r="D2536" s="6">
        <f>IFERROR(__xludf.DUMMYFUNCTION("""COMPUTED_VALUE"""),872.0)</f>
        <v>872</v>
      </c>
      <c r="E2536" s="6">
        <f>IFERROR(__xludf.DUMMYFUNCTION("""COMPUTED_VALUE"""),804.0)</f>
        <v>804</v>
      </c>
      <c r="F2536" s="6">
        <f>IFERROR(__xludf.DUMMYFUNCTION("""COMPUTED_VALUE"""),2984.0)</f>
        <v>2984</v>
      </c>
      <c r="G2536" s="6">
        <f>IFERROR(__xludf.DUMMYFUNCTION("""COMPUTED_VALUE"""),4660.0)</f>
        <v>4660</v>
      </c>
    </row>
    <row r="2537">
      <c r="A2537" s="6">
        <f>IFERROR(__xludf.DUMMYFUNCTION("""COMPUTED_VALUE"""),2026.0)</f>
        <v>2026</v>
      </c>
      <c r="B2537" s="6" t="str">
        <f>IFERROR(__xludf.DUMMYFUNCTION("""COMPUTED_VALUE"""),"Janeiro")</f>
        <v>Janeiro</v>
      </c>
      <c r="C2537" s="6" t="str">
        <f>IFERROR(__xludf.DUMMYFUNCTION("""COMPUTED_VALUE"""),"INVASÃO DE DOMICÍLIO")</f>
        <v>INVASÃO DE DOMICÍLIO</v>
      </c>
      <c r="D2537" s="6">
        <f>IFERROR(__xludf.DUMMYFUNCTION("""COMPUTED_VALUE"""),1.0)</f>
        <v>1</v>
      </c>
      <c r="E2537" s="6">
        <f>IFERROR(__xludf.DUMMYFUNCTION("""COMPUTED_VALUE"""),2.0)</f>
        <v>2</v>
      </c>
      <c r="F2537" s="6">
        <f>IFERROR(__xludf.DUMMYFUNCTION("""COMPUTED_VALUE"""),13.0)</f>
        <v>13</v>
      </c>
      <c r="G2537" s="6">
        <f>IFERROR(__xludf.DUMMYFUNCTION("""COMPUTED_VALUE"""),16.0)</f>
        <v>16</v>
      </c>
    </row>
    <row r="2538">
      <c r="A2538" s="6">
        <f>IFERROR(__xludf.DUMMYFUNCTION("""COMPUTED_VALUE"""),2026.0)</f>
        <v>2026</v>
      </c>
      <c r="B2538" s="6" t="str">
        <f>IFERROR(__xludf.DUMMYFUNCTION("""COMPUTED_VALUE"""),"Janeiro")</f>
        <v>Janeiro</v>
      </c>
      <c r="C2538" s="6" t="str">
        <f>IFERROR(__xludf.DUMMYFUNCTION("""COMPUTED_VALUE"""),"DANO")</f>
        <v>DANO</v>
      </c>
      <c r="D2538" s="6">
        <f>IFERROR(__xludf.DUMMYFUNCTION("""COMPUTED_VALUE"""),11.0)</f>
        <v>11</v>
      </c>
      <c r="E2538" s="6">
        <f>IFERROR(__xludf.DUMMYFUNCTION("""COMPUTED_VALUE"""),10.0)</f>
        <v>10</v>
      </c>
      <c r="F2538" s="6">
        <f>IFERROR(__xludf.DUMMYFUNCTION("""COMPUTED_VALUE"""),54.0)</f>
        <v>54</v>
      </c>
      <c r="G2538" s="6">
        <f>IFERROR(__xludf.DUMMYFUNCTION("""COMPUTED_VALUE"""),75.0)</f>
        <v>75</v>
      </c>
    </row>
    <row r="2539">
      <c r="A2539" s="6">
        <f>IFERROR(__xludf.DUMMYFUNCTION("""COMPUTED_VALUE"""),2026.0)</f>
        <v>2026</v>
      </c>
      <c r="B2539" s="6" t="str">
        <f>IFERROR(__xludf.DUMMYFUNCTION("""COMPUTED_VALUE"""),"Janeiro")</f>
        <v>Janeiro</v>
      </c>
      <c r="C2539" s="6" t="str">
        <f>IFERROR(__xludf.DUMMYFUNCTION("""COMPUTED_VALUE"""),"ESTUPRO CONSUMADO")</f>
        <v>ESTUPRO CONSUMADO</v>
      </c>
      <c r="D2539" s="6">
        <f>IFERROR(__xludf.DUMMYFUNCTION("""COMPUTED_VALUE"""),10.0)</f>
        <v>10</v>
      </c>
      <c r="E2539" s="6">
        <f>IFERROR(__xludf.DUMMYFUNCTION("""COMPUTED_VALUE"""),7.0)</f>
        <v>7</v>
      </c>
      <c r="F2539" s="6">
        <f>IFERROR(__xludf.DUMMYFUNCTION("""COMPUTED_VALUE"""),17.0)</f>
        <v>17</v>
      </c>
      <c r="G2539" s="6">
        <f>IFERROR(__xludf.DUMMYFUNCTION("""COMPUTED_VALUE"""),34.0)</f>
        <v>34</v>
      </c>
    </row>
    <row r="2540">
      <c r="A2540" s="6">
        <f>IFERROR(__xludf.DUMMYFUNCTION("""COMPUTED_VALUE"""),2026.0)</f>
        <v>2026</v>
      </c>
      <c r="B2540" s="6" t="str">
        <f>IFERROR(__xludf.DUMMYFUNCTION("""COMPUTED_VALUE"""),"Janeiro")</f>
        <v>Janeiro</v>
      </c>
      <c r="C2540" s="6" t="str">
        <f>IFERROR(__xludf.DUMMYFUNCTION("""COMPUTED_VALUE"""),"ESTUPRO TENTADO")</f>
        <v>ESTUPRO TENTADO</v>
      </c>
      <c r="D2540" s="6">
        <f>IFERROR(__xludf.DUMMYFUNCTION("""COMPUTED_VALUE"""),0.0)</f>
        <v>0</v>
      </c>
      <c r="E2540" s="6">
        <f>IFERROR(__xludf.DUMMYFUNCTION("""COMPUTED_VALUE"""),0.0)</f>
        <v>0</v>
      </c>
      <c r="F2540" s="6">
        <f>IFERROR(__xludf.DUMMYFUNCTION("""COMPUTED_VALUE"""),1.0)</f>
        <v>1</v>
      </c>
      <c r="G2540" s="6">
        <f>IFERROR(__xludf.DUMMYFUNCTION("""COMPUTED_VALUE"""),1.0)</f>
        <v>1</v>
      </c>
    </row>
    <row r="2541">
      <c r="A2541" s="6">
        <f>IFERROR(__xludf.DUMMYFUNCTION("""COMPUTED_VALUE"""),2026.0)</f>
        <v>2026</v>
      </c>
      <c r="B2541" s="6" t="str">
        <f>IFERROR(__xludf.DUMMYFUNCTION("""COMPUTED_VALUE"""),"Janeiro")</f>
        <v>Janeiro</v>
      </c>
      <c r="C2541" s="6" t="str">
        <f>IFERROR(__xludf.DUMMYFUNCTION("""COMPUTED_VALUE"""),"ESTUPRO DE VULNERÁVEL CONSUMADO")</f>
        <v>ESTUPRO DE VULNERÁVEL CONSUMADO</v>
      </c>
      <c r="D2541" s="6">
        <f>IFERROR(__xludf.DUMMYFUNCTION("""COMPUTED_VALUE"""),3.0)</f>
        <v>3</v>
      </c>
      <c r="E2541" s="6">
        <f>IFERROR(__xludf.DUMMYFUNCTION("""COMPUTED_VALUE"""),4.0)</f>
        <v>4</v>
      </c>
      <c r="F2541" s="6">
        <f>IFERROR(__xludf.DUMMYFUNCTION("""COMPUTED_VALUE"""),17.0)</f>
        <v>17</v>
      </c>
      <c r="G2541" s="6">
        <f>IFERROR(__xludf.DUMMYFUNCTION("""COMPUTED_VALUE"""),24.0)</f>
        <v>24</v>
      </c>
    </row>
    <row r="2542">
      <c r="A2542" s="6">
        <f>IFERROR(__xludf.DUMMYFUNCTION("""COMPUTED_VALUE"""),2026.0)</f>
        <v>2026</v>
      </c>
      <c r="B2542" s="6" t="str">
        <f>IFERROR(__xludf.DUMMYFUNCTION("""COMPUTED_VALUE"""),"Janeiro")</f>
        <v>Janeiro</v>
      </c>
      <c r="C2542" s="6" t="str">
        <f>IFERROR(__xludf.DUMMYFUNCTION("""COMPUTED_VALUE"""),"OUTROS C/C/ DIGNIDADE SEXUAL")</f>
        <v>OUTROS C/C/ DIGNIDADE SEXUAL</v>
      </c>
      <c r="D2542" s="6">
        <f>IFERROR(__xludf.DUMMYFUNCTION("""COMPUTED_VALUE"""),0.0)</f>
        <v>0</v>
      </c>
      <c r="E2542" s="6">
        <f>IFERROR(__xludf.DUMMYFUNCTION("""COMPUTED_VALUE"""),0.0)</f>
        <v>0</v>
      </c>
      <c r="F2542" s="6">
        <f>IFERROR(__xludf.DUMMYFUNCTION("""COMPUTED_VALUE"""),2.0)</f>
        <v>2</v>
      </c>
      <c r="G2542" s="6">
        <f>IFERROR(__xludf.DUMMYFUNCTION("""COMPUTED_VALUE"""),2.0)</f>
        <v>2</v>
      </c>
    </row>
    <row r="2543">
      <c r="A2543" s="6">
        <f>IFERROR(__xludf.DUMMYFUNCTION("""COMPUTED_VALUE"""),2026.0)</f>
        <v>2026</v>
      </c>
      <c r="B2543" s="6" t="str">
        <f>IFERROR(__xludf.DUMMYFUNCTION("""COMPUTED_VALUE"""),"Fevereiro")</f>
        <v>Fevereiro</v>
      </c>
      <c r="C2543" s="6" t="str">
        <f>IFERROR(__xludf.DUMMYFUNCTION("""COMPUTED_VALUE"""),"HOMICÍDIO DOLOSO (exclui FEMINICÍDIO)")</f>
        <v>HOMICÍDIO DOLOSO (exclui FEMINICÍDIO)</v>
      </c>
      <c r="D2543" s="6">
        <f>IFERROR(__xludf.DUMMYFUNCTION("""COMPUTED_VALUE"""),1.0)</f>
        <v>1</v>
      </c>
      <c r="E2543" s="6">
        <f>IFERROR(__xludf.DUMMYFUNCTION("""COMPUTED_VALUE"""),0.0)</f>
        <v>0</v>
      </c>
      <c r="F2543" s="6">
        <f>IFERROR(__xludf.DUMMYFUNCTION("""COMPUTED_VALUE"""),2.0)</f>
        <v>2</v>
      </c>
      <c r="G2543" s="6">
        <f>IFERROR(__xludf.DUMMYFUNCTION("""COMPUTED_VALUE"""),3.0)</f>
        <v>3</v>
      </c>
    </row>
    <row r="2544">
      <c r="A2544" s="6">
        <f>IFERROR(__xludf.DUMMYFUNCTION("""COMPUTED_VALUE"""),2026.0)</f>
        <v>2026</v>
      </c>
      <c r="B2544" s="6" t="str">
        <f>IFERROR(__xludf.DUMMYFUNCTION("""COMPUTED_VALUE"""),"Fevereiro")</f>
        <v>Fevereiro</v>
      </c>
      <c r="C2544" s="6" t="str">
        <f>IFERROR(__xludf.DUMMYFUNCTION("""COMPUTED_VALUE"""),"FEMINICÍDIO")</f>
        <v>FEMINICÍDIO</v>
      </c>
      <c r="D2544" s="6">
        <f>IFERROR(__xludf.DUMMYFUNCTION("""COMPUTED_VALUE"""),3.0)</f>
        <v>3</v>
      </c>
      <c r="E2544" s="6">
        <f>IFERROR(__xludf.DUMMYFUNCTION("""COMPUTED_VALUE"""),4.0)</f>
        <v>4</v>
      </c>
      <c r="F2544" s="6">
        <f>IFERROR(__xludf.DUMMYFUNCTION("""COMPUTED_VALUE"""),7.0)</f>
        <v>7</v>
      </c>
      <c r="G2544" s="6">
        <f>IFERROR(__xludf.DUMMYFUNCTION("""COMPUTED_VALUE"""),14.0)</f>
        <v>14</v>
      </c>
    </row>
    <row r="2545">
      <c r="A2545" s="6">
        <f>IFERROR(__xludf.DUMMYFUNCTION("""COMPUTED_VALUE"""),2026.0)</f>
        <v>2026</v>
      </c>
      <c r="B2545" s="6" t="str">
        <f>IFERROR(__xludf.DUMMYFUNCTION("""COMPUTED_VALUE"""),"Fevereiro")</f>
        <v>Fevereiro</v>
      </c>
      <c r="C2545" s="6" t="str">
        <f>IFERROR(__xludf.DUMMYFUNCTION("""COMPUTED_VALUE"""),"HOMICÍDIO CULPOSO")</f>
        <v>HOMICÍDIO CULPOSO</v>
      </c>
      <c r="D2545" s="6">
        <f>IFERROR(__xludf.DUMMYFUNCTION("""COMPUTED_VALUE"""),0.0)</f>
        <v>0</v>
      </c>
      <c r="E2545" s="6">
        <f>IFERROR(__xludf.DUMMYFUNCTION("""COMPUTED_VALUE"""),0.0)</f>
        <v>0</v>
      </c>
      <c r="F2545" s="6">
        <f>IFERROR(__xludf.DUMMYFUNCTION("""COMPUTED_VALUE"""),0.0)</f>
        <v>0</v>
      </c>
      <c r="G2545" s="6">
        <f>IFERROR(__xludf.DUMMYFUNCTION("""COMPUTED_VALUE"""),0.0)</f>
        <v>0</v>
      </c>
    </row>
    <row r="2546">
      <c r="A2546" s="6">
        <f>IFERROR(__xludf.DUMMYFUNCTION("""COMPUTED_VALUE"""),2026.0)</f>
        <v>2026</v>
      </c>
      <c r="B2546" s="6" t="str">
        <f>IFERROR(__xludf.DUMMYFUNCTION("""COMPUTED_VALUE"""),"Fevereiro")</f>
        <v>Fevereiro</v>
      </c>
      <c r="C2546" s="6" t="str">
        <f>IFERROR(__xludf.DUMMYFUNCTION("""COMPUTED_VALUE"""),"TENTATIVA DE HOMICÍDIO")</f>
        <v>TENTATIVA DE HOMICÍDIO</v>
      </c>
      <c r="D2546" s="6">
        <f>IFERROR(__xludf.DUMMYFUNCTION("""COMPUTED_VALUE"""),2.0)</f>
        <v>2</v>
      </c>
      <c r="E2546" s="6">
        <f>IFERROR(__xludf.DUMMYFUNCTION("""COMPUTED_VALUE"""),2.0)</f>
        <v>2</v>
      </c>
      <c r="F2546" s="6">
        <f>IFERROR(__xludf.DUMMYFUNCTION("""COMPUTED_VALUE"""),12.0)</f>
        <v>12</v>
      </c>
      <c r="G2546" s="6">
        <f>IFERROR(__xludf.DUMMYFUNCTION("""COMPUTED_VALUE"""),16.0)</f>
        <v>16</v>
      </c>
    </row>
    <row r="2547">
      <c r="A2547" s="6">
        <f>IFERROR(__xludf.DUMMYFUNCTION("""COMPUTED_VALUE"""),2026.0)</f>
        <v>2026</v>
      </c>
      <c r="B2547" s="6" t="str">
        <f>IFERROR(__xludf.DUMMYFUNCTION("""COMPUTED_VALUE"""),"Fevereiro")</f>
        <v>Fevereiro</v>
      </c>
      <c r="C2547" s="6" t="str">
        <f>IFERROR(__xludf.DUMMYFUNCTION("""COMPUTED_VALUE"""),"LESÃO CORPORAL DOLOSA")</f>
        <v>LESÃO CORPORAL DOLOSA</v>
      </c>
      <c r="D2547" s="6">
        <f>IFERROR(__xludf.DUMMYFUNCTION("""COMPUTED_VALUE"""),948.0)</f>
        <v>948</v>
      </c>
      <c r="E2547" s="6">
        <f>IFERROR(__xludf.DUMMYFUNCTION("""COMPUTED_VALUE"""),812.0)</f>
        <v>812</v>
      </c>
      <c r="F2547" s="6">
        <f>IFERROR(__xludf.DUMMYFUNCTION("""COMPUTED_VALUE"""),2914.0)</f>
        <v>2914</v>
      </c>
      <c r="G2547" s="6">
        <f>IFERROR(__xludf.DUMMYFUNCTION("""COMPUTED_VALUE"""),4674.0)</f>
        <v>4674</v>
      </c>
    </row>
    <row r="2548">
      <c r="A2548" s="6">
        <f>IFERROR(__xludf.DUMMYFUNCTION("""COMPUTED_VALUE"""),2026.0)</f>
        <v>2026</v>
      </c>
      <c r="B2548" s="6" t="str">
        <f>IFERROR(__xludf.DUMMYFUNCTION("""COMPUTED_VALUE"""),"Fevereiro")</f>
        <v>Fevereiro</v>
      </c>
      <c r="C2548" s="6" t="str">
        <f>IFERROR(__xludf.DUMMYFUNCTION("""COMPUTED_VALUE"""),"MAUS TRATOS")</f>
        <v>MAUS TRATOS</v>
      </c>
      <c r="D2548" s="6">
        <f>IFERROR(__xludf.DUMMYFUNCTION("""COMPUTED_VALUE"""),3.0)</f>
        <v>3</v>
      </c>
      <c r="E2548" s="6">
        <f>IFERROR(__xludf.DUMMYFUNCTION("""COMPUTED_VALUE"""),2.0)</f>
        <v>2</v>
      </c>
      <c r="F2548" s="6">
        <f>IFERROR(__xludf.DUMMYFUNCTION("""COMPUTED_VALUE"""),16.0)</f>
        <v>16</v>
      </c>
      <c r="G2548" s="6">
        <f>IFERROR(__xludf.DUMMYFUNCTION("""COMPUTED_VALUE"""),21.0)</f>
        <v>21</v>
      </c>
    </row>
    <row r="2549">
      <c r="A2549" s="6">
        <f>IFERROR(__xludf.DUMMYFUNCTION("""COMPUTED_VALUE"""),2026.0)</f>
        <v>2026</v>
      </c>
      <c r="B2549" s="6" t="str">
        <f>IFERROR(__xludf.DUMMYFUNCTION("""COMPUTED_VALUE"""),"Fevereiro")</f>
        <v>Fevereiro</v>
      </c>
      <c r="C2549" s="6" t="str">
        <f>IFERROR(__xludf.DUMMYFUNCTION("""COMPUTED_VALUE"""),"CALÚNIA - DIFAMAÇÃO - INJÚRIA")</f>
        <v>CALÚNIA - DIFAMAÇÃO - INJÚRIA</v>
      </c>
      <c r="D2549" s="6">
        <f>IFERROR(__xludf.DUMMYFUNCTION("""COMPUTED_VALUE"""),187.0)</f>
        <v>187</v>
      </c>
      <c r="E2549" s="6">
        <f>IFERROR(__xludf.DUMMYFUNCTION("""COMPUTED_VALUE"""),159.0)</f>
        <v>159</v>
      </c>
      <c r="F2549" s="6">
        <f>IFERROR(__xludf.DUMMYFUNCTION("""COMPUTED_VALUE"""),694.0)</f>
        <v>694</v>
      </c>
      <c r="G2549" s="6">
        <f>IFERROR(__xludf.DUMMYFUNCTION("""COMPUTED_VALUE"""),1040.0)</f>
        <v>1040</v>
      </c>
    </row>
    <row r="2550">
      <c r="A2550" s="6">
        <f>IFERROR(__xludf.DUMMYFUNCTION("""COMPUTED_VALUE"""),2026.0)</f>
        <v>2026</v>
      </c>
      <c r="B2550" s="6" t="str">
        <f>IFERROR(__xludf.DUMMYFUNCTION("""COMPUTED_VALUE"""),"Fevereiro")</f>
        <v>Fevereiro</v>
      </c>
      <c r="C2550" s="6" t="str">
        <f>IFERROR(__xludf.DUMMYFUNCTION("""COMPUTED_VALUE"""),"CONSTRANGIMENTO ILEGAL")</f>
        <v>CONSTRANGIMENTO ILEGAL</v>
      </c>
      <c r="D2550" s="6">
        <f>IFERROR(__xludf.DUMMYFUNCTION("""COMPUTED_VALUE"""),1.0)</f>
        <v>1</v>
      </c>
      <c r="E2550" s="6">
        <f>IFERROR(__xludf.DUMMYFUNCTION("""COMPUTED_VALUE"""),0.0)</f>
        <v>0</v>
      </c>
      <c r="F2550" s="6">
        <f>IFERROR(__xludf.DUMMYFUNCTION("""COMPUTED_VALUE"""),6.0)</f>
        <v>6</v>
      </c>
      <c r="G2550" s="6">
        <f>IFERROR(__xludf.DUMMYFUNCTION("""COMPUTED_VALUE"""),7.0)</f>
        <v>7</v>
      </c>
    </row>
    <row r="2551">
      <c r="A2551" s="6">
        <f>IFERROR(__xludf.DUMMYFUNCTION("""COMPUTED_VALUE"""),2026.0)</f>
        <v>2026</v>
      </c>
      <c r="B2551" s="6" t="str">
        <f>IFERROR(__xludf.DUMMYFUNCTION("""COMPUTED_VALUE"""),"Fevereiro")</f>
        <v>Fevereiro</v>
      </c>
      <c r="C2551" s="6" t="str">
        <f>IFERROR(__xludf.DUMMYFUNCTION("""COMPUTED_VALUE"""),"AMEAÇA")</f>
        <v>AMEAÇA</v>
      </c>
      <c r="D2551" s="6">
        <f>IFERROR(__xludf.DUMMYFUNCTION("""COMPUTED_VALUE"""),872.0)</f>
        <v>872</v>
      </c>
      <c r="E2551" s="6">
        <f>IFERROR(__xludf.DUMMYFUNCTION("""COMPUTED_VALUE"""),804.0)</f>
        <v>804</v>
      </c>
      <c r="F2551" s="6">
        <f>IFERROR(__xludf.DUMMYFUNCTION("""COMPUTED_VALUE"""),2984.0)</f>
        <v>2984</v>
      </c>
      <c r="G2551" s="6">
        <f>IFERROR(__xludf.DUMMYFUNCTION("""COMPUTED_VALUE"""),4660.0)</f>
        <v>4660</v>
      </c>
    </row>
    <row r="2552">
      <c r="A2552" s="6">
        <f>IFERROR(__xludf.DUMMYFUNCTION("""COMPUTED_VALUE"""),2026.0)</f>
        <v>2026</v>
      </c>
      <c r="B2552" s="6" t="str">
        <f>IFERROR(__xludf.DUMMYFUNCTION("""COMPUTED_VALUE"""),"Fevereiro")</f>
        <v>Fevereiro</v>
      </c>
      <c r="C2552" s="6" t="str">
        <f>IFERROR(__xludf.DUMMYFUNCTION("""COMPUTED_VALUE"""),"INVASÃO DE DOMICÍLIO")</f>
        <v>INVASÃO DE DOMICÍLIO</v>
      </c>
      <c r="D2552" s="6">
        <f>IFERROR(__xludf.DUMMYFUNCTION("""COMPUTED_VALUE"""),1.0)</f>
        <v>1</v>
      </c>
      <c r="E2552" s="6">
        <f>IFERROR(__xludf.DUMMYFUNCTION("""COMPUTED_VALUE"""),2.0)</f>
        <v>2</v>
      </c>
      <c r="F2552" s="6">
        <f>IFERROR(__xludf.DUMMYFUNCTION("""COMPUTED_VALUE"""),13.0)</f>
        <v>13</v>
      </c>
      <c r="G2552" s="6">
        <f>IFERROR(__xludf.DUMMYFUNCTION("""COMPUTED_VALUE"""),16.0)</f>
        <v>16</v>
      </c>
    </row>
    <row r="2553">
      <c r="A2553" s="6">
        <f>IFERROR(__xludf.DUMMYFUNCTION("""COMPUTED_VALUE"""),2026.0)</f>
        <v>2026</v>
      </c>
      <c r="B2553" s="6" t="str">
        <f>IFERROR(__xludf.DUMMYFUNCTION("""COMPUTED_VALUE"""),"Fevereiro")</f>
        <v>Fevereiro</v>
      </c>
      <c r="C2553" s="6" t="str">
        <f>IFERROR(__xludf.DUMMYFUNCTION("""COMPUTED_VALUE"""),"DANO")</f>
        <v>DANO</v>
      </c>
      <c r="D2553" s="6">
        <f>IFERROR(__xludf.DUMMYFUNCTION("""COMPUTED_VALUE"""),11.0)</f>
        <v>11</v>
      </c>
      <c r="E2553" s="6">
        <f>IFERROR(__xludf.DUMMYFUNCTION("""COMPUTED_VALUE"""),10.0)</f>
        <v>10</v>
      </c>
      <c r="F2553" s="6">
        <f>IFERROR(__xludf.DUMMYFUNCTION("""COMPUTED_VALUE"""),54.0)</f>
        <v>54</v>
      </c>
      <c r="G2553" s="6">
        <f>IFERROR(__xludf.DUMMYFUNCTION("""COMPUTED_VALUE"""),75.0)</f>
        <v>75</v>
      </c>
    </row>
    <row r="2554">
      <c r="A2554" s="6">
        <f>IFERROR(__xludf.DUMMYFUNCTION("""COMPUTED_VALUE"""),2026.0)</f>
        <v>2026</v>
      </c>
      <c r="B2554" s="6" t="str">
        <f>IFERROR(__xludf.DUMMYFUNCTION("""COMPUTED_VALUE"""),"Fevereiro")</f>
        <v>Fevereiro</v>
      </c>
      <c r="C2554" s="6" t="str">
        <f>IFERROR(__xludf.DUMMYFUNCTION("""COMPUTED_VALUE"""),"ESTUPRO CONSUMADO")</f>
        <v>ESTUPRO CONSUMADO</v>
      </c>
      <c r="D2554" s="6">
        <f>IFERROR(__xludf.DUMMYFUNCTION("""COMPUTED_VALUE"""),10.0)</f>
        <v>10</v>
      </c>
      <c r="E2554" s="6">
        <f>IFERROR(__xludf.DUMMYFUNCTION("""COMPUTED_VALUE"""),7.0)</f>
        <v>7</v>
      </c>
      <c r="F2554" s="6">
        <f>IFERROR(__xludf.DUMMYFUNCTION("""COMPUTED_VALUE"""),17.0)</f>
        <v>17</v>
      </c>
      <c r="G2554" s="6">
        <f>IFERROR(__xludf.DUMMYFUNCTION("""COMPUTED_VALUE"""),34.0)</f>
        <v>34</v>
      </c>
    </row>
    <row r="2555">
      <c r="A2555" s="6">
        <f>IFERROR(__xludf.DUMMYFUNCTION("""COMPUTED_VALUE"""),2026.0)</f>
        <v>2026</v>
      </c>
      <c r="B2555" s="6" t="str">
        <f>IFERROR(__xludf.DUMMYFUNCTION("""COMPUTED_VALUE"""),"Fevereiro")</f>
        <v>Fevereiro</v>
      </c>
      <c r="C2555" s="6" t="str">
        <f>IFERROR(__xludf.DUMMYFUNCTION("""COMPUTED_VALUE"""),"ESTUPRO TENTADO")</f>
        <v>ESTUPRO TENTADO</v>
      </c>
      <c r="D2555" s="6">
        <f>IFERROR(__xludf.DUMMYFUNCTION("""COMPUTED_VALUE"""),0.0)</f>
        <v>0</v>
      </c>
      <c r="E2555" s="6">
        <f>IFERROR(__xludf.DUMMYFUNCTION("""COMPUTED_VALUE"""),0.0)</f>
        <v>0</v>
      </c>
      <c r="F2555" s="6">
        <f>IFERROR(__xludf.DUMMYFUNCTION("""COMPUTED_VALUE"""),1.0)</f>
        <v>1</v>
      </c>
      <c r="G2555" s="6">
        <f>IFERROR(__xludf.DUMMYFUNCTION("""COMPUTED_VALUE"""),1.0)</f>
        <v>1</v>
      </c>
    </row>
    <row r="2556">
      <c r="A2556" s="6">
        <f>IFERROR(__xludf.DUMMYFUNCTION("""COMPUTED_VALUE"""),2026.0)</f>
        <v>2026</v>
      </c>
      <c r="B2556" s="6" t="str">
        <f>IFERROR(__xludf.DUMMYFUNCTION("""COMPUTED_VALUE"""),"Fevereiro")</f>
        <v>Fevereiro</v>
      </c>
      <c r="C2556" s="6" t="str">
        <f>IFERROR(__xludf.DUMMYFUNCTION("""COMPUTED_VALUE"""),"ESTUPRO DE VULNERÁVEL CONSUMADO")</f>
        <v>ESTUPRO DE VULNERÁVEL CONSUMADO</v>
      </c>
      <c r="D2556" s="6">
        <f>IFERROR(__xludf.DUMMYFUNCTION("""COMPUTED_VALUE"""),3.0)</f>
        <v>3</v>
      </c>
      <c r="E2556" s="6">
        <f>IFERROR(__xludf.DUMMYFUNCTION("""COMPUTED_VALUE"""),4.0)</f>
        <v>4</v>
      </c>
      <c r="F2556" s="6">
        <f>IFERROR(__xludf.DUMMYFUNCTION("""COMPUTED_VALUE"""),17.0)</f>
        <v>17</v>
      </c>
      <c r="G2556" s="6">
        <f>IFERROR(__xludf.DUMMYFUNCTION("""COMPUTED_VALUE"""),24.0)</f>
        <v>24</v>
      </c>
    </row>
    <row r="2557">
      <c r="A2557" s="6">
        <f>IFERROR(__xludf.DUMMYFUNCTION("""COMPUTED_VALUE"""),2026.0)</f>
        <v>2026</v>
      </c>
      <c r="B2557" s="6" t="str">
        <f>IFERROR(__xludf.DUMMYFUNCTION("""COMPUTED_VALUE"""),"Fevereiro")</f>
        <v>Fevereiro</v>
      </c>
      <c r="C2557" s="6" t="str">
        <f>IFERROR(__xludf.DUMMYFUNCTION("""COMPUTED_VALUE"""),"OUTROS C/C/ DIGNIDADE SEXUAL")</f>
        <v>OUTROS C/C/ DIGNIDADE SEXUAL</v>
      </c>
      <c r="D2557" s="6">
        <f>IFERROR(__xludf.DUMMYFUNCTION("""COMPUTED_VALUE"""),0.0)</f>
        <v>0</v>
      </c>
      <c r="E2557" s="6">
        <f>IFERROR(__xludf.DUMMYFUNCTION("""COMPUTED_VALUE"""),0.0)</f>
        <v>0</v>
      </c>
      <c r="F2557" s="6">
        <f>IFERROR(__xludf.DUMMYFUNCTION("""COMPUTED_VALUE"""),2.0)</f>
        <v>2</v>
      </c>
      <c r="G2557" s="6">
        <f>IFERROR(__xludf.DUMMYFUNCTION("""COMPUTED_VALUE"""),2.0)</f>
        <v>2</v>
      </c>
    </row>
    <row r="2558">
      <c r="A2558" s="6">
        <f>IFERROR(__xludf.DUMMYFUNCTION("""COMPUTED_VALUE"""),2026.0)</f>
        <v>2026</v>
      </c>
      <c r="B2558" s="6" t="str">
        <f>IFERROR(__xludf.DUMMYFUNCTION("""COMPUTED_VALUE"""),"Março")</f>
        <v>Março</v>
      </c>
      <c r="C2558" s="6" t="str">
        <f>IFERROR(__xludf.DUMMYFUNCTION("""COMPUTED_VALUE"""),"HOMICÍDIO DOLOSO (exclui FEMINICÍDIO)")</f>
        <v>HOMICÍDIO DOLOSO (exclui FEMINICÍDIO)</v>
      </c>
      <c r="D2558" s="6">
        <f>IFERROR(__xludf.DUMMYFUNCTION("""COMPUTED_VALUE"""),1.0)</f>
        <v>1</v>
      </c>
      <c r="E2558" s="6">
        <f>IFERROR(__xludf.DUMMYFUNCTION("""COMPUTED_VALUE"""),0.0)</f>
        <v>0</v>
      </c>
      <c r="F2558" s="6">
        <f>IFERROR(__xludf.DUMMYFUNCTION("""COMPUTED_VALUE"""),2.0)</f>
        <v>2</v>
      </c>
      <c r="G2558" s="6">
        <f>IFERROR(__xludf.DUMMYFUNCTION("""COMPUTED_VALUE"""),3.0)</f>
        <v>3</v>
      </c>
    </row>
    <row r="2559">
      <c r="A2559" s="6">
        <f>IFERROR(__xludf.DUMMYFUNCTION("""COMPUTED_VALUE"""),2026.0)</f>
        <v>2026</v>
      </c>
      <c r="B2559" s="6" t="str">
        <f>IFERROR(__xludf.DUMMYFUNCTION("""COMPUTED_VALUE"""),"Março")</f>
        <v>Março</v>
      </c>
      <c r="C2559" s="6" t="str">
        <f>IFERROR(__xludf.DUMMYFUNCTION("""COMPUTED_VALUE"""),"FEMINICÍDIO")</f>
        <v>FEMINICÍDIO</v>
      </c>
      <c r="D2559" s="6">
        <f>IFERROR(__xludf.DUMMYFUNCTION("""COMPUTED_VALUE"""),4.0)</f>
        <v>4</v>
      </c>
      <c r="E2559" s="6">
        <f>IFERROR(__xludf.DUMMYFUNCTION("""COMPUTED_VALUE"""),4.0)</f>
        <v>4</v>
      </c>
      <c r="F2559" s="6">
        <f>IFERROR(__xludf.DUMMYFUNCTION("""COMPUTED_VALUE"""),9.0)</f>
        <v>9</v>
      </c>
      <c r="G2559" s="6">
        <f>IFERROR(__xludf.DUMMYFUNCTION("""COMPUTED_VALUE"""),17.0)</f>
        <v>17</v>
      </c>
    </row>
    <row r="2560">
      <c r="A2560" s="6">
        <f>IFERROR(__xludf.DUMMYFUNCTION("""COMPUTED_VALUE"""),2026.0)</f>
        <v>2026</v>
      </c>
      <c r="B2560" s="6" t="str">
        <f>IFERROR(__xludf.DUMMYFUNCTION("""COMPUTED_VALUE"""),"Março")</f>
        <v>Março</v>
      </c>
      <c r="C2560" s="6" t="str">
        <f>IFERROR(__xludf.DUMMYFUNCTION("""COMPUTED_VALUE"""),"HOMICÍDIO CULPOSO")</f>
        <v>HOMICÍDIO CULPOSO</v>
      </c>
      <c r="D2560" s="6">
        <f>IFERROR(__xludf.DUMMYFUNCTION("""COMPUTED_VALUE"""),0.0)</f>
        <v>0</v>
      </c>
      <c r="E2560" s="6">
        <f>IFERROR(__xludf.DUMMYFUNCTION("""COMPUTED_VALUE"""),0.0)</f>
        <v>0</v>
      </c>
      <c r="F2560" s="6">
        <f>IFERROR(__xludf.DUMMYFUNCTION("""COMPUTED_VALUE"""),0.0)</f>
        <v>0</v>
      </c>
      <c r="G2560" s="6">
        <f>IFERROR(__xludf.DUMMYFUNCTION("""COMPUTED_VALUE"""),0.0)</f>
        <v>0</v>
      </c>
    </row>
    <row r="2561">
      <c r="A2561" s="6">
        <f>IFERROR(__xludf.DUMMYFUNCTION("""COMPUTED_VALUE"""),2026.0)</f>
        <v>2026</v>
      </c>
      <c r="B2561" s="6" t="str">
        <f>IFERROR(__xludf.DUMMYFUNCTION("""COMPUTED_VALUE"""),"Março")</f>
        <v>Março</v>
      </c>
      <c r="C2561" s="6" t="str">
        <f>IFERROR(__xludf.DUMMYFUNCTION("""COMPUTED_VALUE"""),"TENTATIVA DE HOMICÍDIO")</f>
        <v>TENTATIVA DE HOMICÍDIO</v>
      </c>
      <c r="D2561" s="6">
        <f>IFERROR(__xludf.DUMMYFUNCTION("""COMPUTED_VALUE"""),2.0)</f>
        <v>2</v>
      </c>
      <c r="E2561" s="6">
        <f>IFERROR(__xludf.DUMMYFUNCTION("""COMPUTED_VALUE"""),2.0)</f>
        <v>2</v>
      </c>
      <c r="F2561" s="6">
        <f>IFERROR(__xludf.DUMMYFUNCTION("""COMPUTED_VALUE"""),12.0)</f>
        <v>12</v>
      </c>
      <c r="G2561" s="6">
        <f>IFERROR(__xludf.DUMMYFUNCTION("""COMPUTED_VALUE"""),16.0)</f>
        <v>16</v>
      </c>
    </row>
    <row r="2562">
      <c r="A2562" s="6">
        <f>IFERROR(__xludf.DUMMYFUNCTION("""COMPUTED_VALUE"""),2026.0)</f>
        <v>2026</v>
      </c>
      <c r="B2562" s="6" t="str">
        <f>IFERROR(__xludf.DUMMYFUNCTION("""COMPUTED_VALUE"""),"Março")</f>
        <v>Março</v>
      </c>
      <c r="C2562" s="6" t="str">
        <f>IFERROR(__xludf.DUMMYFUNCTION("""COMPUTED_VALUE"""),"LESÃO CORPORAL DOLOSA")</f>
        <v>LESÃO CORPORAL DOLOSA</v>
      </c>
      <c r="D2562" s="6">
        <f>IFERROR(__xludf.DUMMYFUNCTION("""COMPUTED_VALUE"""),948.0)</f>
        <v>948</v>
      </c>
      <c r="E2562" s="6">
        <f>IFERROR(__xludf.DUMMYFUNCTION("""COMPUTED_VALUE"""),812.0)</f>
        <v>812</v>
      </c>
      <c r="F2562" s="6">
        <f>IFERROR(__xludf.DUMMYFUNCTION("""COMPUTED_VALUE"""),2914.0)</f>
        <v>2914</v>
      </c>
      <c r="G2562" s="6">
        <f>IFERROR(__xludf.DUMMYFUNCTION("""COMPUTED_VALUE"""),4674.0)</f>
        <v>4674</v>
      </c>
    </row>
    <row r="2563">
      <c r="A2563" s="6">
        <f>IFERROR(__xludf.DUMMYFUNCTION("""COMPUTED_VALUE"""),2026.0)</f>
        <v>2026</v>
      </c>
      <c r="B2563" s="6" t="str">
        <f>IFERROR(__xludf.DUMMYFUNCTION("""COMPUTED_VALUE"""),"Março")</f>
        <v>Março</v>
      </c>
      <c r="C2563" s="6" t="str">
        <f>IFERROR(__xludf.DUMMYFUNCTION("""COMPUTED_VALUE"""),"MAUS TRATOS")</f>
        <v>MAUS TRATOS</v>
      </c>
      <c r="D2563" s="6">
        <f>IFERROR(__xludf.DUMMYFUNCTION("""COMPUTED_VALUE"""),3.0)</f>
        <v>3</v>
      </c>
      <c r="E2563" s="6">
        <f>IFERROR(__xludf.DUMMYFUNCTION("""COMPUTED_VALUE"""),2.0)</f>
        <v>2</v>
      </c>
      <c r="F2563" s="6">
        <f>IFERROR(__xludf.DUMMYFUNCTION("""COMPUTED_VALUE"""),16.0)</f>
        <v>16</v>
      </c>
      <c r="G2563" s="6">
        <f>IFERROR(__xludf.DUMMYFUNCTION("""COMPUTED_VALUE"""),21.0)</f>
        <v>21</v>
      </c>
    </row>
    <row r="2564">
      <c r="A2564" s="6">
        <f>IFERROR(__xludf.DUMMYFUNCTION("""COMPUTED_VALUE"""),2026.0)</f>
        <v>2026</v>
      </c>
      <c r="B2564" s="6" t="str">
        <f>IFERROR(__xludf.DUMMYFUNCTION("""COMPUTED_VALUE"""),"Março")</f>
        <v>Março</v>
      </c>
      <c r="C2564" s="6" t="str">
        <f>IFERROR(__xludf.DUMMYFUNCTION("""COMPUTED_VALUE"""),"CALÚNIA - DIFAMAÇÃO - INJÚRIA")</f>
        <v>CALÚNIA - DIFAMAÇÃO - INJÚRIA</v>
      </c>
      <c r="D2564" s="6">
        <f>IFERROR(__xludf.DUMMYFUNCTION("""COMPUTED_VALUE"""),187.0)</f>
        <v>187</v>
      </c>
      <c r="E2564" s="6">
        <f>IFERROR(__xludf.DUMMYFUNCTION("""COMPUTED_VALUE"""),159.0)</f>
        <v>159</v>
      </c>
      <c r="F2564" s="6">
        <f>IFERROR(__xludf.DUMMYFUNCTION("""COMPUTED_VALUE"""),694.0)</f>
        <v>694</v>
      </c>
      <c r="G2564" s="6">
        <f>IFERROR(__xludf.DUMMYFUNCTION("""COMPUTED_VALUE"""),1040.0)</f>
        <v>1040</v>
      </c>
    </row>
    <row r="2565">
      <c r="A2565" s="6">
        <f>IFERROR(__xludf.DUMMYFUNCTION("""COMPUTED_VALUE"""),2026.0)</f>
        <v>2026</v>
      </c>
      <c r="B2565" s="6" t="str">
        <f>IFERROR(__xludf.DUMMYFUNCTION("""COMPUTED_VALUE"""),"Março")</f>
        <v>Março</v>
      </c>
      <c r="C2565" s="6" t="str">
        <f>IFERROR(__xludf.DUMMYFUNCTION("""COMPUTED_VALUE"""),"CONSTRANGIMENTO ILEGAL")</f>
        <v>CONSTRANGIMENTO ILEGAL</v>
      </c>
      <c r="D2565" s="6">
        <f>IFERROR(__xludf.DUMMYFUNCTION("""COMPUTED_VALUE"""),1.0)</f>
        <v>1</v>
      </c>
      <c r="E2565" s="6">
        <f>IFERROR(__xludf.DUMMYFUNCTION("""COMPUTED_VALUE"""),0.0)</f>
        <v>0</v>
      </c>
      <c r="F2565" s="6">
        <f>IFERROR(__xludf.DUMMYFUNCTION("""COMPUTED_VALUE"""),6.0)</f>
        <v>6</v>
      </c>
      <c r="G2565" s="6">
        <f>IFERROR(__xludf.DUMMYFUNCTION("""COMPUTED_VALUE"""),7.0)</f>
        <v>7</v>
      </c>
    </row>
    <row r="2566">
      <c r="A2566" s="6">
        <f>IFERROR(__xludf.DUMMYFUNCTION("""COMPUTED_VALUE"""),2026.0)</f>
        <v>2026</v>
      </c>
      <c r="B2566" s="6" t="str">
        <f>IFERROR(__xludf.DUMMYFUNCTION("""COMPUTED_VALUE"""),"Março")</f>
        <v>Março</v>
      </c>
      <c r="C2566" s="6" t="str">
        <f>IFERROR(__xludf.DUMMYFUNCTION("""COMPUTED_VALUE"""),"AMEAÇA")</f>
        <v>AMEAÇA</v>
      </c>
      <c r="D2566" s="6">
        <f>IFERROR(__xludf.DUMMYFUNCTION("""COMPUTED_VALUE"""),872.0)</f>
        <v>872</v>
      </c>
      <c r="E2566" s="6">
        <f>IFERROR(__xludf.DUMMYFUNCTION("""COMPUTED_VALUE"""),804.0)</f>
        <v>804</v>
      </c>
      <c r="F2566" s="6">
        <f>IFERROR(__xludf.DUMMYFUNCTION("""COMPUTED_VALUE"""),2984.0)</f>
        <v>2984</v>
      </c>
      <c r="G2566" s="6">
        <f>IFERROR(__xludf.DUMMYFUNCTION("""COMPUTED_VALUE"""),4660.0)</f>
        <v>4660</v>
      </c>
    </row>
    <row r="2567">
      <c r="A2567" s="6">
        <f>IFERROR(__xludf.DUMMYFUNCTION("""COMPUTED_VALUE"""),2026.0)</f>
        <v>2026</v>
      </c>
      <c r="B2567" s="6" t="str">
        <f>IFERROR(__xludf.DUMMYFUNCTION("""COMPUTED_VALUE"""),"Março")</f>
        <v>Março</v>
      </c>
      <c r="C2567" s="6" t="str">
        <f>IFERROR(__xludf.DUMMYFUNCTION("""COMPUTED_VALUE"""),"INVASÃO DE DOMICÍLIO")</f>
        <v>INVASÃO DE DOMICÍLIO</v>
      </c>
      <c r="D2567" s="6">
        <f>IFERROR(__xludf.DUMMYFUNCTION("""COMPUTED_VALUE"""),1.0)</f>
        <v>1</v>
      </c>
      <c r="E2567" s="6">
        <f>IFERROR(__xludf.DUMMYFUNCTION("""COMPUTED_VALUE"""),2.0)</f>
        <v>2</v>
      </c>
      <c r="F2567" s="6">
        <f>IFERROR(__xludf.DUMMYFUNCTION("""COMPUTED_VALUE"""),13.0)</f>
        <v>13</v>
      </c>
      <c r="G2567" s="6">
        <f>IFERROR(__xludf.DUMMYFUNCTION("""COMPUTED_VALUE"""),16.0)</f>
        <v>16</v>
      </c>
    </row>
    <row r="2568">
      <c r="A2568" s="6">
        <f>IFERROR(__xludf.DUMMYFUNCTION("""COMPUTED_VALUE"""),2026.0)</f>
        <v>2026</v>
      </c>
      <c r="B2568" s="6" t="str">
        <f>IFERROR(__xludf.DUMMYFUNCTION("""COMPUTED_VALUE"""),"Março")</f>
        <v>Março</v>
      </c>
      <c r="C2568" s="6" t="str">
        <f>IFERROR(__xludf.DUMMYFUNCTION("""COMPUTED_VALUE"""),"DANO")</f>
        <v>DANO</v>
      </c>
      <c r="D2568" s="6">
        <f>IFERROR(__xludf.DUMMYFUNCTION("""COMPUTED_VALUE"""),11.0)</f>
        <v>11</v>
      </c>
      <c r="E2568" s="6">
        <f>IFERROR(__xludf.DUMMYFUNCTION("""COMPUTED_VALUE"""),10.0)</f>
        <v>10</v>
      </c>
      <c r="F2568" s="6">
        <f>IFERROR(__xludf.DUMMYFUNCTION("""COMPUTED_VALUE"""),54.0)</f>
        <v>54</v>
      </c>
      <c r="G2568" s="6">
        <f>IFERROR(__xludf.DUMMYFUNCTION("""COMPUTED_VALUE"""),75.0)</f>
        <v>75</v>
      </c>
    </row>
    <row r="2569">
      <c r="A2569" s="6">
        <f>IFERROR(__xludf.DUMMYFUNCTION("""COMPUTED_VALUE"""),2026.0)</f>
        <v>2026</v>
      </c>
      <c r="B2569" s="6" t="str">
        <f>IFERROR(__xludf.DUMMYFUNCTION("""COMPUTED_VALUE"""),"Março")</f>
        <v>Março</v>
      </c>
      <c r="C2569" s="6" t="str">
        <f>IFERROR(__xludf.DUMMYFUNCTION("""COMPUTED_VALUE"""),"ESTUPRO CONSUMADO")</f>
        <v>ESTUPRO CONSUMADO</v>
      </c>
      <c r="D2569" s="6">
        <f>IFERROR(__xludf.DUMMYFUNCTION("""COMPUTED_VALUE"""),10.0)</f>
        <v>10</v>
      </c>
      <c r="E2569" s="6">
        <f>IFERROR(__xludf.DUMMYFUNCTION("""COMPUTED_VALUE"""),7.0)</f>
        <v>7</v>
      </c>
      <c r="F2569" s="6">
        <f>IFERROR(__xludf.DUMMYFUNCTION("""COMPUTED_VALUE"""),17.0)</f>
        <v>17</v>
      </c>
      <c r="G2569" s="6">
        <f>IFERROR(__xludf.DUMMYFUNCTION("""COMPUTED_VALUE"""),34.0)</f>
        <v>34</v>
      </c>
    </row>
    <row r="2570">
      <c r="A2570" s="6">
        <f>IFERROR(__xludf.DUMMYFUNCTION("""COMPUTED_VALUE"""),2026.0)</f>
        <v>2026</v>
      </c>
      <c r="B2570" s="6" t="str">
        <f>IFERROR(__xludf.DUMMYFUNCTION("""COMPUTED_VALUE"""),"Março")</f>
        <v>Março</v>
      </c>
      <c r="C2570" s="6" t="str">
        <f>IFERROR(__xludf.DUMMYFUNCTION("""COMPUTED_VALUE"""),"ESTUPRO TENTADO")</f>
        <v>ESTUPRO TENTADO</v>
      </c>
      <c r="D2570" s="6">
        <f>IFERROR(__xludf.DUMMYFUNCTION("""COMPUTED_VALUE"""),0.0)</f>
        <v>0</v>
      </c>
      <c r="E2570" s="6">
        <f>IFERROR(__xludf.DUMMYFUNCTION("""COMPUTED_VALUE"""),0.0)</f>
        <v>0</v>
      </c>
      <c r="F2570" s="6">
        <f>IFERROR(__xludf.DUMMYFUNCTION("""COMPUTED_VALUE"""),1.0)</f>
        <v>1</v>
      </c>
      <c r="G2570" s="6">
        <f>IFERROR(__xludf.DUMMYFUNCTION("""COMPUTED_VALUE"""),1.0)</f>
        <v>1</v>
      </c>
    </row>
    <row r="2571">
      <c r="A2571" s="6">
        <f>IFERROR(__xludf.DUMMYFUNCTION("""COMPUTED_VALUE"""),2026.0)</f>
        <v>2026</v>
      </c>
      <c r="B2571" s="6" t="str">
        <f>IFERROR(__xludf.DUMMYFUNCTION("""COMPUTED_VALUE"""),"Março")</f>
        <v>Março</v>
      </c>
      <c r="C2571" s="6" t="str">
        <f>IFERROR(__xludf.DUMMYFUNCTION("""COMPUTED_VALUE"""),"ESTUPRO DE VULNERÁVEL CONSUMADO")</f>
        <v>ESTUPRO DE VULNERÁVEL CONSUMADO</v>
      </c>
      <c r="D2571" s="6">
        <f>IFERROR(__xludf.DUMMYFUNCTION("""COMPUTED_VALUE"""),3.0)</f>
        <v>3</v>
      </c>
      <c r="E2571" s="6">
        <f>IFERROR(__xludf.DUMMYFUNCTION("""COMPUTED_VALUE"""),4.0)</f>
        <v>4</v>
      </c>
      <c r="F2571" s="6">
        <f>IFERROR(__xludf.DUMMYFUNCTION("""COMPUTED_VALUE"""),17.0)</f>
        <v>17</v>
      </c>
      <c r="G2571" s="6">
        <f>IFERROR(__xludf.DUMMYFUNCTION("""COMPUTED_VALUE"""),24.0)</f>
        <v>24</v>
      </c>
    </row>
    <row r="2572">
      <c r="A2572" s="6">
        <f>IFERROR(__xludf.DUMMYFUNCTION("""COMPUTED_VALUE"""),2026.0)</f>
        <v>2026</v>
      </c>
      <c r="B2572" s="6" t="str">
        <f>IFERROR(__xludf.DUMMYFUNCTION("""COMPUTED_VALUE"""),"Março")</f>
        <v>Março</v>
      </c>
      <c r="C2572" s="6" t="str">
        <f>IFERROR(__xludf.DUMMYFUNCTION("""COMPUTED_VALUE"""),"OUTROS C/C/ DIGNIDADE SEXUAL")</f>
        <v>OUTROS C/C/ DIGNIDADE SEXUAL</v>
      </c>
      <c r="D2572" s="6">
        <f>IFERROR(__xludf.DUMMYFUNCTION("""COMPUTED_VALUE"""),0.0)</f>
        <v>0</v>
      </c>
      <c r="E2572" s="6">
        <f>IFERROR(__xludf.DUMMYFUNCTION("""COMPUTED_VALUE"""),0.0)</f>
        <v>0</v>
      </c>
      <c r="F2572" s="6">
        <f>IFERROR(__xludf.DUMMYFUNCTION("""COMPUTED_VALUE"""),2.0)</f>
        <v>2</v>
      </c>
      <c r="G2572" s="6">
        <f>IFERROR(__xludf.DUMMYFUNCTION("""COMPUTED_VALUE"""),2.0)</f>
        <v>2</v>
      </c>
    </row>
    <row r="2573">
      <c r="A2573" s="6">
        <f>IFERROR(__xludf.DUMMYFUNCTION("""COMPUTED_VALUE"""),2026.0)</f>
        <v>2026</v>
      </c>
      <c r="B2573" s="6" t="str">
        <f>IFERROR(__xludf.DUMMYFUNCTION("""COMPUTED_VALUE"""),"Abril")</f>
        <v>Abril</v>
      </c>
      <c r="C2573" s="6" t="str">
        <f>IFERROR(__xludf.DUMMYFUNCTION("""COMPUTED_VALUE"""),"HOMICÍDIO DOLOSO (exclui FEMINICÍDIO)")</f>
        <v>HOMICÍDIO DOLOSO (exclui FEMINICÍDIO)</v>
      </c>
      <c r="D2573" s="6">
        <f>IFERROR(__xludf.DUMMYFUNCTION("""COMPUTED_VALUE"""),1.0)</f>
        <v>1</v>
      </c>
      <c r="E2573" s="6">
        <f>IFERROR(__xludf.DUMMYFUNCTION("""COMPUTED_VALUE"""),0.0)</f>
        <v>0</v>
      </c>
      <c r="F2573" s="6">
        <f>IFERROR(__xludf.DUMMYFUNCTION("""COMPUTED_VALUE"""),2.0)</f>
        <v>2</v>
      </c>
      <c r="G2573" s="6">
        <f>IFERROR(__xludf.DUMMYFUNCTION("""COMPUTED_VALUE"""),3.0)</f>
        <v>3</v>
      </c>
    </row>
    <row r="2574">
      <c r="A2574" s="6">
        <f>IFERROR(__xludf.DUMMYFUNCTION("""COMPUTED_VALUE"""),2026.0)</f>
        <v>2026</v>
      </c>
      <c r="B2574" s="6" t="str">
        <f>IFERROR(__xludf.DUMMYFUNCTION("""COMPUTED_VALUE"""),"Abril")</f>
        <v>Abril</v>
      </c>
      <c r="C2574" s="6" t="str">
        <f>IFERROR(__xludf.DUMMYFUNCTION("""COMPUTED_VALUE"""),"FEMINICÍDIO")</f>
        <v>FEMINICÍDIO</v>
      </c>
      <c r="D2574" s="6">
        <f>IFERROR(__xludf.DUMMYFUNCTION("""COMPUTED_VALUE"""),3.0)</f>
        <v>3</v>
      </c>
      <c r="E2574" s="6">
        <f>IFERROR(__xludf.DUMMYFUNCTION("""COMPUTED_VALUE"""),3.0)</f>
        <v>3</v>
      </c>
      <c r="F2574" s="6">
        <f>IFERROR(__xludf.DUMMYFUNCTION("""COMPUTED_VALUE"""),6.0)</f>
        <v>6</v>
      </c>
      <c r="G2574" s="6">
        <f>IFERROR(__xludf.DUMMYFUNCTION("""COMPUTED_VALUE"""),12.0)</f>
        <v>12</v>
      </c>
    </row>
    <row r="2575">
      <c r="A2575" s="6">
        <f>IFERROR(__xludf.DUMMYFUNCTION("""COMPUTED_VALUE"""),2026.0)</f>
        <v>2026</v>
      </c>
      <c r="B2575" s="6" t="str">
        <f>IFERROR(__xludf.DUMMYFUNCTION("""COMPUTED_VALUE"""),"Abril")</f>
        <v>Abril</v>
      </c>
      <c r="C2575" s="6" t="str">
        <f>IFERROR(__xludf.DUMMYFUNCTION("""COMPUTED_VALUE"""),"HOMICÍDIO CULPOSO")</f>
        <v>HOMICÍDIO CULPOSO</v>
      </c>
      <c r="D2575" s="6">
        <f>IFERROR(__xludf.DUMMYFUNCTION("""COMPUTED_VALUE"""),0.0)</f>
        <v>0</v>
      </c>
      <c r="E2575" s="6">
        <f>IFERROR(__xludf.DUMMYFUNCTION("""COMPUTED_VALUE"""),0.0)</f>
        <v>0</v>
      </c>
      <c r="F2575" s="6">
        <f>IFERROR(__xludf.DUMMYFUNCTION("""COMPUTED_VALUE"""),0.0)</f>
        <v>0</v>
      </c>
      <c r="G2575" s="6">
        <f>IFERROR(__xludf.DUMMYFUNCTION("""COMPUTED_VALUE"""),0.0)</f>
        <v>0</v>
      </c>
    </row>
    <row r="2576">
      <c r="A2576" s="6">
        <f>IFERROR(__xludf.DUMMYFUNCTION("""COMPUTED_VALUE"""),2026.0)</f>
        <v>2026</v>
      </c>
      <c r="B2576" s="6" t="str">
        <f>IFERROR(__xludf.DUMMYFUNCTION("""COMPUTED_VALUE"""),"Abril")</f>
        <v>Abril</v>
      </c>
      <c r="C2576" s="6" t="str">
        <f>IFERROR(__xludf.DUMMYFUNCTION("""COMPUTED_VALUE"""),"TENTATIVA DE HOMICÍDIO")</f>
        <v>TENTATIVA DE HOMICÍDIO</v>
      </c>
      <c r="D2576" s="6">
        <f>IFERROR(__xludf.DUMMYFUNCTION("""COMPUTED_VALUE"""),1.0)</f>
        <v>1</v>
      </c>
      <c r="E2576" s="6">
        <f>IFERROR(__xludf.DUMMYFUNCTION("""COMPUTED_VALUE"""),1.0)</f>
        <v>1</v>
      </c>
      <c r="F2576" s="6">
        <f>IFERROR(__xludf.DUMMYFUNCTION("""COMPUTED_VALUE"""),11.0)</f>
        <v>11</v>
      </c>
      <c r="G2576" s="6">
        <f>IFERROR(__xludf.DUMMYFUNCTION("""COMPUTED_VALUE"""),13.0)</f>
        <v>13</v>
      </c>
    </row>
    <row r="2577">
      <c r="A2577" s="6">
        <f>IFERROR(__xludf.DUMMYFUNCTION("""COMPUTED_VALUE"""),2026.0)</f>
        <v>2026</v>
      </c>
      <c r="B2577" s="6" t="str">
        <f>IFERROR(__xludf.DUMMYFUNCTION("""COMPUTED_VALUE"""),"Abril")</f>
        <v>Abril</v>
      </c>
      <c r="C2577" s="6" t="str">
        <f>IFERROR(__xludf.DUMMYFUNCTION("""COMPUTED_VALUE"""),"LESÃO CORPORAL DOLOSA")</f>
        <v>LESÃO CORPORAL DOLOSA</v>
      </c>
      <c r="D2577" s="6">
        <f>IFERROR(__xludf.DUMMYFUNCTION("""COMPUTED_VALUE"""),912.0)</f>
        <v>912</v>
      </c>
      <c r="E2577" s="6">
        <f>IFERROR(__xludf.DUMMYFUNCTION("""COMPUTED_VALUE"""),784.0)</f>
        <v>784</v>
      </c>
      <c r="F2577" s="6">
        <f>IFERROR(__xludf.DUMMYFUNCTION("""COMPUTED_VALUE"""),2814.0)</f>
        <v>2814</v>
      </c>
      <c r="G2577" s="6">
        <f>IFERROR(__xludf.DUMMYFUNCTION("""COMPUTED_VALUE"""),4510.0)</f>
        <v>4510</v>
      </c>
    </row>
    <row r="2578">
      <c r="A2578" s="6">
        <f>IFERROR(__xludf.DUMMYFUNCTION("""COMPUTED_VALUE"""),2026.0)</f>
        <v>2026</v>
      </c>
      <c r="B2578" s="6" t="str">
        <f>IFERROR(__xludf.DUMMYFUNCTION("""COMPUTED_VALUE"""),"Abril")</f>
        <v>Abril</v>
      </c>
      <c r="C2578" s="6" t="str">
        <f>IFERROR(__xludf.DUMMYFUNCTION("""COMPUTED_VALUE"""),"MAUS TRATOS")</f>
        <v>MAUS TRATOS</v>
      </c>
      <c r="D2578" s="6">
        <f>IFERROR(__xludf.DUMMYFUNCTION("""COMPUTED_VALUE"""),2.0)</f>
        <v>2</v>
      </c>
      <c r="E2578" s="6">
        <f>IFERROR(__xludf.DUMMYFUNCTION("""COMPUTED_VALUE"""),2.0)</f>
        <v>2</v>
      </c>
      <c r="F2578" s="6">
        <f>IFERROR(__xludf.DUMMYFUNCTION("""COMPUTED_VALUE"""),14.0)</f>
        <v>14</v>
      </c>
      <c r="G2578" s="6">
        <f>IFERROR(__xludf.DUMMYFUNCTION("""COMPUTED_VALUE"""),18.0)</f>
        <v>18</v>
      </c>
    </row>
    <row r="2579">
      <c r="A2579" s="6">
        <f>IFERROR(__xludf.DUMMYFUNCTION("""COMPUTED_VALUE"""),2026.0)</f>
        <v>2026</v>
      </c>
      <c r="B2579" s="6" t="str">
        <f>IFERROR(__xludf.DUMMYFUNCTION("""COMPUTED_VALUE"""),"Abril")</f>
        <v>Abril</v>
      </c>
      <c r="C2579" s="6" t="str">
        <f>IFERROR(__xludf.DUMMYFUNCTION("""COMPUTED_VALUE"""),"CALÚNIA - DIFAMAÇÃO - INJÚRIA")</f>
        <v>CALÚNIA - DIFAMAÇÃO - INJÚRIA</v>
      </c>
      <c r="D2579" s="6">
        <f>IFERROR(__xludf.DUMMYFUNCTION("""COMPUTED_VALUE"""),178.0)</f>
        <v>178</v>
      </c>
      <c r="E2579" s="6">
        <f>IFERROR(__xludf.DUMMYFUNCTION("""COMPUTED_VALUE"""),151.0)</f>
        <v>151</v>
      </c>
      <c r="F2579" s="6">
        <f>IFERROR(__xludf.DUMMYFUNCTION("""COMPUTED_VALUE"""),654.0)</f>
        <v>654</v>
      </c>
      <c r="G2579" s="6">
        <f>IFERROR(__xludf.DUMMYFUNCTION("""COMPUTED_VALUE"""),983.0)</f>
        <v>983</v>
      </c>
    </row>
    <row r="2580">
      <c r="A2580" s="6">
        <f>IFERROR(__xludf.DUMMYFUNCTION("""COMPUTED_VALUE"""),2026.0)</f>
        <v>2026</v>
      </c>
      <c r="B2580" s="6" t="str">
        <f>IFERROR(__xludf.DUMMYFUNCTION("""COMPUTED_VALUE"""),"Abril")</f>
        <v>Abril</v>
      </c>
      <c r="C2580" s="6" t="str">
        <f>IFERROR(__xludf.DUMMYFUNCTION("""COMPUTED_VALUE"""),"CONSTRANGIMENTO ILEGAL")</f>
        <v>CONSTRANGIMENTO ILEGAL</v>
      </c>
      <c r="D2580" s="6">
        <f>IFERROR(__xludf.DUMMYFUNCTION("""COMPUTED_VALUE"""),1.0)</f>
        <v>1</v>
      </c>
      <c r="E2580" s="6">
        <f>IFERROR(__xludf.DUMMYFUNCTION("""COMPUTED_VALUE"""),0.0)</f>
        <v>0</v>
      </c>
      <c r="F2580" s="6">
        <f>IFERROR(__xludf.DUMMYFUNCTION("""COMPUTED_VALUE"""),5.0)</f>
        <v>5</v>
      </c>
      <c r="G2580" s="6">
        <f>IFERROR(__xludf.DUMMYFUNCTION("""COMPUTED_VALUE"""),6.0)</f>
        <v>6</v>
      </c>
    </row>
    <row r="2581">
      <c r="A2581" s="6">
        <f>IFERROR(__xludf.DUMMYFUNCTION("""COMPUTED_VALUE"""),2026.0)</f>
        <v>2026</v>
      </c>
      <c r="B2581" s="6" t="str">
        <f>IFERROR(__xludf.DUMMYFUNCTION("""COMPUTED_VALUE"""),"Abril")</f>
        <v>Abril</v>
      </c>
      <c r="C2581" s="6" t="str">
        <f>IFERROR(__xludf.DUMMYFUNCTION("""COMPUTED_VALUE"""),"AMEAÇA")</f>
        <v>AMEAÇA</v>
      </c>
      <c r="D2581" s="6">
        <f>IFERROR(__xludf.DUMMYFUNCTION("""COMPUTED_VALUE"""),842.0)</f>
        <v>842</v>
      </c>
      <c r="E2581" s="6">
        <f>IFERROR(__xludf.DUMMYFUNCTION("""COMPUTED_VALUE"""),771.0)</f>
        <v>771</v>
      </c>
      <c r="F2581" s="6">
        <f>IFERROR(__xludf.DUMMYFUNCTION("""COMPUTED_VALUE"""),2884.0)</f>
        <v>2884</v>
      </c>
      <c r="G2581" s="6">
        <f>IFERROR(__xludf.DUMMYFUNCTION("""COMPUTED_VALUE"""),4497.0)</f>
        <v>4497</v>
      </c>
    </row>
    <row r="2582">
      <c r="A2582" s="6">
        <f>IFERROR(__xludf.DUMMYFUNCTION("""COMPUTED_VALUE"""),2026.0)</f>
        <v>2026</v>
      </c>
      <c r="B2582" s="6" t="str">
        <f>IFERROR(__xludf.DUMMYFUNCTION("""COMPUTED_VALUE"""),"Abril")</f>
        <v>Abril</v>
      </c>
      <c r="C2582" s="6" t="str">
        <f>IFERROR(__xludf.DUMMYFUNCTION("""COMPUTED_VALUE"""),"INVASÃO DE DOMICÍLIO")</f>
        <v>INVASÃO DE DOMICÍLIO</v>
      </c>
      <c r="D2582" s="6">
        <f>IFERROR(__xludf.DUMMYFUNCTION("""COMPUTED_VALUE"""),1.0)</f>
        <v>1</v>
      </c>
      <c r="E2582" s="6">
        <f>IFERROR(__xludf.DUMMYFUNCTION("""COMPUTED_VALUE"""),1.0)</f>
        <v>1</v>
      </c>
      <c r="F2582" s="6">
        <f>IFERROR(__xludf.DUMMYFUNCTION("""COMPUTED_VALUE"""),11.0)</f>
        <v>11</v>
      </c>
      <c r="G2582" s="6">
        <f>IFERROR(__xludf.DUMMYFUNCTION("""COMPUTED_VALUE"""),13.0)</f>
        <v>13</v>
      </c>
    </row>
    <row r="2583">
      <c r="A2583" s="6">
        <f>IFERROR(__xludf.DUMMYFUNCTION("""COMPUTED_VALUE"""),2026.0)</f>
        <v>2026</v>
      </c>
      <c r="B2583" s="6" t="str">
        <f>IFERROR(__xludf.DUMMYFUNCTION("""COMPUTED_VALUE"""),"Abril")</f>
        <v>Abril</v>
      </c>
      <c r="C2583" s="6" t="str">
        <f>IFERROR(__xludf.DUMMYFUNCTION("""COMPUTED_VALUE"""),"DANO")</f>
        <v>DANO</v>
      </c>
      <c r="D2583" s="6">
        <f>IFERROR(__xludf.DUMMYFUNCTION("""COMPUTED_VALUE"""),9.0)</f>
        <v>9</v>
      </c>
      <c r="E2583" s="6">
        <f>IFERROR(__xludf.DUMMYFUNCTION("""COMPUTED_VALUE"""),9.0)</f>
        <v>9</v>
      </c>
      <c r="F2583" s="6">
        <f>IFERROR(__xludf.DUMMYFUNCTION("""COMPUTED_VALUE"""),51.0)</f>
        <v>51</v>
      </c>
      <c r="G2583" s="6">
        <f>IFERROR(__xludf.DUMMYFUNCTION("""COMPUTED_VALUE"""),69.0)</f>
        <v>69</v>
      </c>
    </row>
    <row r="2584">
      <c r="A2584" s="6">
        <f>IFERROR(__xludf.DUMMYFUNCTION("""COMPUTED_VALUE"""),2026.0)</f>
        <v>2026</v>
      </c>
      <c r="B2584" s="6" t="str">
        <f>IFERROR(__xludf.DUMMYFUNCTION("""COMPUTED_VALUE"""),"Abril")</f>
        <v>Abril</v>
      </c>
      <c r="C2584" s="6" t="str">
        <f>IFERROR(__xludf.DUMMYFUNCTION("""COMPUTED_VALUE"""),"ESTUPRO CONSUMADO")</f>
        <v>ESTUPRO CONSUMADO</v>
      </c>
      <c r="D2584" s="6">
        <f>IFERROR(__xludf.DUMMYFUNCTION("""COMPUTED_VALUE"""),9.0)</f>
        <v>9</v>
      </c>
      <c r="E2584" s="6">
        <f>IFERROR(__xludf.DUMMYFUNCTION("""COMPUTED_VALUE"""),6.0)</f>
        <v>6</v>
      </c>
      <c r="F2584" s="6">
        <f>IFERROR(__xludf.DUMMYFUNCTION("""COMPUTED_VALUE"""),16.0)</f>
        <v>16</v>
      </c>
      <c r="G2584" s="6">
        <f>IFERROR(__xludf.DUMMYFUNCTION("""COMPUTED_VALUE"""),31.0)</f>
        <v>31</v>
      </c>
    </row>
    <row r="2585">
      <c r="A2585" s="6">
        <f>IFERROR(__xludf.DUMMYFUNCTION("""COMPUTED_VALUE"""),2026.0)</f>
        <v>2026</v>
      </c>
      <c r="B2585" s="6" t="str">
        <f>IFERROR(__xludf.DUMMYFUNCTION("""COMPUTED_VALUE"""),"Abril")</f>
        <v>Abril</v>
      </c>
      <c r="C2585" s="6" t="str">
        <f>IFERROR(__xludf.DUMMYFUNCTION("""COMPUTED_VALUE"""),"ESTUPRO TENTADO")</f>
        <v>ESTUPRO TENTADO</v>
      </c>
      <c r="D2585" s="6">
        <f>IFERROR(__xludf.DUMMYFUNCTION("""COMPUTED_VALUE"""),0.0)</f>
        <v>0</v>
      </c>
      <c r="E2585" s="6">
        <f>IFERROR(__xludf.DUMMYFUNCTION("""COMPUTED_VALUE"""),0.0)</f>
        <v>0</v>
      </c>
      <c r="F2585" s="6">
        <f>IFERROR(__xludf.DUMMYFUNCTION("""COMPUTED_VALUE"""),1.0)</f>
        <v>1</v>
      </c>
      <c r="G2585" s="6">
        <f>IFERROR(__xludf.DUMMYFUNCTION("""COMPUTED_VALUE"""),1.0)</f>
        <v>1</v>
      </c>
    </row>
    <row r="2586">
      <c r="A2586" s="6">
        <f>IFERROR(__xludf.DUMMYFUNCTION("""COMPUTED_VALUE"""),2026.0)</f>
        <v>2026</v>
      </c>
      <c r="B2586" s="6" t="str">
        <f>IFERROR(__xludf.DUMMYFUNCTION("""COMPUTED_VALUE"""),"Abril")</f>
        <v>Abril</v>
      </c>
      <c r="C2586" s="6" t="str">
        <f>IFERROR(__xludf.DUMMYFUNCTION("""COMPUTED_VALUE"""),"ESTUPRO DE VULNERÁVEL CONSUMADO")</f>
        <v>ESTUPRO DE VULNERÁVEL CONSUMADO</v>
      </c>
      <c r="D2586" s="6">
        <f>IFERROR(__xludf.DUMMYFUNCTION("""COMPUTED_VALUE"""),2.0)</f>
        <v>2</v>
      </c>
      <c r="E2586" s="6">
        <f>IFERROR(__xludf.DUMMYFUNCTION("""COMPUTED_VALUE"""),3.0)</f>
        <v>3</v>
      </c>
      <c r="F2586" s="6">
        <f>IFERROR(__xludf.DUMMYFUNCTION("""COMPUTED_VALUE"""),15.0)</f>
        <v>15</v>
      </c>
      <c r="G2586" s="6">
        <f>IFERROR(__xludf.DUMMYFUNCTION("""COMPUTED_VALUE"""),20.0)</f>
        <v>20</v>
      </c>
    </row>
    <row r="2587">
      <c r="A2587" s="6">
        <f>IFERROR(__xludf.DUMMYFUNCTION("""COMPUTED_VALUE"""),2026.0)</f>
        <v>2026</v>
      </c>
      <c r="B2587" s="6" t="str">
        <f>IFERROR(__xludf.DUMMYFUNCTION("""COMPUTED_VALUE"""),"Abril")</f>
        <v>Abril</v>
      </c>
      <c r="C2587" s="6" t="str">
        <f>IFERROR(__xludf.DUMMYFUNCTION("""COMPUTED_VALUE"""),"OUTROS C/C/ DIGNIDADE SEXUAL")</f>
        <v>OUTROS C/C/ DIGNIDADE SEXUAL</v>
      </c>
      <c r="D2587" s="6">
        <f>IFERROR(__xludf.DUMMYFUNCTION("""COMPUTED_VALUE"""),0.0)</f>
        <v>0</v>
      </c>
      <c r="E2587" s="6">
        <f>IFERROR(__xludf.DUMMYFUNCTION("""COMPUTED_VALUE"""),0.0)</f>
        <v>0</v>
      </c>
      <c r="F2587" s="6">
        <f>IFERROR(__xludf.DUMMYFUNCTION("""COMPUTED_VALUE"""),1.0)</f>
        <v>1</v>
      </c>
      <c r="G2587" s="6">
        <f>IFERROR(__xludf.DUMMYFUNCTION("""COMPUTED_VALUE"""),1.0)</f>
        <v>1</v>
      </c>
    </row>
  </sheetData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1.38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</sheetData>
  <drawing r:id="rId2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1.38"/>
    <col customWidth="1" min="2" max="2" width="13.5"/>
    <col customWidth="1" min="3" max="3" width="15.13"/>
    <col customWidth="1" min="4" max="4" width="13.5"/>
  </cols>
  <sheetData>
    <row r="1"/>
    <row r="2"/>
    <row r="3"/>
    <row r="4"/>
    <row r="5"/>
    <row r="6"/>
    <row r="7"/>
    <row r="8"/>
    <row r="9"/>
    <row r="10"/>
    <row r="11"/>
    <row r="12"/>
    <row r="13"/>
    <row r="14"/>
    <row r="15"/>
    <row r="16"/>
    <row r="17"/>
  </sheetData>
  <drawing r:id="rId2"/>
</worksheet>
</file>